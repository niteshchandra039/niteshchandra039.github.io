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sindia01-my.sharepoint.com/personal/nitesh_kumar_ddn_upes_ac_in/Documents/UPES/2026/Aug-Dec-2026/Planetary Sciences/Marks/"/>
    </mc:Choice>
  </mc:AlternateContent>
  <xr:revisionPtr revIDLastSave="0" documentId="8_{4FCAE9B8-42E4-4766-AF13-799E8CEC456E}" xr6:coauthVersionLast="47" xr6:coauthVersionMax="47" xr10:uidLastSave="{00000000-0000-0000-0000-000000000000}"/>
  <bookViews>
    <workbookView xWindow="-120" yWindow="-120" windowWidth="20730" windowHeight="11040" tabRatio="553" firstSheet="4" activeTab="4" xr2:uid="{00000000-000D-0000-FFFF-FFFF00000000}"/>
  </bookViews>
  <sheets>
    <sheet name="Marksheet" sheetId="2" r:id="rId1"/>
    <sheet name="Class Test 1" sheetId="7" r:id="rId2"/>
    <sheet name="Assignment 1" sheetId="6" r:id="rId3"/>
    <sheet name="Assignment 2" sheetId="12" r:id="rId4"/>
    <sheet name="Mid Sem" sheetId="5" r:id="rId5"/>
    <sheet name="Class Test 2" sheetId="8" r:id="rId6"/>
    <sheet name="End Sem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5" l="1"/>
  <c r="N7" i="5"/>
  <c r="N8" i="5"/>
  <c r="N9" i="5"/>
  <c r="N10" i="5"/>
  <c r="N11" i="5"/>
  <c r="N12" i="5"/>
  <c r="S5" i="5"/>
  <c r="T5" i="5"/>
  <c r="U5" i="5"/>
  <c r="R5" i="5"/>
  <c r="G4" i="2" l="1"/>
  <c r="F4" i="2"/>
  <c r="E4" i="2"/>
  <c r="D4" i="2"/>
  <c r="B11" i="8"/>
  <c r="B12" i="8"/>
  <c r="B7" i="8"/>
  <c r="B8" i="8"/>
  <c r="B9" i="8"/>
  <c r="B10" i="8"/>
  <c r="B6" i="8"/>
  <c r="A7" i="5"/>
  <c r="A8" i="5"/>
  <c r="A9" i="5"/>
  <c r="A10" i="5"/>
  <c r="A11" i="5"/>
  <c r="A6" i="5"/>
  <c r="B11" i="12"/>
  <c r="B7" i="12"/>
  <c r="B8" i="12"/>
  <c r="B9" i="12"/>
  <c r="B10" i="12"/>
  <c r="B6" i="12"/>
  <c r="B7" i="6"/>
  <c r="B8" i="6"/>
  <c r="B9" i="6"/>
  <c r="B10" i="6"/>
  <c r="B11" i="6"/>
  <c r="B6" i="6"/>
  <c r="B7" i="7"/>
  <c r="B8" i="7"/>
  <c r="B9" i="7"/>
  <c r="B10" i="7"/>
  <c r="B11" i="7"/>
  <c r="B6" i="7"/>
  <c r="D5" i="2"/>
  <c r="E5" i="2"/>
  <c r="F5" i="2"/>
  <c r="T6" i="4"/>
  <c r="T7" i="4"/>
  <c r="T8" i="4"/>
  <c r="T9" i="4"/>
  <c r="T10" i="4"/>
  <c r="T11" i="4"/>
  <c r="U11" i="4" s="1"/>
  <c r="T12" i="4"/>
  <c r="T13" i="4"/>
  <c r="T14" i="4"/>
  <c r="T15" i="4"/>
  <c r="T16" i="4"/>
  <c r="T17" i="4"/>
  <c r="T18" i="4"/>
  <c r="S6" i="4"/>
  <c r="S7" i="4"/>
  <c r="S8" i="4"/>
  <c r="S9" i="4"/>
  <c r="S10" i="4"/>
  <c r="U10" i="4" s="1"/>
  <c r="S11" i="4"/>
  <c r="S12" i="4"/>
  <c r="S13" i="4"/>
  <c r="S14" i="4"/>
  <c r="S15" i="4"/>
  <c r="S16" i="4"/>
  <c r="U16" i="4" s="1"/>
  <c r="S17" i="4"/>
  <c r="S18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Q6" i="4"/>
  <c r="Q7" i="4"/>
  <c r="Q8" i="4"/>
  <c r="Q9" i="4"/>
  <c r="Q10" i="4"/>
  <c r="Q11" i="4"/>
  <c r="Q12" i="4"/>
  <c r="Q13" i="4"/>
  <c r="U13" i="4" s="1"/>
  <c r="Q14" i="4"/>
  <c r="U14" i="4" s="1"/>
  <c r="Q15" i="4"/>
  <c r="Q16" i="4"/>
  <c r="Q17" i="4"/>
  <c r="Q18" i="4"/>
  <c r="T5" i="4"/>
  <c r="S5" i="4"/>
  <c r="R5" i="4"/>
  <c r="Q5" i="4"/>
  <c r="L8" i="2"/>
  <c r="M8" i="2" s="1"/>
  <c r="L4" i="2"/>
  <c r="N6" i="4"/>
  <c r="L5" i="2" s="1"/>
  <c r="M5" i="2" s="1"/>
  <c r="N7" i="4"/>
  <c r="L6" i="2" s="1"/>
  <c r="M6" i="2" s="1"/>
  <c r="N8" i="4"/>
  <c r="L7" i="2" s="1"/>
  <c r="M7" i="2" s="1"/>
  <c r="N9" i="4"/>
  <c r="N10" i="4"/>
  <c r="L9" i="2" s="1"/>
  <c r="M9" i="2" s="1"/>
  <c r="N11" i="4"/>
  <c r="L10" i="2" s="1"/>
  <c r="M10" i="2" s="1"/>
  <c r="N12" i="4"/>
  <c r="N13" i="4"/>
  <c r="N14" i="4"/>
  <c r="N15" i="4"/>
  <c r="N16" i="4"/>
  <c r="N17" i="4"/>
  <c r="N18" i="4"/>
  <c r="G6" i="2"/>
  <c r="U6" i="8"/>
  <c r="U7" i="8"/>
  <c r="U8" i="8"/>
  <c r="U9" i="8"/>
  <c r="U10" i="8"/>
  <c r="U11" i="8"/>
  <c r="U12" i="8"/>
  <c r="U13" i="8"/>
  <c r="U14" i="8"/>
  <c r="U15" i="8"/>
  <c r="U16" i="8"/>
  <c r="U17" i="8"/>
  <c r="T6" i="8"/>
  <c r="T7" i="8"/>
  <c r="T8" i="8"/>
  <c r="T9" i="8"/>
  <c r="T10" i="8"/>
  <c r="T11" i="8"/>
  <c r="T12" i="8"/>
  <c r="T13" i="8"/>
  <c r="T14" i="8"/>
  <c r="T15" i="8"/>
  <c r="T16" i="8"/>
  <c r="T17" i="8"/>
  <c r="S6" i="8"/>
  <c r="S7" i="8"/>
  <c r="S8" i="8"/>
  <c r="S9" i="8"/>
  <c r="S10" i="8"/>
  <c r="V10" i="8" s="1"/>
  <c r="S11" i="8"/>
  <c r="S12" i="8"/>
  <c r="S13" i="8"/>
  <c r="V13" i="8" s="1"/>
  <c r="S14" i="8"/>
  <c r="S15" i="8"/>
  <c r="V15" i="8" s="1"/>
  <c r="S16" i="8"/>
  <c r="S17" i="8"/>
  <c r="V6" i="8"/>
  <c r="V7" i="8"/>
  <c r="V8" i="8"/>
  <c r="U5" i="8"/>
  <c r="T5" i="8"/>
  <c r="S5" i="8"/>
  <c r="V5" i="8" s="1"/>
  <c r="N6" i="8"/>
  <c r="G5" i="2" s="1"/>
  <c r="N7" i="8"/>
  <c r="N8" i="8"/>
  <c r="G7" i="2" s="1"/>
  <c r="N9" i="8"/>
  <c r="G8" i="2" s="1"/>
  <c r="N10" i="8"/>
  <c r="G9" i="2" s="1"/>
  <c r="N11" i="8"/>
  <c r="G10" i="2" s="1"/>
  <c r="N12" i="8"/>
  <c r="N13" i="8"/>
  <c r="N14" i="8"/>
  <c r="N15" i="8"/>
  <c r="N16" i="8"/>
  <c r="N17" i="8"/>
  <c r="N5" i="8"/>
  <c r="F7" i="2"/>
  <c r="F8" i="2"/>
  <c r="F10" i="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N6" i="12"/>
  <c r="AN7" i="12"/>
  <c r="AN8" i="12"/>
  <c r="AN9" i="12"/>
  <c r="AN10" i="12"/>
  <c r="AN11" i="12"/>
  <c r="AN12" i="12"/>
  <c r="AN13" i="12"/>
  <c r="AN14" i="12"/>
  <c r="AN15" i="12"/>
  <c r="AN16" i="12"/>
  <c r="AN17" i="12"/>
  <c r="AM17" i="12"/>
  <c r="AM6" i="12"/>
  <c r="AM7" i="12"/>
  <c r="AO7" i="12" s="1"/>
  <c r="AM8" i="12"/>
  <c r="AM9" i="12"/>
  <c r="AM10" i="12"/>
  <c r="AM11" i="12"/>
  <c r="AM12" i="12"/>
  <c r="AM13" i="12"/>
  <c r="AM14" i="12"/>
  <c r="AM15" i="12"/>
  <c r="AM16" i="12"/>
  <c r="AL6" i="12"/>
  <c r="AL7" i="12"/>
  <c r="AL8" i="12"/>
  <c r="AL9" i="12"/>
  <c r="AL10" i="12"/>
  <c r="AL11" i="12"/>
  <c r="AL12" i="12"/>
  <c r="AL13" i="12"/>
  <c r="AL14" i="12"/>
  <c r="AL15" i="12"/>
  <c r="AL16" i="12"/>
  <c r="AL17" i="12"/>
  <c r="AG14" i="12"/>
  <c r="AG15" i="12"/>
  <c r="AN5" i="12"/>
  <c r="AM5" i="12"/>
  <c r="AL5" i="12"/>
  <c r="AK5" i="12"/>
  <c r="AG18" i="12"/>
  <c r="AG17" i="12"/>
  <c r="AG13" i="12"/>
  <c r="AG12" i="12"/>
  <c r="AG11" i="12"/>
  <c r="AG10" i="12"/>
  <c r="F9" i="2" s="1"/>
  <c r="AG9" i="12"/>
  <c r="AG7" i="12"/>
  <c r="F6" i="2" s="1"/>
  <c r="AO6" i="12"/>
  <c r="AG6" i="12"/>
  <c r="AG5" i="12"/>
  <c r="A2" i="12"/>
  <c r="K7" i="2"/>
  <c r="J7" i="2" s="1"/>
  <c r="N14" i="5"/>
  <c r="N13" i="5"/>
  <c r="K8" i="2"/>
  <c r="J8" i="2" s="1"/>
  <c r="N16" i="5"/>
  <c r="N17" i="5"/>
  <c r="N15" i="5"/>
  <c r="K10" i="2"/>
  <c r="J10" i="2" s="1"/>
  <c r="K9" i="2"/>
  <c r="J9" i="2" s="1"/>
  <c r="U15" i="4" l="1"/>
  <c r="U12" i="4"/>
  <c r="V17" i="8"/>
  <c r="V16" i="8"/>
  <c r="F21" i="2"/>
  <c r="F23" i="2"/>
  <c r="F22" i="2"/>
  <c r="U8" i="4"/>
  <c r="U9" i="4"/>
  <c r="U17" i="4"/>
  <c r="U6" i="4"/>
  <c r="U7" i="4"/>
  <c r="U5" i="4"/>
  <c r="V11" i="8"/>
  <c r="V9" i="8"/>
  <c r="V14" i="8"/>
  <c r="V12" i="8"/>
  <c r="G21" i="2"/>
  <c r="L22" i="2"/>
  <c r="L23" i="2"/>
  <c r="M23" i="2"/>
  <c r="M21" i="2"/>
  <c r="M22" i="2"/>
  <c r="L21" i="2"/>
  <c r="G23" i="2"/>
  <c r="G22" i="2"/>
  <c r="AO9" i="12"/>
  <c r="AO10" i="12"/>
  <c r="AO12" i="12"/>
  <c r="AO14" i="12"/>
  <c r="AO17" i="12"/>
  <c r="AO16" i="12"/>
  <c r="AO11" i="12"/>
  <c r="AO8" i="12"/>
  <c r="AO5" i="12"/>
  <c r="AO15" i="12"/>
  <c r="AO13" i="12"/>
  <c r="K5" i="2"/>
  <c r="R6" i="5"/>
  <c r="S6" i="5"/>
  <c r="T6" i="5"/>
  <c r="U6" i="5"/>
  <c r="R7" i="5"/>
  <c r="S7" i="5"/>
  <c r="T7" i="5"/>
  <c r="U7" i="5"/>
  <c r="V7" i="5"/>
  <c r="R8" i="5"/>
  <c r="S8" i="5"/>
  <c r="T8" i="5"/>
  <c r="U8" i="5"/>
  <c r="R9" i="5"/>
  <c r="S9" i="5"/>
  <c r="T9" i="5"/>
  <c r="U9" i="5"/>
  <c r="R10" i="5"/>
  <c r="S10" i="5"/>
  <c r="T10" i="5"/>
  <c r="U10" i="5"/>
  <c r="R11" i="5"/>
  <c r="S11" i="5"/>
  <c r="T11" i="5"/>
  <c r="U11" i="5"/>
  <c r="N5" i="5"/>
  <c r="S6" i="7"/>
  <c r="T6" i="7"/>
  <c r="W6" i="7"/>
  <c r="S7" i="7"/>
  <c r="W7" i="7" s="1"/>
  <c r="T7" i="7"/>
  <c r="S8" i="7"/>
  <c r="T8" i="7"/>
  <c r="W8" i="7"/>
  <c r="S9" i="7"/>
  <c r="T9" i="7"/>
  <c r="W9" i="7"/>
  <c r="S10" i="7"/>
  <c r="T10" i="7"/>
  <c r="W10" i="7"/>
  <c r="S11" i="7"/>
  <c r="T11" i="7"/>
  <c r="S12" i="7"/>
  <c r="T12" i="7"/>
  <c r="W12" i="7"/>
  <c r="S13" i="7"/>
  <c r="T13" i="7"/>
  <c r="W13" i="7"/>
  <c r="S14" i="7"/>
  <c r="W14" i="7" s="1"/>
  <c r="T14" i="7"/>
  <c r="S15" i="7"/>
  <c r="T15" i="7"/>
  <c r="S16" i="7"/>
  <c r="W16" i="7" s="1"/>
  <c r="T16" i="7"/>
  <c r="S17" i="7"/>
  <c r="T17" i="7"/>
  <c r="W17" i="7"/>
  <c r="T5" i="7"/>
  <c r="S5" i="7"/>
  <c r="W5" i="7" l="1"/>
  <c r="J5" i="2"/>
  <c r="W11" i="7"/>
  <c r="W15" i="7"/>
  <c r="V9" i="5"/>
  <c r="V11" i="5"/>
  <c r="V8" i="5"/>
  <c r="V10" i="5"/>
  <c r="V6" i="5"/>
  <c r="V5" i="5"/>
  <c r="E6" i="2"/>
  <c r="E7" i="2"/>
  <c r="O6" i="7"/>
  <c r="O7" i="7"/>
  <c r="O8" i="7"/>
  <c r="O9" i="7"/>
  <c r="E8" i="2" s="1"/>
  <c r="O10" i="7"/>
  <c r="E9" i="2" s="1"/>
  <c r="O11" i="7"/>
  <c r="E10" i="2" s="1"/>
  <c r="O12" i="7"/>
  <c r="O13" i="7"/>
  <c r="O14" i="7"/>
  <c r="O15" i="7"/>
  <c r="O16" i="7"/>
  <c r="O17" i="7"/>
  <c r="O5" i="7"/>
  <c r="D7" i="2"/>
  <c r="D8" i="2"/>
  <c r="AM8" i="6"/>
  <c r="AM11" i="6"/>
  <c r="AM13" i="6"/>
  <c r="AK8" i="6"/>
  <c r="AL8" i="6"/>
  <c r="AK9" i="6"/>
  <c r="AL9" i="6"/>
  <c r="AM9" i="6" s="1"/>
  <c r="AK10" i="6"/>
  <c r="AM10" i="6" s="1"/>
  <c r="AL10" i="6"/>
  <c r="AK11" i="6"/>
  <c r="AL11" i="6"/>
  <c r="AK12" i="6"/>
  <c r="AM12" i="6" s="1"/>
  <c r="AL12" i="6"/>
  <c r="AK13" i="6"/>
  <c r="AL13" i="6"/>
  <c r="AK14" i="6"/>
  <c r="AM14" i="6" s="1"/>
  <c r="AL14" i="6"/>
  <c r="AK15" i="6"/>
  <c r="AM15" i="6" s="1"/>
  <c r="AL15" i="6"/>
  <c r="AK16" i="6"/>
  <c r="AM16" i="6" s="1"/>
  <c r="AL16" i="6"/>
  <c r="AK17" i="6"/>
  <c r="AM17" i="6" s="1"/>
  <c r="AL17" i="6"/>
  <c r="AK6" i="6"/>
  <c r="AM6" i="6" s="1"/>
  <c r="AL6" i="6"/>
  <c r="AK7" i="6"/>
  <c r="AL7" i="6"/>
  <c r="AM7" i="6" s="1"/>
  <c r="AL5" i="6"/>
  <c r="AK5" i="6"/>
  <c r="AM5" i="6" s="1"/>
  <c r="AG6" i="6"/>
  <c r="AG7" i="6"/>
  <c r="D6" i="2" s="1"/>
  <c r="AG8" i="6"/>
  <c r="AG9" i="6"/>
  <c r="AG10" i="6"/>
  <c r="D9" i="2" s="1"/>
  <c r="AG11" i="6"/>
  <c r="D10" i="2" s="1"/>
  <c r="AG12" i="6"/>
  <c r="AG13" i="6"/>
  <c r="AG14" i="6"/>
  <c r="AG15" i="6"/>
  <c r="AG16" i="6"/>
  <c r="AG17" i="6"/>
  <c r="AG18" i="6"/>
  <c r="AG5" i="6"/>
  <c r="B13" i="8"/>
  <c r="B14" i="8"/>
  <c r="B15" i="8"/>
  <c r="B16" i="8"/>
  <c r="B17" i="8"/>
  <c r="D23" i="2" l="1"/>
  <c r="D22" i="2"/>
  <c r="D21" i="2"/>
  <c r="H7" i="2"/>
  <c r="I7" i="2" s="1"/>
  <c r="N7" i="2" s="1"/>
  <c r="H5" i="2"/>
  <c r="I5" i="2" s="1"/>
  <c r="H6" i="2"/>
  <c r="I6" i="2" s="1"/>
  <c r="H10" i="2"/>
  <c r="I10" i="2" s="1"/>
  <c r="N10" i="2" s="1"/>
  <c r="H9" i="2"/>
  <c r="I9" i="2" s="1"/>
  <c r="N9" i="2" s="1"/>
  <c r="H8" i="2"/>
  <c r="I8" i="2" s="1"/>
  <c r="N8" i="2" s="1"/>
  <c r="H4" i="2"/>
  <c r="I4" i="2" s="1"/>
  <c r="E21" i="2"/>
  <c r="E23" i="2"/>
  <c r="E22" i="2"/>
  <c r="A7" i="8"/>
  <c r="A8" i="8"/>
  <c r="A9" i="8"/>
  <c r="A10" i="8"/>
  <c r="A11" i="8"/>
  <c r="A12" i="8"/>
  <c r="A13" i="8"/>
  <c r="A14" i="8"/>
  <c r="A15" i="8"/>
  <c r="A16" i="8"/>
  <c r="A17" i="8"/>
  <c r="A6" i="8"/>
  <c r="A7" i="7"/>
  <c r="A8" i="7"/>
  <c r="A9" i="7"/>
  <c r="A10" i="7"/>
  <c r="A11" i="7"/>
  <c r="A6" i="7"/>
  <c r="B7" i="4"/>
  <c r="B7" i="5"/>
  <c r="B8" i="5"/>
  <c r="B9" i="5"/>
  <c r="B10" i="5"/>
  <c r="B11" i="5"/>
  <c r="B6" i="5"/>
  <c r="N5" i="4"/>
  <c r="M4" i="2"/>
  <c r="J4" i="2"/>
  <c r="K6" i="2"/>
  <c r="N18" i="5"/>
  <c r="N19" i="5"/>
  <c r="N20" i="5"/>
  <c r="N21" i="5"/>
  <c r="A2" i="4"/>
  <c r="A2" i="8"/>
  <c r="A2" i="7"/>
  <c r="A2" i="6"/>
  <c r="A2" i="5"/>
  <c r="N4" i="2" l="1"/>
  <c r="J6" i="2"/>
  <c r="N6" i="2" s="1"/>
  <c r="K23" i="2"/>
  <c r="K22" i="2"/>
  <c r="K21" i="2"/>
  <c r="A7" i="12"/>
  <c r="A11" i="12"/>
  <c r="A10" i="12"/>
  <c r="A6" i="12"/>
  <c r="A8" i="12"/>
  <c r="A9" i="12"/>
  <c r="H22" i="2"/>
  <c r="H23" i="2"/>
  <c r="H21" i="2"/>
  <c r="N5" i="2"/>
  <c r="I23" i="2"/>
  <c r="I21" i="2"/>
  <c r="I22" i="2"/>
  <c r="A11" i="6"/>
  <c r="A6" i="6"/>
  <c r="A7" i="6"/>
  <c r="A6" i="4"/>
  <c r="B11" i="4"/>
  <c r="B10" i="4"/>
  <c r="B9" i="4"/>
  <c r="B8" i="4"/>
  <c r="A7" i="4"/>
  <c r="B6" i="4"/>
  <c r="A10" i="4"/>
  <c r="A9" i="4"/>
  <c r="A10" i="6"/>
  <c r="A8" i="4"/>
  <c r="A9" i="6"/>
  <c r="A11" i="4"/>
  <c r="A8" i="6"/>
  <c r="J23" i="2" l="1"/>
  <c r="J22" i="2"/>
  <c r="J21" i="2"/>
  <c r="N21" i="2"/>
  <c r="N23" i="2"/>
  <c r="N22" i="2"/>
</calcChain>
</file>

<file path=xl/sharedStrings.xml><?xml version="1.0" encoding="utf-8"?>
<sst xmlns="http://schemas.openxmlformats.org/spreadsheetml/2006/main" count="275" uniqueCount="65">
  <si>
    <t>Final Marks</t>
  </si>
  <si>
    <t>Planetary Science (PHYS8098P)</t>
  </si>
  <si>
    <t xml:space="preserve">Name </t>
  </si>
  <si>
    <t>SAP ID</t>
  </si>
  <si>
    <t>Assignment 1</t>
  </si>
  <si>
    <t>Class Test 1</t>
  </si>
  <si>
    <t>Assignment 2</t>
  </si>
  <si>
    <t>Class Test 2</t>
  </si>
  <si>
    <t>CIA</t>
  </si>
  <si>
    <t>IA</t>
  </si>
  <si>
    <t>Mid Sem</t>
  </si>
  <si>
    <t>End Sem</t>
  </si>
  <si>
    <t>Total</t>
  </si>
  <si>
    <t>Sign</t>
  </si>
  <si>
    <t>Email Address</t>
  </si>
  <si>
    <t>Roll Number</t>
  </si>
  <si>
    <t>Max Marks</t>
  </si>
  <si>
    <t>Akshay  Alodiya</t>
  </si>
  <si>
    <t>Neha Nagesh Revankar</t>
  </si>
  <si>
    <t>Dhruv Kumar Singh</t>
  </si>
  <si>
    <t>Madhumita Rajesh Singh</t>
  </si>
  <si>
    <t>Harishankar Nath Tiwari</t>
  </si>
  <si>
    <t>Surwase Swapnil Tukaram</t>
  </si>
  <si>
    <t>Max</t>
  </si>
  <si>
    <t>Min</t>
  </si>
  <si>
    <t>Median</t>
  </si>
  <si>
    <t>CO1</t>
  </si>
  <si>
    <t>CO2</t>
  </si>
  <si>
    <t>Student Id</t>
  </si>
  <si>
    <t>Name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</si>
  <si>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</si>
  <si>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</si>
  <si>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</si>
  <si>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</si>
  <si>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</si>
  <si>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</si>
  <si>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</si>
  <si>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</si>
  <si>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</si>
  <si>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</si>
  <si>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</si>
  <si>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CO3</t>
  </si>
  <si>
    <t>CO4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</si>
  <si>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</si>
  <si>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</si>
  <si>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</si>
  <si>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</si>
  <si>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</si>
  <si>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</si>
  <si>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</si>
  <si>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</si>
  <si>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</si>
  <si>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</si>
  <si>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</si>
  <si>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</si>
  <si>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</si>
  <si>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</si>
  <si>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</si>
  <si>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</si>
  <si>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</si>
  <si>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</si>
  <si>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</si>
  <si>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Mid Sem Examination</t>
  </si>
  <si>
    <t>Student ID</t>
  </si>
  <si>
    <t>End Sem Examination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</si>
</sst>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Baguet Script"/>
    </font>
    <font>
      <sz val="18"/>
      <color theme="1"/>
      <name val="Monotype Corsiva"/>
      <family val="4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5" fillId="2" borderId="0" xfId="0" applyFont="1" applyFill="1" applyAlignment="1">
      <alignment horizontal="center"/>
    </xf>
    <xf numFmtId="0" fontId="0" fillId="0" borderId="1" xfId="0" applyBorder="1"/>
    <xf numFmtId="0" fontId="3" fillId="3" borderId="1" xfId="0" applyFont="1" applyFill="1" applyBorder="1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right" vertical="top"/>
    </xf>
    <xf numFmtId="0" fontId="1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7" fillId="0" borderId="5" xfId="0" applyFont="1" applyBorder="1"/>
    <xf numFmtId="0" fontId="8" fillId="0" borderId="5" xfId="0" applyFont="1" applyBorder="1"/>
    <xf numFmtId="0" fontId="6" fillId="0" borderId="6" xfId="0" applyFont="1" applyBorder="1"/>
    <xf numFmtId="0" fontId="3" fillId="3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9" fillId="5" borderId="1" xfId="0" applyFont="1" applyFill="1" applyBorder="1"/>
    <xf numFmtId="0" fontId="10" fillId="7" borderId="1" xfId="0" applyFont="1" applyFill="1" applyBorder="1"/>
    <xf numFmtId="0" fontId="10" fillId="7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6" fillId="0" borderId="0" xfId="0" applyFont="1"/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vertical="top"/>
    </xf>
    <xf numFmtId="0" fontId="10" fillId="7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3" xfId="0" applyBorder="1" applyAlignment="1">
      <alignment vertical="top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 vertical="center"/>
    </xf>
    <xf numFmtId="0" fontId="0" fillId="0" borderId="0" xfId="0" applyBorder="1"/>
    <xf numFmtId="0" fontId="1" fillId="0" borderId="0" xfId="0" applyFont="1" applyFill="1" applyBorder="1" applyAlignment="1">
      <alignment horizontal="center" vertical="top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7" xfId="0" applyBorder="1"/>
    <xf numFmtId="0" fontId="1" fillId="4" borderId="7" xfId="0" applyFont="1" applyFill="1" applyBorder="1" applyAlignment="1">
      <alignment horizontal="center" vertical="top"/>
    </xf>
    <xf numFmtId="0" fontId="3" fillId="3" borderId="9" xfId="0" applyFont="1" applyFill="1" applyBorder="1"/>
    <xf numFmtId="0" fontId="1" fillId="2" borderId="9" xfId="0" applyFont="1" applyFill="1" applyBorder="1" applyAlignment="1">
      <alignment vertical="top"/>
    </xf>
    <xf numFmtId="0" fontId="0" fillId="0" borderId="9" xfId="0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top"/>
    </xf>
    <xf numFmtId="0" fontId="11" fillId="4" borderId="9" xfId="0" applyFont="1" applyFill="1" applyBorder="1" applyAlignment="1">
      <alignment horizontal="center" vertical="center"/>
    </xf>
    <xf numFmtId="0" fontId="11" fillId="4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76A9-80AB-4236-8B1F-676ADE76CB37}">
  <sheetPr>
    <pageSetUpPr fitToPage="1"/>
  </sheetPr>
  <dimension ref="A1:R38"/>
  <sheetViews>
    <sheetView zoomScale="78" zoomScaleNormal="100" workbookViewId="0">
      <pane xSplit="1" ySplit="4" topLeftCell="B5" activePane="bottomRight" state="frozen"/>
      <selection pane="bottomRight" activeCell="O4" sqref="O4"/>
      <selection pane="bottomLeft" activeCell="A5" sqref="A5"/>
      <selection pane="topRight" activeCell="B1" sqref="B1"/>
    </sheetView>
  </sheetViews>
  <sheetFormatPr defaultRowHeight="15"/>
  <cols>
    <col min="1" max="1" width="27.140625" customWidth="1"/>
    <col min="2" max="2" width="22.85546875" style="11" customWidth="1"/>
    <col min="3" max="3" width="10.28515625" bestFit="1" customWidth="1"/>
    <col min="4" max="4" width="13.85546875" customWidth="1"/>
    <col min="5" max="5" width="14.42578125" customWidth="1"/>
    <col min="6" max="6" width="16.140625" customWidth="1"/>
    <col min="7" max="7" width="14.28515625" customWidth="1"/>
    <col min="8" max="8" width="11.85546875" style="11" customWidth="1"/>
    <col min="9" max="9" width="11.85546875" customWidth="1"/>
    <col min="10" max="10" width="11.85546875" style="15" customWidth="1"/>
    <col min="11" max="14" width="13.42578125" customWidth="1"/>
    <col min="15" max="15" width="12.5703125" customWidth="1"/>
    <col min="17" max="17" width="28.7109375" customWidth="1"/>
    <col min="18" max="18" width="15.7109375" style="21" customWidth="1"/>
  </cols>
  <sheetData>
    <row r="1" spans="1:18" ht="24.7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3"/>
      <c r="P1" s="30"/>
    </row>
    <row r="2" spans="1:18" ht="24.75">
      <c r="A2" s="61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3"/>
      <c r="P2" s="31"/>
    </row>
    <row r="3" spans="1:18" ht="15.75">
      <c r="A3" s="38" t="s">
        <v>2</v>
      </c>
      <c r="B3" s="39" t="s">
        <v>3</v>
      </c>
      <c r="C3" s="38"/>
      <c r="D3" s="39" t="s">
        <v>4</v>
      </c>
      <c r="E3" s="39" t="s">
        <v>5</v>
      </c>
      <c r="F3" s="39" t="s">
        <v>6</v>
      </c>
      <c r="G3" s="39" t="s">
        <v>7</v>
      </c>
      <c r="H3" s="39" t="s">
        <v>8</v>
      </c>
      <c r="I3" s="39" t="s">
        <v>9</v>
      </c>
      <c r="J3" s="39" t="s">
        <v>10</v>
      </c>
      <c r="K3" s="39" t="s">
        <v>10</v>
      </c>
      <c r="L3" s="39" t="s">
        <v>11</v>
      </c>
      <c r="M3" s="39" t="s">
        <v>11</v>
      </c>
      <c r="N3" s="40" t="s">
        <v>12</v>
      </c>
      <c r="O3" s="39" t="s">
        <v>13</v>
      </c>
      <c r="Q3" s="1" t="s">
        <v>14</v>
      </c>
      <c r="R3" s="25" t="s">
        <v>15</v>
      </c>
    </row>
    <row r="4" spans="1:18">
      <c r="A4" s="6"/>
      <c r="B4" s="9" t="s">
        <v>16</v>
      </c>
      <c r="C4" s="6"/>
      <c r="D4" s="14">
        <f>'Assignment 1'!AG5</f>
        <v>20</v>
      </c>
      <c r="E4" s="14">
        <f>'Class Test 1'!O5</f>
        <v>30</v>
      </c>
      <c r="F4" s="14">
        <f>'Assignment 2'!AG5</f>
        <v>20</v>
      </c>
      <c r="G4" s="14">
        <f>'Class Test 2'!N5</f>
        <v>30</v>
      </c>
      <c r="H4" s="14">
        <f t="shared" ref="H4:H10" si="0">SUM(D4:G4)</f>
        <v>100</v>
      </c>
      <c r="I4" s="14">
        <f>H4/2</f>
        <v>50</v>
      </c>
      <c r="J4" s="14">
        <f>K4/5</f>
        <v>20</v>
      </c>
      <c r="K4" s="14">
        <v>100</v>
      </c>
      <c r="L4" s="14">
        <f>'End Sem'!N5</f>
        <v>100</v>
      </c>
      <c r="M4" s="14">
        <f>L4*0.3</f>
        <v>30</v>
      </c>
      <c r="N4" s="6">
        <f>SUM(I4,J4,M4)</f>
        <v>100</v>
      </c>
      <c r="O4" s="6"/>
      <c r="P4" s="7"/>
    </row>
    <row r="5" spans="1:18" ht="15.75">
      <c r="A5" s="41" t="s">
        <v>17</v>
      </c>
      <c r="B5" s="37">
        <v>590021120</v>
      </c>
      <c r="C5" s="37"/>
      <c r="D5" s="10">
        <f>'Assignment 1'!AG6/10</f>
        <v>0</v>
      </c>
      <c r="E5" s="10">
        <f>'Class Test 1'!O6/2</f>
        <v>0</v>
      </c>
      <c r="F5" s="45">
        <f>'Assignment 2'!AG6*1.5/32</f>
        <v>0</v>
      </c>
      <c r="G5" s="48">
        <f>'Class Test 2'!N6/2</f>
        <v>0</v>
      </c>
      <c r="H5" s="10">
        <f t="shared" si="0"/>
        <v>0</v>
      </c>
      <c r="I5" s="10">
        <f t="shared" ref="I5:I10" si="1">H5/2</f>
        <v>0</v>
      </c>
      <c r="J5" s="10">
        <f t="shared" ref="J5:J10" si="2">K5/5</f>
        <v>13.4</v>
      </c>
      <c r="K5" s="10">
        <f>'Mid Sem'!N6</f>
        <v>67</v>
      </c>
      <c r="L5" s="10">
        <f>'End Sem'!N6</f>
        <v>0</v>
      </c>
      <c r="M5" s="10">
        <f>L5*0.3</f>
        <v>0</v>
      </c>
      <c r="N5" s="5">
        <f t="shared" ref="N5:N10" si="3">SUM(I5,J5,M5)</f>
        <v>13.4</v>
      </c>
      <c r="O5" s="32"/>
      <c r="Q5" s="24"/>
    </row>
    <row r="6" spans="1:18" ht="15.75">
      <c r="A6" s="41" t="s">
        <v>18</v>
      </c>
      <c r="B6" s="37">
        <v>590021217</v>
      </c>
      <c r="C6" s="37"/>
      <c r="D6" s="10">
        <f>'Assignment 1'!AG7/10</f>
        <v>0</v>
      </c>
      <c r="E6" s="10">
        <f>'Class Test 1'!O7/2</f>
        <v>0</v>
      </c>
      <c r="F6" s="45">
        <f>'Assignment 2'!AG7*1.5/32</f>
        <v>0</v>
      </c>
      <c r="G6" s="48">
        <f>'Class Test 2'!N7/2</f>
        <v>0</v>
      </c>
      <c r="H6" s="10">
        <f t="shared" si="0"/>
        <v>0</v>
      </c>
      <c r="I6" s="10">
        <f t="shared" si="1"/>
        <v>0</v>
      </c>
      <c r="J6" s="10">
        <f t="shared" si="2"/>
        <v>16.399999999999999</v>
      </c>
      <c r="K6" s="10">
        <f>'Mid Sem'!N7</f>
        <v>82</v>
      </c>
      <c r="L6" s="10">
        <f>'End Sem'!N7</f>
        <v>0</v>
      </c>
      <c r="M6" s="10">
        <f t="shared" ref="M6:M10" si="4">L6*0.3</f>
        <v>0</v>
      </c>
      <c r="N6" s="5">
        <f>SUM(I6,J6,M6)</f>
        <v>16.399999999999999</v>
      </c>
      <c r="O6" s="32"/>
      <c r="Q6" s="24"/>
    </row>
    <row r="7" spans="1:18" ht="15.75">
      <c r="A7" s="41" t="s">
        <v>19</v>
      </c>
      <c r="B7" s="37">
        <v>590021234</v>
      </c>
      <c r="C7" s="37"/>
      <c r="D7" s="10">
        <f>'Assignment 1'!AG8/10</f>
        <v>0</v>
      </c>
      <c r="E7" s="10">
        <f>'Class Test 1'!O8/2</f>
        <v>0</v>
      </c>
      <c r="F7" s="45">
        <f>'Assignment 2'!AG8*1.5/32</f>
        <v>0</v>
      </c>
      <c r="G7" s="48">
        <f>'Class Test 2'!N8/2</f>
        <v>0</v>
      </c>
      <c r="H7" s="10">
        <f t="shared" si="0"/>
        <v>0</v>
      </c>
      <c r="I7" s="10">
        <f t="shared" si="1"/>
        <v>0</v>
      </c>
      <c r="J7" s="10">
        <f t="shared" si="2"/>
        <v>12.4</v>
      </c>
      <c r="K7" s="10">
        <f>'Mid Sem'!N8</f>
        <v>62</v>
      </c>
      <c r="L7" s="10">
        <f>'End Sem'!N8</f>
        <v>0</v>
      </c>
      <c r="M7" s="10">
        <f t="shared" si="4"/>
        <v>0</v>
      </c>
      <c r="N7" s="5">
        <f t="shared" si="3"/>
        <v>12.4</v>
      </c>
      <c r="O7" s="32"/>
      <c r="Q7" s="24"/>
    </row>
    <row r="8" spans="1:18" ht="15.75">
      <c r="A8" s="41" t="s">
        <v>20</v>
      </c>
      <c r="B8" s="37">
        <v>590025722</v>
      </c>
      <c r="C8" s="37"/>
      <c r="D8" s="10">
        <f>'Assignment 1'!AG9/10</f>
        <v>0</v>
      </c>
      <c r="E8" s="10">
        <f>'Class Test 1'!O9/2</f>
        <v>0</v>
      </c>
      <c r="F8" s="45">
        <f>'Assignment 2'!AG9*1.5/32</f>
        <v>0</v>
      </c>
      <c r="G8" s="48">
        <f>'Class Test 2'!N9/2</f>
        <v>0</v>
      </c>
      <c r="H8" s="10">
        <f t="shared" si="0"/>
        <v>0</v>
      </c>
      <c r="I8" s="10">
        <f t="shared" si="1"/>
        <v>0</v>
      </c>
      <c r="J8" s="10">
        <f t="shared" si="2"/>
        <v>18</v>
      </c>
      <c r="K8" s="10">
        <f>'Mid Sem'!N9</f>
        <v>90</v>
      </c>
      <c r="L8" s="10">
        <f>'End Sem'!N9</f>
        <v>0</v>
      </c>
      <c r="M8" s="10">
        <f t="shared" si="4"/>
        <v>0</v>
      </c>
      <c r="N8" s="5">
        <f t="shared" si="3"/>
        <v>18</v>
      </c>
      <c r="O8" s="32"/>
      <c r="Q8" s="24"/>
    </row>
    <row r="9" spans="1:18" ht="15.75">
      <c r="A9" s="41" t="s">
        <v>21</v>
      </c>
      <c r="B9" s="37">
        <v>590028752</v>
      </c>
      <c r="C9" s="37"/>
      <c r="D9" s="10">
        <f>'Assignment 1'!AG10/10</f>
        <v>0</v>
      </c>
      <c r="E9" s="10">
        <f>'Class Test 1'!O10/2</f>
        <v>0</v>
      </c>
      <c r="F9" s="45">
        <f>'Assignment 2'!AG10*1.5/32</f>
        <v>0</v>
      </c>
      <c r="G9" s="48">
        <f>'Class Test 2'!N10/2</f>
        <v>0</v>
      </c>
      <c r="H9" s="10">
        <f t="shared" si="0"/>
        <v>0</v>
      </c>
      <c r="I9" s="10">
        <f t="shared" si="1"/>
        <v>0</v>
      </c>
      <c r="J9" s="10">
        <f t="shared" si="2"/>
        <v>14.4</v>
      </c>
      <c r="K9" s="10">
        <f>'Mid Sem'!N10</f>
        <v>72</v>
      </c>
      <c r="L9" s="10">
        <f>'End Sem'!N10</f>
        <v>0</v>
      </c>
      <c r="M9" s="10">
        <f t="shared" si="4"/>
        <v>0</v>
      </c>
      <c r="N9" s="5">
        <f t="shared" si="3"/>
        <v>14.4</v>
      </c>
      <c r="O9" s="32"/>
      <c r="Q9" s="24"/>
    </row>
    <row r="10" spans="1:18" ht="15.75">
      <c r="A10" s="20" t="s">
        <v>22</v>
      </c>
      <c r="B10">
        <v>590028962</v>
      </c>
      <c r="C10" s="37"/>
      <c r="D10" s="10">
        <f>'Assignment 1'!AG11/10</f>
        <v>0</v>
      </c>
      <c r="E10" s="10">
        <f>'Class Test 1'!O11/2</f>
        <v>0</v>
      </c>
      <c r="F10" s="45">
        <f>'Assignment 2'!AG11*1.5/32</f>
        <v>0</v>
      </c>
      <c r="G10" s="48">
        <f>'Class Test 2'!N11/2</f>
        <v>0</v>
      </c>
      <c r="H10" s="10">
        <f t="shared" si="0"/>
        <v>0</v>
      </c>
      <c r="I10" s="10">
        <f t="shared" si="1"/>
        <v>0</v>
      </c>
      <c r="J10" s="10">
        <f t="shared" si="2"/>
        <v>14</v>
      </c>
      <c r="K10" s="10">
        <f>'Mid Sem'!N11</f>
        <v>70</v>
      </c>
      <c r="L10" s="10">
        <f>'End Sem'!N11</f>
        <v>0</v>
      </c>
      <c r="M10" s="10">
        <f t="shared" si="4"/>
        <v>0</v>
      </c>
      <c r="N10" s="5">
        <f t="shared" si="3"/>
        <v>14</v>
      </c>
      <c r="O10" s="32"/>
      <c r="Q10" s="24"/>
    </row>
    <row r="11" spans="1:18" ht="15.75">
      <c r="A11" s="10"/>
      <c r="B11" s="10"/>
      <c r="C11" s="37"/>
      <c r="D11" s="10"/>
      <c r="E11" s="10"/>
      <c r="F11" s="45"/>
      <c r="G11" s="48"/>
      <c r="H11" s="10"/>
      <c r="I11" s="10"/>
      <c r="J11" s="10"/>
      <c r="K11" s="10"/>
      <c r="L11" s="10"/>
      <c r="M11" s="10"/>
      <c r="N11" s="5"/>
      <c r="O11" s="32"/>
      <c r="Q11" s="24"/>
    </row>
    <row r="12" spans="1:18" ht="15.75">
      <c r="A12" s="10"/>
      <c r="B12" s="10"/>
      <c r="C12" s="37"/>
      <c r="D12" s="10"/>
      <c r="E12" s="10"/>
      <c r="F12" s="45"/>
      <c r="G12" s="48"/>
      <c r="H12" s="10"/>
      <c r="I12" s="10"/>
      <c r="J12" s="10"/>
      <c r="K12" s="10"/>
      <c r="L12" s="10"/>
      <c r="M12" s="10"/>
      <c r="N12" s="5"/>
      <c r="O12" s="32"/>
      <c r="Q12" s="24"/>
    </row>
    <row r="13" spans="1:18" ht="15.75">
      <c r="A13" s="10"/>
      <c r="B13" s="10"/>
      <c r="C13" s="37"/>
      <c r="D13" s="10"/>
      <c r="E13" s="10"/>
      <c r="F13" s="45"/>
      <c r="G13" s="48"/>
      <c r="H13" s="10"/>
      <c r="I13" s="10"/>
      <c r="J13" s="10"/>
      <c r="K13" s="10"/>
      <c r="L13" s="10"/>
      <c r="M13" s="10"/>
      <c r="N13" s="5"/>
      <c r="O13" s="32"/>
      <c r="Q13" s="24"/>
    </row>
    <row r="14" spans="1:18" ht="15.75">
      <c r="A14" s="10"/>
      <c r="B14" s="10"/>
      <c r="C14" s="37"/>
      <c r="D14" s="10"/>
      <c r="E14" s="10"/>
      <c r="F14" s="45"/>
      <c r="G14" s="48"/>
      <c r="H14" s="10"/>
      <c r="I14" s="10"/>
      <c r="J14" s="10"/>
      <c r="K14" s="10"/>
      <c r="L14" s="10"/>
      <c r="M14" s="10"/>
      <c r="N14" s="5"/>
      <c r="O14" s="32"/>
      <c r="Q14" s="24"/>
    </row>
    <row r="15" spans="1:18" ht="15.75">
      <c r="A15" s="10"/>
      <c r="B15" s="10"/>
      <c r="C15" s="37"/>
      <c r="D15" s="10"/>
      <c r="E15" s="10"/>
      <c r="F15" s="45"/>
      <c r="G15" s="48"/>
      <c r="H15" s="10"/>
      <c r="I15" s="10"/>
      <c r="J15" s="10"/>
      <c r="K15" s="10"/>
      <c r="L15" s="10"/>
      <c r="M15" s="10"/>
      <c r="N15" s="5"/>
      <c r="O15" s="32"/>
      <c r="Q15" s="24"/>
    </row>
    <row r="16" spans="1:18" ht="15.75">
      <c r="A16" s="50"/>
      <c r="B16" s="50"/>
      <c r="C16" s="51"/>
      <c r="D16" s="50"/>
      <c r="E16" s="50"/>
      <c r="F16" s="52"/>
      <c r="G16" s="53"/>
      <c r="H16" s="50"/>
      <c r="I16" s="50"/>
      <c r="J16" s="50"/>
      <c r="K16" s="50"/>
      <c r="L16" s="50"/>
      <c r="M16" s="50"/>
      <c r="N16" s="54"/>
      <c r="O16" s="32"/>
      <c r="Q16" s="24"/>
    </row>
    <row r="17" spans="1:18" ht="15.75">
      <c r="A17" s="10"/>
      <c r="B17" s="10"/>
      <c r="C17" s="55"/>
      <c r="D17" s="50"/>
      <c r="E17" s="50"/>
      <c r="F17" s="56"/>
      <c r="G17" s="56"/>
      <c r="H17" s="57"/>
      <c r="I17" s="57"/>
      <c r="J17" s="57"/>
      <c r="K17" s="10"/>
      <c r="L17" s="10"/>
      <c r="M17" s="57"/>
      <c r="N17" s="58"/>
      <c r="O17" s="55"/>
    </row>
    <row r="18" spans="1:18" ht="15.75">
      <c r="A18" s="10"/>
      <c r="B18" s="10"/>
      <c r="C18" s="55"/>
      <c r="D18" s="10"/>
      <c r="E18" s="10"/>
      <c r="F18" s="56"/>
      <c r="G18" s="56"/>
      <c r="H18" s="57"/>
      <c r="I18" s="57"/>
      <c r="J18" s="57"/>
      <c r="K18" s="10"/>
      <c r="L18" s="10"/>
      <c r="M18" s="57"/>
      <c r="N18" s="58"/>
      <c r="O18" s="36"/>
    </row>
    <row r="19" spans="1:18" ht="15.75">
      <c r="A19" s="49"/>
      <c r="C19" s="22"/>
      <c r="D19" s="23"/>
      <c r="E19" s="23"/>
      <c r="F19" s="23"/>
      <c r="G19" s="23"/>
      <c r="H19" s="29"/>
      <c r="I19" s="26"/>
      <c r="J19" s="26"/>
      <c r="K19" s="15"/>
      <c r="L19" s="15"/>
      <c r="M19" s="26"/>
      <c r="N19" s="7"/>
    </row>
    <row r="20" spans="1:18" ht="15.75">
      <c r="A20" s="27"/>
      <c r="B20" s="28"/>
      <c r="C20" s="22"/>
      <c r="D20" s="23"/>
      <c r="E20" s="23"/>
      <c r="F20" s="23"/>
      <c r="G20" s="23"/>
      <c r="H20" s="29"/>
      <c r="I20" s="26"/>
      <c r="J20" s="26"/>
      <c r="K20" s="15"/>
      <c r="L20" s="15"/>
      <c r="M20" s="26"/>
      <c r="N20" s="7"/>
    </row>
    <row r="21" spans="1:18">
      <c r="A21" s="27"/>
      <c r="B21" s="28"/>
      <c r="C21" t="s">
        <v>23</v>
      </c>
      <c r="D21">
        <f>MAX(D5:D16)</f>
        <v>0</v>
      </c>
      <c r="E21">
        <f t="shared" ref="E21:N21" si="5">MAX(E5:E16)</f>
        <v>0</v>
      </c>
      <c r="F21">
        <f t="shared" si="5"/>
        <v>0</v>
      </c>
      <c r="G21">
        <f t="shared" si="5"/>
        <v>0</v>
      </c>
      <c r="H21">
        <f t="shared" si="5"/>
        <v>0</v>
      </c>
      <c r="I21">
        <f t="shared" si="5"/>
        <v>0</v>
      </c>
      <c r="J21">
        <f t="shared" si="5"/>
        <v>18</v>
      </c>
      <c r="K21">
        <f t="shared" si="5"/>
        <v>90</v>
      </c>
      <c r="L21">
        <f t="shared" si="5"/>
        <v>0</v>
      </c>
      <c r="M21">
        <f t="shared" si="5"/>
        <v>0</v>
      </c>
      <c r="N21">
        <f t="shared" si="5"/>
        <v>18</v>
      </c>
    </row>
    <row r="22" spans="1:18">
      <c r="C22" t="s">
        <v>24</v>
      </c>
      <c r="D22">
        <f>_xlfn.MINIFS(D5:D16,D5:D16, "&gt;0")</f>
        <v>0</v>
      </c>
      <c r="E22">
        <f t="shared" ref="E22:N22" si="6">_xlfn.MINIFS(E5:E16,E5:E16, "&gt;0")</f>
        <v>0</v>
      </c>
      <c r="F22">
        <f t="shared" si="6"/>
        <v>0</v>
      </c>
      <c r="G22">
        <f t="shared" si="6"/>
        <v>0</v>
      </c>
      <c r="H22">
        <f t="shared" si="6"/>
        <v>0</v>
      </c>
      <c r="I22">
        <f t="shared" si="6"/>
        <v>0</v>
      </c>
      <c r="J22">
        <f t="shared" si="6"/>
        <v>12.4</v>
      </c>
      <c r="K22">
        <f t="shared" si="6"/>
        <v>62</v>
      </c>
      <c r="L22">
        <f t="shared" si="6"/>
        <v>0</v>
      </c>
      <c r="M22">
        <f t="shared" si="6"/>
        <v>0</v>
      </c>
      <c r="N22">
        <f t="shared" si="6"/>
        <v>12.4</v>
      </c>
    </row>
    <row r="23" spans="1:18">
      <c r="C23" t="s">
        <v>25</v>
      </c>
      <c r="D23">
        <f>MEDIAN(D5:D16)</f>
        <v>0</v>
      </c>
      <c r="E23">
        <f t="shared" ref="E23:N23" si="7">MEDIAN(E5:E16)</f>
        <v>0</v>
      </c>
      <c r="F23">
        <f t="shared" si="7"/>
        <v>0</v>
      </c>
      <c r="G23">
        <f t="shared" si="7"/>
        <v>0</v>
      </c>
      <c r="H23">
        <f t="shared" si="7"/>
        <v>0</v>
      </c>
      <c r="I23">
        <f t="shared" si="7"/>
        <v>0</v>
      </c>
      <c r="J23">
        <f t="shared" si="7"/>
        <v>14.2</v>
      </c>
      <c r="K23">
        <f t="shared" si="7"/>
        <v>71</v>
      </c>
      <c r="L23">
        <f t="shared" si="7"/>
        <v>0</v>
      </c>
      <c r="M23">
        <f t="shared" si="7"/>
        <v>0</v>
      </c>
      <c r="N23">
        <f t="shared" si="7"/>
        <v>14.2</v>
      </c>
    </row>
    <row r="24" spans="1:18">
      <c r="B24"/>
      <c r="F24" s="11"/>
      <c r="H24" s="15"/>
      <c r="J24"/>
    </row>
    <row r="25" spans="1:18">
      <c r="B25"/>
      <c r="C25" s="11"/>
      <c r="E25" s="15"/>
      <c r="H25"/>
      <c r="J25"/>
      <c r="O25" s="21"/>
      <c r="R25"/>
    </row>
    <row r="26" spans="1:18">
      <c r="B26"/>
      <c r="C26" s="11"/>
      <c r="E26" s="15"/>
      <c r="H26"/>
      <c r="J26"/>
      <c r="O26" s="21"/>
      <c r="R26"/>
    </row>
    <row r="27" spans="1:18">
      <c r="B27"/>
      <c r="C27" s="11"/>
      <c r="E27" s="15"/>
      <c r="H27"/>
      <c r="J27"/>
      <c r="O27" s="21"/>
      <c r="R27"/>
    </row>
    <row r="28" spans="1:18">
      <c r="B28"/>
      <c r="C28" s="11"/>
      <c r="E28" s="15"/>
      <c r="H28"/>
      <c r="J28"/>
      <c r="O28" s="21"/>
      <c r="R28"/>
    </row>
    <row r="29" spans="1:18">
      <c r="B29"/>
      <c r="C29" s="11"/>
      <c r="E29" s="15"/>
      <c r="H29"/>
      <c r="J29"/>
      <c r="O29" s="21"/>
      <c r="R29"/>
    </row>
    <row r="30" spans="1:18">
      <c r="B30"/>
      <c r="C30" s="11"/>
      <c r="E30" s="15"/>
      <c r="H30"/>
      <c r="J30"/>
      <c r="O30" s="21"/>
      <c r="R30"/>
    </row>
    <row r="31" spans="1:18">
      <c r="B31"/>
      <c r="C31" s="11"/>
      <c r="E31" s="15"/>
      <c r="H31"/>
      <c r="J31"/>
      <c r="O31" s="21"/>
      <c r="R31"/>
    </row>
    <row r="32" spans="1:18">
      <c r="B32"/>
      <c r="C32" s="11"/>
      <c r="E32" s="15"/>
      <c r="H32"/>
      <c r="J32"/>
      <c r="O32" s="21"/>
      <c r="R32"/>
    </row>
    <row r="33" spans="2:18">
      <c r="B33"/>
      <c r="C33" s="11"/>
      <c r="E33" s="15"/>
      <c r="H33"/>
      <c r="J33"/>
      <c r="O33" s="21"/>
      <c r="R33"/>
    </row>
    <row r="34" spans="2:18">
      <c r="B34"/>
      <c r="C34" s="11"/>
      <c r="E34" s="15"/>
      <c r="H34"/>
      <c r="J34"/>
      <c r="O34" s="21"/>
      <c r="R34"/>
    </row>
    <row r="35" spans="2:18">
      <c r="B35"/>
      <c r="C35" s="11"/>
      <c r="E35" s="15"/>
      <c r="H35"/>
      <c r="J35"/>
      <c r="O35" s="21"/>
      <c r="R35"/>
    </row>
    <row r="36" spans="2:18">
      <c r="B36"/>
      <c r="C36" s="11"/>
      <c r="E36" s="15"/>
      <c r="H36"/>
      <c r="J36"/>
      <c r="O36" s="21"/>
      <c r="R36"/>
    </row>
    <row r="37" spans="2:18">
      <c r="B37"/>
      <c r="C37" s="11"/>
      <c r="E37" s="15"/>
      <c r="H37"/>
      <c r="J37"/>
      <c r="O37" s="21"/>
      <c r="R37"/>
    </row>
    <row r="38" spans="2:18">
      <c r="B38"/>
      <c r="C38" s="11"/>
      <c r="E38" s="15"/>
      <c r="H38"/>
      <c r="J38"/>
      <c r="O38" s="21"/>
      <c r="R38"/>
    </row>
  </sheetData>
  <mergeCells count="2">
    <mergeCell ref="A1:O1"/>
    <mergeCell ref="A2:O2"/>
  </mergeCells>
  <conditionalFormatting sqref="N5:N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7:N20">
    <cfRule type="colorScale" priority="2">
      <colorScale>
        <cfvo type="num" val="34"/>
        <cfvo type="num" val="35"/>
        <color rgb="FFFF7128"/>
        <color rgb="FF92D050"/>
      </colorScale>
    </cfRule>
  </conditionalFormatting>
  <printOptions gridLines="1"/>
  <pageMargins left="0.7" right="0.7" top="0.75" bottom="0.75" header="0.3" footer="0.3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399B-538A-4326-81D5-F56BB2966D2A}">
  <dimension ref="A1:W21"/>
  <sheetViews>
    <sheetView workbookViewId="0">
      <selection activeCell="E8" sqref="E8"/>
    </sheetView>
  </sheetViews>
  <sheetFormatPr defaultRowHeight="15"/>
  <cols>
    <col min="1" max="1" width="18.7109375" customWidth="1"/>
    <col min="2" max="2" width="24.28515625" bestFit="1" customWidth="1"/>
    <col min="3" max="13" width="4.5703125" bestFit="1" customWidth="1"/>
    <col min="14" max="14" width="4.5703125" customWidth="1"/>
    <col min="15" max="15" width="5.42578125" bestFit="1" customWidth="1"/>
    <col min="16" max="16" width="15.28515625" customWidth="1"/>
  </cols>
  <sheetData>
    <row r="1" spans="1:23" ht="24.75">
      <c r="A1" s="59" t="s">
        <v>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23" ht="24.75">
      <c r="A2" s="59" t="str">
        <f>Marksheet!A2</f>
        <v>Planetary Science (PHYS8098P)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3" spans="1:23">
      <c r="A3" s="2"/>
      <c r="B3" s="2"/>
      <c r="C3" s="3" t="s">
        <v>26</v>
      </c>
      <c r="D3" s="3" t="s">
        <v>26</v>
      </c>
      <c r="E3" s="3" t="s">
        <v>27</v>
      </c>
      <c r="F3" s="3" t="s">
        <v>27</v>
      </c>
      <c r="G3" s="3" t="s">
        <v>27</v>
      </c>
      <c r="H3" s="3" t="s">
        <v>27</v>
      </c>
      <c r="I3" s="3" t="s">
        <v>26</v>
      </c>
      <c r="J3" s="3" t="s">
        <v>27</v>
      </c>
      <c r="K3" s="3" t="s">
        <v>27</v>
      </c>
      <c r="L3" s="3" t="s">
        <v>26</v>
      </c>
      <c r="M3" s="3"/>
      <c r="N3" s="3"/>
      <c r="O3" s="2"/>
      <c r="P3" s="2"/>
    </row>
    <row r="4" spans="1:23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  <c r="M4" s="4" t="s">
        <v>40</v>
      </c>
      <c r="N4" s="4"/>
      <c r="O4" s="4" t="s">
        <v>12</v>
      </c>
      <c r="P4" s="4" t="s">
        <v>13</v>
      </c>
      <c r="S4" s="3" t="s">
        <v>26</v>
      </c>
      <c r="T4" s="3" t="s">
        <v>27</v>
      </c>
      <c r="U4" s="3" t="s">
        <v>41</v>
      </c>
      <c r="V4" s="3" t="s">
        <v>42</v>
      </c>
      <c r="W4" s="4" t="s">
        <v>12</v>
      </c>
    </row>
    <row r="5" spans="1:23">
      <c r="A5" s="6"/>
      <c r="B5" s="6" t="s">
        <v>16</v>
      </c>
      <c r="C5" s="6">
        <v>2</v>
      </c>
      <c r="D5" s="6">
        <v>2</v>
      </c>
      <c r="E5" s="6">
        <v>2</v>
      </c>
      <c r="F5" s="6">
        <v>2</v>
      </c>
      <c r="G5" s="6">
        <v>2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/>
      <c r="N5" s="6"/>
      <c r="O5" s="6">
        <f>SUM(C5:L5)</f>
        <v>30</v>
      </c>
      <c r="P5" s="6"/>
      <c r="S5" s="10">
        <f>SUM(D5,C5,I5,L5)</f>
        <v>12</v>
      </c>
      <c r="T5" s="10">
        <f>SUM(G5,F5,E5,H5,J5,K5)</f>
        <v>18</v>
      </c>
      <c r="U5" s="6"/>
      <c r="V5" s="6"/>
      <c r="W5">
        <f>SUM(S5:V5)</f>
        <v>30</v>
      </c>
    </row>
    <row r="6" spans="1:23">
      <c r="A6" s="5">
        <f>Marksheet!B5</f>
        <v>590021120</v>
      </c>
      <c r="B6" s="5" t="str">
        <f>Marksheet!A5</f>
        <v>Akshay  Alodiya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6">
        <f t="shared" ref="O6:O17" si="0">SUM(C6:L6)</f>
        <v>0</v>
      </c>
      <c r="P6" s="2"/>
      <c r="S6" s="10">
        <f t="shared" ref="S6:S17" si="1">SUM(D6,C6,I6,L6)</f>
        <v>0</v>
      </c>
      <c r="T6" s="10">
        <f t="shared" ref="T6:T17" si="2">SUM(G6,F6,E6,H6,J6,K6)</f>
        <v>0</v>
      </c>
      <c r="U6" s="6"/>
      <c r="V6" s="6"/>
      <c r="W6">
        <f t="shared" ref="W6:W17" si="3">SUM(S6:V6)</f>
        <v>0</v>
      </c>
    </row>
    <row r="7" spans="1:23">
      <c r="A7" s="5">
        <f>Marksheet!B6</f>
        <v>590021217</v>
      </c>
      <c r="B7" s="5" t="str">
        <f>Marksheet!A6</f>
        <v>Neha Nagesh Revankar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6">
        <f t="shared" si="0"/>
        <v>0</v>
      </c>
      <c r="P7" s="2"/>
      <c r="S7" s="10">
        <f t="shared" si="1"/>
        <v>0</v>
      </c>
      <c r="T7" s="10">
        <f t="shared" si="2"/>
        <v>0</v>
      </c>
      <c r="U7" s="6"/>
      <c r="V7" s="6"/>
      <c r="W7">
        <f t="shared" si="3"/>
        <v>0</v>
      </c>
    </row>
    <row r="8" spans="1:23">
      <c r="A8" s="5">
        <f>Marksheet!B7</f>
        <v>590021234</v>
      </c>
      <c r="B8" s="5" t="str">
        <f>Marksheet!A7</f>
        <v>Dhruv Kumar Singh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6">
        <f t="shared" si="0"/>
        <v>0</v>
      </c>
      <c r="P8" s="2"/>
      <c r="S8" s="10">
        <f t="shared" si="1"/>
        <v>0</v>
      </c>
      <c r="T8" s="10">
        <f t="shared" si="2"/>
        <v>0</v>
      </c>
      <c r="U8" s="6"/>
      <c r="V8" s="6"/>
      <c r="W8">
        <f t="shared" si="3"/>
        <v>0</v>
      </c>
    </row>
    <row r="9" spans="1:23">
      <c r="A9" s="5">
        <f>Marksheet!B8</f>
        <v>590025722</v>
      </c>
      <c r="B9" s="5" t="str">
        <f>Marksheet!A8</f>
        <v>Madhumita Rajesh Singh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6">
        <f t="shared" si="0"/>
        <v>0</v>
      </c>
      <c r="P9" s="2"/>
      <c r="S9" s="10">
        <f t="shared" si="1"/>
        <v>0</v>
      </c>
      <c r="T9" s="10">
        <f t="shared" si="2"/>
        <v>0</v>
      </c>
      <c r="U9" s="6"/>
      <c r="V9" s="6"/>
      <c r="W9">
        <f t="shared" si="3"/>
        <v>0</v>
      </c>
    </row>
    <row r="10" spans="1:23">
      <c r="A10" s="5">
        <f>Marksheet!B9</f>
        <v>590028752</v>
      </c>
      <c r="B10" s="5" t="str">
        <f>Marksheet!A9</f>
        <v>Harishankar Nath Tiwari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6">
        <f t="shared" si="0"/>
        <v>0</v>
      </c>
      <c r="P10" s="2"/>
      <c r="S10" s="10">
        <f t="shared" si="1"/>
        <v>0</v>
      </c>
      <c r="T10" s="10">
        <f t="shared" si="2"/>
        <v>0</v>
      </c>
      <c r="U10" s="6"/>
      <c r="V10" s="6"/>
      <c r="W10">
        <f t="shared" si="3"/>
        <v>0</v>
      </c>
    </row>
    <row r="11" spans="1:23">
      <c r="A11" s="5">
        <f>Marksheet!B10</f>
        <v>590028962</v>
      </c>
      <c r="B11" s="5" t="str">
        <f>Marksheet!A10</f>
        <v>Surwase Swapnil Tukaram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6">
        <f t="shared" si="0"/>
        <v>0</v>
      </c>
      <c r="P11" s="2"/>
      <c r="S11" s="10">
        <f t="shared" si="1"/>
        <v>0</v>
      </c>
      <c r="T11" s="10">
        <f t="shared" si="2"/>
        <v>0</v>
      </c>
      <c r="U11" s="6"/>
      <c r="V11" s="6"/>
      <c r="W11">
        <f t="shared" si="3"/>
        <v>0</v>
      </c>
    </row>
    <row r="12" spans="1:23">
      <c r="A12" s="5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6">
        <f t="shared" si="0"/>
        <v>0</v>
      </c>
      <c r="P12" s="2"/>
      <c r="S12" s="10">
        <f t="shared" si="1"/>
        <v>0</v>
      </c>
      <c r="T12" s="10">
        <f t="shared" si="2"/>
        <v>0</v>
      </c>
      <c r="U12" s="6"/>
      <c r="V12" s="6"/>
      <c r="W12">
        <f t="shared" si="3"/>
        <v>0</v>
      </c>
    </row>
    <row r="13" spans="1:23">
      <c r="A13" s="5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6">
        <f t="shared" si="0"/>
        <v>0</v>
      </c>
      <c r="P13" s="2"/>
      <c r="S13" s="10">
        <f t="shared" si="1"/>
        <v>0</v>
      </c>
      <c r="T13" s="10">
        <f t="shared" si="2"/>
        <v>0</v>
      </c>
      <c r="U13" s="6"/>
      <c r="V13" s="6"/>
      <c r="W13">
        <f t="shared" si="3"/>
        <v>0</v>
      </c>
    </row>
    <row r="14" spans="1:23">
      <c r="A14" s="5"/>
      <c r="B14" s="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6">
        <f t="shared" si="0"/>
        <v>0</v>
      </c>
      <c r="P14" s="2"/>
      <c r="S14" s="10">
        <f t="shared" si="1"/>
        <v>0</v>
      </c>
      <c r="T14" s="10">
        <f t="shared" si="2"/>
        <v>0</v>
      </c>
      <c r="U14" s="6"/>
      <c r="V14" s="6"/>
      <c r="W14">
        <f t="shared" si="3"/>
        <v>0</v>
      </c>
    </row>
    <row r="15" spans="1:23">
      <c r="A15" s="5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6">
        <f t="shared" si="0"/>
        <v>0</v>
      </c>
      <c r="P15" s="2"/>
      <c r="S15" s="10">
        <f t="shared" si="1"/>
        <v>0</v>
      </c>
      <c r="T15" s="10">
        <f t="shared" si="2"/>
        <v>0</v>
      </c>
      <c r="U15" s="6"/>
      <c r="V15" s="6"/>
      <c r="W15">
        <f t="shared" si="3"/>
        <v>0</v>
      </c>
    </row>
    <row r="16" spans="1:23">
      <c r="A16" s="5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6">
        <f t="shared" si="0"/>
        <v>0</v>
      </c>
      <c r="P16" s="2"/>
      <c r="S16" s="10">
        <f t="shared" si="1"/>
        <v>0</v>
      </c>
      <c r="T16" s="10">
        <f t="shared" si="2"/>
        <v>0</v>
      </c>
      <c r="U16" s="6"/>
      <c r="V16" s="6"/>
      <c r="W16">
        <f t="shared" si="3"/>
        <v>0</v>
      </c>
    </row>
    <row r="17" spans="1:23">
      <c r="A17" s="5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6">
        <f t="shared" si="0"/>
        <v>0</v>
      </c>
      <c r="P17" s="2"/>
      <c r="S17" s="10">
        <f t="shared" si="1"/>
        <v>0</v>
      </c>
      <c r="T17" s="10">
        <f t="shared" si="2"/>
        <v>0</v>
      </c>
      <c r="U17" s="6"/>
      <c r="V17" s="6"/>
      <c r="W17">
        <f t="shared" si="3"/>
        <v>0</v>
      </c>
    </row>
    <row r="18" spans="1:23">
      <c r="A18" s="5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23">
      <c r="A19" s="5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2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2"/>
      <c r="O20" s="2"/>
      <c r="P20" s="5"/>
    </row>
    <row r="21" spans="1:2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2"/>
      <c r="O21" s="2"/>
      <c r="P21" s="5"/>
    </row>
  </sheetData>
  <mergeCells count="2">
    <mergeCell ref="A1:P1"/>
    <mergeCell ref="A2:P2"/>
  </mergeCells>
  <pageMargins left="0.7" right="0.7" top="0.75" bottom="0.75" header="0.3" footer="0.3"/>
  <pageSetup paperSize="9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2827-4102-4501-99F8-C9B7DD668F03}">
  <dimension ref="A1:AM21"/>
  <sheetViews>
    <sheetView workbookViewId="0">
      <selection activeCell="C5" sqref="C5:L5"/>
    </sheetView>
  </sheetViews>
  <sheetFormatPr defaultRowHeight="15"/>
  <cols>
    <col min="1" max="1" width="19" customWidth="1"/>
    <col min="2" max="2" width="24.28515625" bestFit="1" customWidth="1"/>
    <col min="3" max="5" width="4.5703125" bestFit="1" customWidth="1"/>
    <col min="6" max="6" width="4" customWidth="1"/>
    <col min="7" max="13" width="4.5703125" bestFit="1" customWidth="1"/>
    <col min="14" max="32" width="4.5703125" customWidth="1"/>
    <col min="33" max="33" width="5.42578125" bestFit="1" customWidth="1"/>
    <col min="34" max="34" width="9.7109375" customWidth="1"/>
  </cols>
  <sheetData>
    <row r="1" spans="1:39" ht="24.75">
      <c r="A1" s="59" t="s">
        <v>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</row>
    <row r="2" spans="1:39" ht="24.75">
      <c r="A2" s="59" t="str">
        <f>Marksheet!A2</f>
        <v>Planetary Science (PHYS8098P)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</row>
    <row r="3" spans="1:39">
      <c r="A3" s="2"/>
      <c r="B3" s="2"/>
      <c r="C3" s="3" t="s">
        <v>26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26</v>
      </c>
      <c r="R3" s="3" t="s">
        <v>26</v>
      </c>
      <c r="S3" s="3" t="s">
        <v>27</v>
      </c>
      <c r="T3" s="3" t="s">
        <v>27</v>
      </c>
      <c r="U3" s="3" t="s">
        <v>27</v>
      </c>
      <c r="V3" s="3" t="s">
        <v>27</v>
      </c>
      <c r="W3" s="3" t="s">
        <v>27</v>
      </c>
      <c r="X3" s="3" t="s">
        <v>27</v>
      </c>
      <c r="Y3" s="3" t="s">
        <v>27</v>
      </c>
      <c r="Z3" s="3" t="s">
        <v>27</v>
      </c>
      <c r="AA3" s="3" t="s">
        <v>27</v>
      </c>
      <c r="AB3" s="3" t="s">
        <v>27</v>
      </c>
      <c r="AC3" s="3" t="s">
        <v>27</v>
      </c>
      <c r="AD3" s="3" t="s">
        <v>27</v>
      </c>
      <c r="AE3" s="3" t="s">
        <v>27</v>
      </c>
      <c r="AF3" s="3" t="s">
        <v>27</v>
      </c>
      <c r="AG3" s="2"/>
      <c r="AH3" s="2"/>
    </row>
    <row r="4" spans="1:39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  <c r="M4" s="4" t="s">
        <v>40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4" t="s">
        <v>52</v>
      </c>
      <c r="X4" s="4" t="s">
        <v>53</v>
      </c>
      <c r="Y4" s="4" t="s">
        <v>54</v>
      </c>
      <c r="Z4" s="4" t="s">
        <v>55</v>
      </c>
      <c r="AA4" s="4" t="s">
        <v>56</v>
      </c>
      <c r="AB4" s="4" t="s">
        <v>57</v>
      </c>
      <c r="AC4" s="4" t="s">
        <v>58</v>
      </c>
      <c r="AD4" s="4" t="s">
        <v>59</v>
      </c>
      <c r="AE4" s="4" t="s">
        <v>60</v>
      </c>
      <c r="AF4" s="4" t="s">
        <v>61</v>
      </c>
      <c r="AG4" s="4" t="s">
        <v>12</v>
      </c>
      <c r="AH4" s="4" t="s">
        <v>13</v>
      </c>
      <c r="AK4" s="33" t="s">
        <v>26</v>
      </c>
      <c r="AL4" s="33" t="s">
        <v>27</v>
      </c>
      <c r="AM4" s="34" t="s">
        <v>12</v>
      </c>
    </row>
    <row r="5" spans="1:39">
      <c r="A5" s="6"/>
      <c r="B5" s="6" t="s">
        <v>16</v>
      </c>
      <c r="C5" s="6">
        <v>2</v>
      </c>
      <c r="D5" s="6">
        <v>2</v>
      </c>
      <c r="E5" s="6">
        <v>2</v>
      </c>
      <c r="F5" s="6">
        <v>2</v>
      </c>
      <c r="G5" s="6">
        <v>2</v>
      </c>
      <c r="H5" s="6">
        <v>2</v>
      </c>
      <c r="I5" s="6">
        <v>2</v>
      </c>
      <c r="J5" s="6">
        <v>2</v>
      </c>
      <c r="K5" s="6">
        <v>2</v>
      </c>
      <c r="L5" s="6">
        <v>2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f>SUM(C5:AF5)</f>
        <v>20</v>
      </c>
      <c r="AH5" s="6"/>
      <c r="AK5" s="35">
        <f>SUM(C5:R5)</f>
        <v>20</v>
      </c>
      <c r="AL5" s="35">
        <f>SUM(S5:AF5)</f>
        <v>0</v>
      </c>
      <c r="AM5" s="35">
        <f>SUM(AK5:AL5)</f>
        <v>20</v>
      </c>
    </row>
    <row r="6" spans="1:39">
      <c r="A6" s="5">
        <f>'Mid Sem'!B6</f>
        <v>590021120</v>
      </c>
      <c r="B6" s="5" t="str">
        <f>Marksheet!A5</f>
        <v>Akshay  Alodiya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6">
        <f t="shared" ref="AG6:AG18" si="0">SUM(C6:AF6)</f>
        <v>0</v>
      </c>
      <c r="AH6" s="2"/>
      <c r="AK6" s="36">
        <f t="shared" ref="AK6:AK7" si="1">SUM(C6:R6)</f>
        <v>0</v>
      </c>
      <c r="AL6" s="36">
        <f t="shared" ref="AL6:AL7" si="2">SUM(S6:AF6)</f>
        <v>0</v>
      </c>
      <c r="AM6" s="35">
        <f t="shared" ref="AM6:AM17" si="3">SUM(AK6:AL6)</f>
        <v>0</v>
      </c>
    </row>
    <row r="7" spans="1:39">
      <c r="A7" s="5">
        <f>'Mid Sem'!B7</f>
        <v>590021217</v>
      </c>
      <c r="B7" s="5" t="str">
        <f>Marksheet!A6</f>
        <v>Neha Nagesh Revankar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6">
        <f t="shared" si="0"/>
        <v>0</v>
      </c>
      <c r="AH7" s="2"/>
      <c r="AK7" s="36">
        <f t="shared" si="1"/>
        <v>0</v>
      </c>
      <c r="AL7" s="36">
        <f t="shared" si="2"/>
        <v>0</v>
      </c>
      <c r="AM7" s="35">
        <f t="shared" si="3"/>
        <v>0</v>
      </c>
    </row>
    <row r="8" spans="1:39">
      <c r="A8" s="5">
        <f>'Mid Sem'!B8</f>
        <v>590021234</v>
      </c>
      <c r="B8" s="5" t="str">
        <f>Marksheet!A7</f>
        <v>Dhruv Kumar Singh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6">
        <f t="shared" si="0"/>
        <v>0</v>
      </c>
      <c r="AH8" s="2"/>
      <c r="AK8" s="36">
        <f t="shared" ref="AK8:AK17" si="4">SUM(C8:R8)</f>
        <v>0</v>
      </c>
      <c r="AL8" s="36">
        <f t="shared" ref="AL8:AL17" si="5">SUM(S8:AF8)</f>
        <v>0</v>
      </c>
      <c r="AM8" s="35">
        <f t="shared" si="3"/>
        <v>0</v>
      </c>
    </row>
    <row r="9" spans="1:39">
      <c r="A9" s="5">
        <f>'Mid Sem'!B9</f>
        <v>590025722</v>
      </c>
      <c r="B9" s="5" t="str">
        <f>Marksheet!A8</f>
        <v>Madhumita Rajesh Singh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6">
        <f t="shared" si="0"/>
        <v>0</v>
      </c>
      <c r="AH9" s="2"/>
      <c r="AK9" s="36">
        <f t="shared" si="4"/>
        <v>0</v>
      </c>
      <c r="AL9" s="36">
        <f t="shared" si="5"/>
        <v>0</v>
      </c>
      <c r="AM9" s="35">
        <f t="shared" si="3"/>
        <v>0</v>
      </c>
    </row>
    <row r="10" spans="1:39">
      <c r="A10" s="5">
        <f>'Mid Sem'!B10</f>
        <v>590028752</v>
      </c>
      <c r="B10" s="5" t="str">
        <f>Marksheet!A9</f>
        <v>Harishankar Nath Tiwari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6">
        <f t="shared" si="0"/>
        <v>0</v>
      </c>
      <c r="AH10" s="2"/>
      <c r="AK10" s="36">
        <f t="shared" si="4"/>
        <v>0</v>
      </c>
      <c r="AL10" s="36">
        <f t="shared" si="5"/>
        <v>0</v>
      </c>
      <c r="AM10" s="35">
        <f t="shared" si="3"/>
        <v>0</v>
      </c>
    </row>
    <row r="11" spans="1:39">
      <c r="A11" s="5">
        <f>'Mid Sem'!B11</f>
        <v>590028962</v>
      </c>
      <c r="B11" s="5" t="str">
        <f>Marksheet!A10</f>
        <v>Surwase Swapnil Tukaram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6">
        <f t="shared" si="0"/>
        <v>0</v>
      </c>
      <c r="AH11" s="2"/>
      <c r="AK11" s="36">
        <f t="shared" si="4"/>
        <v>0</v>
      </c>
      <c r="AL11" s="36">
        <f t="shared" si="5"/>
        <v>0</v>
      </c>
      <c r="AM11" s="35">
        <f t="shared" si="3"/>
        <v>0</v>
      </c>
    </row>
    <row r="12" spans="1:39">
      <c r="A12" s="5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6">
        <f t="shared" si="0"/>
        <v>0</v>
      </c>
      <c r="AH12" s="2"/>
      <c r="AK12" s="36">
        <f t="shared" si="4"/>
        <v>0</v>
      </c>
      <c r="AL12" s="36">
        <f t="shared" si="5"/>
        <v>0</v>
      </c>
      <c r="AM12" s="35">
        <f t="shared" si="3"/>
        <v>0</v>
      </c>
    </row>
    <row r="13" spans="1:39">
      <c r="A13" s="5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6">
        <f t="shared" si="0"/>
        <v>0</v>
      </c>
      <c r="AH13" s="2"/>
      <c r="AK13" s="36">
        <f t="shared" si="4"/>
        <v>0</v>
      </c>
      <c r="AL13" s="36">
        <f t="shared" si="5"/>
        <v>0</v>
      </c>
      <c r="AM13" s="35">
        <f t="shared" si="3"/>
        <v>0</v>
      </c>
    </row>
    <row r="14" spans="1:39">
      <c r="A14" s="5"/>
      <c r="B14" s="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6">
        <f t="shared" si="0"/>
        <v>0</v>
      </c>
      <c r="AH14" s="2"/>
      <c r="AK14" s="36">
        <f t="shared" si="4"/>
        <v>0</v>
      </c>
      <c r="AL14" s="36">
        <f t="shared" si="5"/>
        <v>0</v>
      </c>
      <c r="AM14" s="35">
        <f t="shared" si="3"/>
        <v>0</v>
      </c>
    </row>
    <row r="15" spans="1:39">
      <c r="A15" s="5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6">
        <f t="shared" si="0"/>
        <v>0</v>
      </c>
      <c r="AH15" s="2"/>
      <c r="AK15" s="36">
        <f t="shared" si="4"/>
        <v>0</v>
      </c>
      <c r="AL15" s="36">
        <f t="shared" si="5"/>
        <v>0</v>
      </c>
      <c r="AM15" s="35">
        <f t="shared" si="3"/>
        <v>0</v>
      </c>
    </row>
    <row r="16" spans="1:39">
      <c r="A16" s="5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6">
        <f t="shared" si="0"/>
        <v>0</v>
      </c>
      <c r="AH16" s="2"/>
      <c r="AK16" s="36">
        <f t="shared" si="4"/>
        <v>0</v>
      </c>
      <c r="AL16" s="36">
        <f t="shared" si="5"/>
        <v>0</v>
      </c>
      <c r="AM16" s="35">
        <f t="shared" si="3"/>
        <v>0</v>
      </c>
    </row>
    <row r="17" spans="1:39">
      <c r="A17" s="5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6">
        <f t="shared" si="0"/>
        <v>0</v>
      </c>
      <c r="AH17" s="2"/>
      <c r="AK17" s="36">
        <f t="shared" si="4"/>
        <v>0</v>
      </c>
      <c r="AL17" s="36">
        <f t="shared" si="5"/>
        <v>0</v>
      </c>
      <c r="AM17" s="35">
        <f t="shared" si="3"/>
        <v>0</v>
      </c>
    </row>
    <row r="18" spans="1:39">
      <c r="A18" s="5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6">
        <f t="shared" si="0"/>
        <v>0</v>
      </c>
      <c r="AH18" s="2"/>
    </row>
    <row r="19" spans="1:39">
      <c r="A19" s="5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9">
      <c r="A20" s="5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9">
      <c r="A21" s="5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</sheetData>
  <mergeCells count="2">
    <mergeCell ref="A1:AH1"/>
    <mergeCell ref="A2:A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9D2C-73CD-4AE4-AA1F-0CD30E8A3469}">
  <dimension ref="A1:AO21"/>
  <sheetViews>
    <sheetView zoomScale="79" workbookViewId="0">
      <selection activeCell="Q10" sqref="Q10"/>
    </sheetView>
  </sheetViews>
  <sheetFormatPr defaultRowHeight="15"/>
  <cols>
    <col min="1" max="1" width="19" customWidth="1"/>
    <col min="2" max="2" width="27.42578125" customWidth="1"/>
    <col min="3" max="5" width="4.5703125" bestFit="1" customWidth="1"/>
    <col min="6" max="6" width="4" customWidth="1"/>
    <col min="7" max="13" width="4.5703125" bestFit="1" customWidth="1"/>
    <col min="14" max="32" width="4.5703125" customWidth="1"/>
    <col min="33" max="33" width="5.42578125" bestFit="1" customWidth="1"/>
    <col min="34" max="34" width="9.7109375" customWidth="1"/>
  </cols>
  <sheetData>
    <row r="1" spans="1:41" ht="24.75">
      <c r="A1" s="59" t="s">
        <v>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</row>
    <row r="2" spans="1:41" ht="24.75">
      <c r="A2" s="59" t="str">
        <f>Marksheet!A2</f>
        <v>Planetary Science (PHYS8098P)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</row>
    <row r="3" spans="1:41">
      <c r="A3" s="2"/>
      <c r="B3" s="2"/>
      <c r="C3" s="3" t="s">
        <v>26</v>
      </c>
      <c r="D3" s="3" t="s">
        <v>26</v>
      </c>
      <c r="E3" s="3" t="s">
        <v>26</v>
      </c>
      <c r="F3" s="3" t="s">
        <v>42</v>
      </c>
      <c r="G3" s="3" t="s">
        <v>42</v>
      </c>
      <c r="H3" s="3" t="s">
        <v>26</v>
      </c>
      <c r="I3" s="3" t="s">
        <v>26</v>
      </c>
      <c r="J3" s="3" t="s">
        <v>41</v>
      </c>
      <c r="K3" s="3" t="s">
        <v>26</v>
      </c>
      <c r="L3" s="3" t="s">
        <v>26</v>
      </c>
      <c r="M3" s="3" t="s">
        <v>41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41</v>
      </c>
      <c r="U3" s="3" t="s">
        <v>42</v>
      </c>
      <c r="V3" s="3" t="s">
        <v>27</v>
      </c>
      <c r="W3" s="3" t="s">
        <v>41</v>
      </c>
      <c r="X3" s="3" t="s">
        <v>42</v>
      </c>
      <c r="Y3" s="3" t="s">
        <v>27</v>
      </c>
      <c r="Z3" s="3" t="s">
        <v>27</v>
      </c>
      <c r="AA3" s="3" t="s">
        <v>41</v>
      </c>
      <c r="AB3" s="3" t="s">
        <v>27</v>
      </c>
      <c r="AC3" s="3" t="s">
        <v>42</v>
      </c>
      <c r="AD3" s="3" t="s">
        <v>27</v>
      </c>
      <c r="AE3" s="3" t="s">
        <v>42</v>
      </c>
      <c r="AF3" s="3" t="s">
        <v>27</v>
      </c>
      <c r="AG3" s="2"/>
      <c r="AH3" s="2"/>
    </row>
    <row r="4" spans="1:41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 t="s">
        <v>12</v>
      </c>
      <c r="AH4" s="4" t="s">
        <v>13</v>
      </c>
      <c r="AK4" s="33" t="s">
        <v>26</v>
      </c>
      <c r="AL4" s="33" t="s">
        <v>27</v>
      </c>
      <c r="AM4" s="33" t="s">
        <v>41</v>
      </c>
      <c r="AN4" s="33" t="s">
        <v>42</v>
      </c>
      <c r="AO4" s="34" t="s">
        <v>12</v>
      </c>
    </row>
    <row r="5" spans="1:41">
      <c r="A5" s="6"/>
      <c r="B5" s="6" t="s">
        <v>16</v>
      </c>
      <c r="C5" s="6">
        <v>2</v>
      </c>
      <c r="D5" s="6">
        <v>2</v>
      </c>
      <c r="E5" s="6">
        <v>2</v>
      </c>
      <c r="F5" s="6">
        <v>2</v>
      </c>
      <c r="G5" s="6">
        <v>2</v>
      </c>
      <c r="H5" s="6">
        <v>2</v>
      </c>
      <c r="I5" s="6">
        <v>2</v>
      </c>
      <c r="J5" s="6">
        <v>2</v>
      </c>
      <c r="K5" s="6">
        <v>2</v>
      </c>
      <c r="L5" s="6">
        <v>2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f>SUM(C5:AF5)</f>
        <v>20</v>
      </c>
      <c r="AH5" s="6"/>
      <c r="AK5" s="42">
        <f>SUMIF($C$3:$AF$3, "CO1", $C5:$AF5)</f>
        <v>14</v>
      </c>
      <c r="AL5" s="35">
        <f>SUMIF($C$3:$AF$3, "CO2", $C5:$AF5)</f>
        <v>0</v>
      </c>
      <c r="AM5" s="35">
        <f>SUMIF($C$3:$AF$3, "CO3", $C5:$AF5)</f>
        <v>2</v>
      </c>
      <c r="AN5" s="35">
        <f>SUMIF($C$3:$AF$3, "CO4", $C5:$AF5)</f>
        <v>4</v>
      </c>
      <c r="AO5" s="35">
        <f>SUM(AK5:AN5)</f>
        <v>20</v>
      </c>
    </row>
    <row r="6" spans="1:41">
      <c r="A6" s="5">
        <f>'Mid Sem'!B6</f>
        <v>590021120</v>
      </c>
      <c r="B6" s="5" t="str">
        <f>Marksheet!A5</f>
        <v>Akshay  Alodiya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6">
        <f t="shared" ref="AG6:AG18" si="0">SUM(C6:AF6)</f>
        <v>0</v>
      </c>
      <c r="AH6" s="2"/>
      <c r="AK6" s="43">
        <f t="shared" ref="AK6:AK17" si="1">SUMIF($C$3:$AF$3, "CO1", $C6:$AF6)</f>
        <v>0</v>
      </c>
      <c r="AL6" s="44">
        <f t="shared" ref="AL6:AL17" si="2">SUMIF($C$3:$AF$3, "CO2", $C6:$AF6)</f>
        <v>0</v>
      </c>
      <c r="AM6" s="44">
        <f t="shared" ref="AM6:AM16" si="3">SUMIF($C$3:$AF$3, "CO3", $C6:$AF6)</f>
        <v>0</v>
      </c>
      <c r="AN6" s="44">
        <f t="shared" ref="AN6:AN17" si="4">SUMIF($C$3:$AF$3, "CO4", $C6:$AF6)</f>
        <v>0</v>
      </c>
      <c r="AO6" s="35">
        <f t="shared" ref="AO6:AO17" si="5">SUM(AK6:AN6)</f>
        <v>0</v>
      </c>
    </row>
    <row r="7" spans="1:41">
      <c r="A7" s="5">
        <f>'Mid Sem'!B7</f>
        <v>590021217</v>
      </c>
      <c r="B7" s="5" t="str">
        <f>Marksheet!A6</f>
        <v>Neha Nagesh Revankar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6">
        <f t="shared" si="0"/>
        <v>0</v>
      </c>
      <c r="AH7" s="2"/>
      <c r="AK7" s="43">
        <f t="shared" si="1"/>
        <v>0</v>
      </c>
      <c r="AL7" s="44">
        <f t="shared" si="2"/>
        <v>0</v>
      </c>
      <c r="AM7" s="44">
        <f t="shared" si="3"/>
        <v>0</v>
      </c>
      <c r="AN7" s="44">
        <f t="shared" si="4"/>
        <v>0</v>
      </c>
      <c r="AO7" s="35">
        <f t="shared" si="5"/>
        <v>0</v>
      </c>
    </row>
    <row r="8" spans="1:41">
      <c r="A8" s="5">
        <f>'Mid Sem'!B8</f>
        <v>590021234</v>
      </c>
      <c r="B8" s="5" t="str">
        <f>Marksheet!A7</f>
        <v>Dhruv Kumar Singh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6"/>
      <c r="AH8" s="2"/>
      <c r="AK8" s="43">
        <f t="shared" si="1"/>
        <v>0</v>
      </c>
      <c r="AL8" s="44">
        <f t="shared" si="2"/>
        <v>0</v>
      </c>
      <c r="AM8" s="44">
        <f t="shared" si="3"/>
        <v>0</v>
      </c>
      <c r="AN8" s="44">
        <f t="shared" si="4"/>
        <v>0</v>
      </c>
      <c r="AO8" s="35">
        <f t="shared" si="5"/>
        <v>0</v>
      </c>
    </row>
    <row r="9" spans="1:41">
      <c r="A9" s="5">
        <f>'Mid Sem'!B9</f>
        <v>590025722</v>
      </c>
      <c r="B9" s="5" t="str">
        <f>Marksheet!A8</f>
        <v>Madhumita Rajesh Singh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6">
        <f t="shared" si="0"/>
        <v>0</v>
      </c>
      <c r="AH9" s="2"/>
      <c r="AK9" s="43">
        <f t="shared" si="1"/>
        <v>0</v>
      </c>
      <c r="AL9" s="44">
        <f t="shared" si="2"/>
        <v>0</v>
      </c>
      <c r="AM9" s="44">
        <f t="shared" si="3"/>
        <v>0</v>
      </c>
      <c r="AN9" s="44">
        <f t="shared" si="4"/>
        <v>0</v>
      </c>
      <c r="AO9" s="35">
        <f t="shared" si="5"/>
        <v>0</v>
      </c>
    </row>
    <row r="10" spans="1:41">
      <c r="A10" s="5">
        <f>'Mid Sem'!B10</f>
        <v>590028752</v>
      </c>
      <c r="B10" s="5" t="str">
        <f>Marksheet!A9</f>
        <v>Harishankar Nath Tiwari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6">
        <f t="shared" si="0"/>
        <v>0</v>
      </c>
      <c r="AH10" s="2"/>
      <c r="AK10" s="43">
        <f t="shared" si="1"/>
        <v>0</v>
      </c>
      <c r="AL10" s="44">
        <f t="shared" si="2"/>
        <v>0</v>
      </c>
      <c r="AM10" s="44">
        <f t="shared" si="3"/>
        <v>0</v>
      </c>
      <c r="AN10" s="44">
        <f t="shared" si="4"/>
        <v>0</v>
      </c>
      <c r="AO10" s="35">
        <f t="shared" si="5"/>
        <v>0</v>
      </c>
    </row>
    <row r="11" spans="1:41">
      <c r="A11" s="5">
        <f>'Mid Sem'!B11</f>
        <v>590028962</v>
      </c>
      <c r="B11" s="5" t="str">
        <f>Marksheet!A10</f>
        <v>Surwase Swapnil Tukaram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6">
        <f t="shared" si="0"/>
        <v>0</v>
      </c>
      <c r="AH11" s="2"/>
      <c r="AK11" s="43">
        <f t="shared" si="1"/>
        <v>0</v>
      </c>
      <c r="AL11" s="44">
        <f t="shared" si="2"/>
        <v>0</v>
      </c>
      <c r="AM11" s="44">
        <f t="shared" si="3"/>
        <v>0</v>
      </c>
      <c r="AN11" s="44">
        <f t="shared" si="4"/>
        <v>0</v>
      </c>
      <c r="AO11" s="35">
        <f t="shared" si="5"/>
        <v>0</v>
      </c>
    </row>
    <row r="12" spans="1:41">
      <c r="A12" s="5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6">
        <f t="shared" si="0"/>
        <v>0</v>
      </c>
      <c r="AH12" s="2"/>
      <c r="AK12" s="43">
        <f t="shared" si="1"/>
        <v>0</v>
      </c>
      <c r="AL12" s="44">
        <f t="shared" si="2"/>
        <v>0</v>
      </c>
      <c r="AM12" s="44">
        <f t="shared" si="3"/>
        <v>0</v>
      </c>
      <c r="AN12" s="44">
        <f t="shared" si="4"/>
        <v>0</v>
      </c>
      <c r="AO12" s="35">
        <f t="shared" si="5"/>
        <v>0</v>
      </c>
    </row>
    <row r="13" spans="1:41">
      <c r="A13" s="5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6">
        <f t="shared" si="0"/>
        <v>0</v>
      </c>
      <c r="AH13" s="2"/>
      <c r="AK13" s="43">
        <f t="shared" si="1"/>
        <v>0</v>
      </c>
      <c r="AL13" s="44">
        <f t="shared" si="2"/>
        <v>0</v>
      </c>
      <c r="AM13" s="44">
        <f t="shared" si="3"/>
        <v>0</v>
      </c>
      <c r="AN13" s="44">
        <f t="shared" si="4"/>
        <v>0</v>
      </c>
      <c r="AO13" s="35">
        <f t="shared" si="5"/>
        <v>0</v>
      </c>
    </row>
    <row r="14" spans="1:41">
      <c r="A14" s="5"/>
      <c r="B14" s="5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6">
        <f t="shared" si="0"/>
        <v>0</v>
      </c>
      <c r="AH14" s="2"/>
      <c r="AK14" s="43">
        <f t="shared" si="1"/>
        <v>0</v>
      </c>
      <c r="AL14" s="44">
        <f t="shared" si="2"/>
        <v>0</v>
      </c>
      <c r="AM14" s="44">
        <f t="shared" si="3"/>
        <v>0</v>
      </c>
      <c r="AN14" s="44">
        <f t="shared" si="4"/>
        <v>0</v>
      </c>
      <c r="AO14" s="35">
        <f t="shared" si="5"/>
        <v>0</v>
      </c>
    </row>
    <row r="15" spans="1:41">
      <c r="A15" s="5"/>
      <c r="B15" s="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6">
        <f t="shared" si="0"/>
        <v>0</v>
      </c>
      <c r="AH15" s="2"/>
      <c r="AK15" s="43">
        <f t="shared" si="1"/>
        <v>0</v>
      </c>
      <c r="AL15" s="44">
        <f t="shared" si="2"/>
        <v>0</v>
      </c>
      <c r="AM15" s="44">
        <f t="shared" si="3"/>
        <v>0</v>
      </c>
      <c r="AN15" s="44">
        <f t="shared" si="4"/>
        <v>0</v>
      </c>
      <c r="AO15" s="35">
        <f t="shared" si="5"/>
        <v>0</v>
      </c>
    </row>
    <row r="16" spans="1:41">
      <c r="A16" s="5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6">
        <v>0</v>
      </c>
      <c r="AH16" s="2"/>
      <c r="AK16" s="43">
        <f t="shared" si="1"/>
        <v>0</v>
      </c>
      <c r="AL16" s="44">
        <f t="shared" si="2"/>
        <v>0</v>
      </c>
      <c r="AM16" s="44">
        <f t="shared" si="3"/>
        <v>0</v>
      </c>
      <c r="AN16" s="44">
        <f t="shared" si="4"/>
        <v>0</v>
      </c>
      <c r="AO16" s="35">
        <f t="shared" si="5"/>
        <v>0</v>
      </c>
    </row>
    <row r="17" spans="1:41">
      <c r="A17" s="5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6">
        <f t="shared" si="0"/>
        <v>0</v>
      </c>
      <c r="AH17" s="2"/>
      <c r="AK17" s="43">
        <f t="shared" si="1"/>
        <v>0</v>
      </c>
      <c r="AL17" s="44">
        <f t="shared" si="2"/>
        <v>0</v>
      </c>
      <c r="AM17" s="44">
        <f>SUMIF($C$3:$AF$3, "CO3", $C17:$AF17)</f>
        <v>0</v>
      </c>
      <c r="AN17" s="44">
        <f t="shared" si="4"/>
        <v>0</v>
      </c>
      <c r="AO17" s="35">
        <f t="shared" si="5"/>
        <v>0</v>
      </c>
    </row>
    <row r="18" spans="1:41">
      <c r="A18" s="5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6">
        <f t="shared" si="0"/>
        <v>0</v>
      </c>
      <c r="AH18" s="2"/>
      <c r="AK18" s="43"/>
      <c r="AL18" s="43"/>
      <c r="AM18" s="43"/>
      <c r="AN18" s="43"/>
      <c r="AO18" s="42"/>
    </row>
    <row r="19" spans="1:41">
      <c r="A19" s="5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K19" s="43"/>
      <c r="AL19" s="43"/>
      <c r="AM19" s="43"/>
      <c r="AN19" s="43"/>
      <c r="AO19" s="43"/>
    </row>
    <row r="20" spans="1:41">
      <c r="A20" s="5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K20" s="43"/>
      <c r="AL20" s="43"/>
      <c r="AM20" s="43"/>
      <c r="AN20" s="43"/>
      <c r="AO20" s="43"/>
    </row>
    <row r="21" spans="1:41">
      <c r="A21" s="5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K21" s="43"/>
      <c r="AL21" s="43"/>
      <c r="AM21" s="43"/>
      <c r="AN21" s="43"/>
      <c r="AO21" s="43"/>
    </row>
  </sheetData>
  <mergeCells count="2">
    <mergeCell ref="A1:AH1"/>
    <mergeCell ref="A2:A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20EC-5887-4CA4-8B00-C82693C60F77}">
  <sheetPr>
    <pageSetUpPr fitToPage="1"/>
  </sheetPr>
  <dimension ref="A1:V55"/>
  <sheetViews>
    <sheetView tabSelected="1" workbookViewId="0">
      <selection sqref="A1:O12"/>
    </sheetView>
  </sheetViews>
  <sheetFormatPr defaultRowHeight="15"/>
  <cols>
    <col min="1" max="1" width="25" customWidth="1"/>
    <col min="2" max="2" width="24.5703125" style="11" customWidth="1"/>
    <col min="15" max="15" width="13.140625" customWidth="1"/>
  </cols>
  <sheetData>
    <row r="1" spans="1:22" ht="24.75">
      <c r="A1" s="59" t="s">
        <v>62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22" ht="24.75">
      <c r="A2" s="59" t="str">
        <f>Marksheet!A2</f>
        <v>Planetary Science (PHYS8098P)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spans="1:22">
      <c r="A3" s="2"/>
      <c r="B3" s="12"/>
      <c r="C3" s="3" t="s">
        <v>41</v>
      </c>
      <c r="D3" s="3" t="s">
        <v>41</v>
      </c>
      <c r="E3" s="3" t="s">
        <v>26</v>
      </c>
      <c r="F3" s="3" t="s">
        <v>27</v>
      </c>
      <c r="G3" s="3" t="s">
        <v>26</v>
      </c>
      <c r="H3" s="3" t="s">
        <v>41</v>
      </c>
      <c r="I3" s="3" t="s">
        <v>26</v>
      </c>
      <c r="J3" s="3" t="s">
        <v>27</v>
      </c>
      <c r="K3" s="3" t="s">
        <v>27</v>
      </c>
      <c r="L3" s="3"/>
      <c r="M3" s="3"/>
      <c r="N3" s="2"/>
      <c r="O3" s="2"/>
    </row>
    <row r="4" spans="1:22">
      <c r="A4" s="4" t="s">
        <v>29</v>
      </c>
      <c r="B4" s="13" t="s">
        <v>63</v>
      </c>
      <c r="C4" s="8" t="s">
        <v>30</v>
      </c>
      <c r="D4" s="8" t="s">
        <v>31</v>
      </c>
      <c r="E4" s="8" t="s">
        <v>32</v>
      </c>
      <c r="F4" s="8" t="s">
        <v>33</v>
      </c>
      <c r="G4" s="8" t="s">
        <v>34</v>
      </c>
      <c r="H4" s="8" t="s">
        <v>35</v>
      </c>
      <c r="I4" s="8" t="s">
        <v>36</v>
      </c>
      <c r="J4" s="8" t="s">
        <v>37</v>
      </c>
      <c r="K4" s="8" t="s">
        <v>38</v>
      </c>
      <c r="L4" s="8" t="s">
        <v>39</v>
      </c>
      <c r="M4" s="8" t="s">
        <v>40</v>
      </c>
      <c r="N4" s="8" t="s">
        <v>12</v>
      </c>
      <c r="O4" s="8" t="s">
        <v>13</v>
      </c>
      <c r="R4" s="76" t="s">
        <v>26</v>
      </c>
      <c r="S4" s="76" t="s">
        <v>27</v>
      </c>
      <c r="T4" s="76" t="s">
        <v>41</v>
      </c>
      <c r="U4" s="76" t="s">
        <v>42</v>
      </c>
      <c r="V4" s="77" t="s">
        <v>12</v>
      </c>
    </row>
    <row r="5" spans="1:22">
      <c r="A5" s="6"/>
      <c r="B5" s="9" t="s">
        <v>16</v>
      </c>
      <c r="C5" s="9">
        <v>6</v>
      </c>
      <c r="D5" s="9">
        <v>6</v>
      </c>
      <c r="E5" s="9">
        <v>6</v>
      </c>
      <c r="F5" s="9">
        <v>6</v>
      </c>
      <c r="G5" s="9">
        <v>6</v>
      </c>
      <c r="H5" s="9">
        <v>15</v>
      </c>
      <c r="I5" s="9">
        <v>15</v>
      </c>
      <c r="J5" s="9">
        <v>15</v>
      </c>
      <c r="K5" s="9">
        <v>25</v>
      </c>
      <c r="L5" s="9"/>
      <c r="M5" s="9"/>
      <c r="N5" s="9">
        <f>SUM(C5:K5)</f>
        <v>100</v>
      </c>
      <c r="O5" s="9"/>
      <c r="R5" s="81">
        <f>SUMIF($C$3:$M$3,R$4,$C5:$M5)</f>
        <v>27</v>
      </c>
      <c r="S5" s="81">
        <f t="shared" ref="S5:U5" si="0">SUMIF($C$3:$M$3,S$4,$C5:$M5)</f>
        <v>46</v>
      </c>
      <c r="T5" s="81">
        <f t="shared" si="0"/>
        <v>27</v>
      </c>
      <c r="U5" s="81">
        <f t="shared" si="0"/>
        <v>0</v>
      </c>
      <c r="V5" s="82">
        <f>SUM(R5:U5)</f>
        <v>100</v>
      </c>
    </row>
    <row r="6" spans="1:22">
      <c r="A6" s="5" t="str">
        <f>Marksheet!A5</f>
        <v>Akshay  Alodiya</v>
      </c>
      <c r="B6" s="12">
        <f>Marksheet!B5</f>
        <v>590021120</v>
      </c>
      <c r="C6" s="41">
        <v>4</v>
      </c>
      <c r="D6" s="41">
        <v>6</v>
      </c>
      <c r="E6" s="41">
        <v>6</v>
      </c>
      <c r="F6" s="41">
        <v>5</v>
      </c>
      <c r="G6" s="41">
        <v>4</v>
      </c>
      <c r="H6" s="41">
        <v>10</v>
      </c>
      <c r="I6" s="41">
        <v>12</v>
      </c>
      <c r="J6" s="41">
        <v>7</v>
      </c>
      <c r="K6" s="41">
        <v>13</v>
      </c>
      <c r="L6" s="41"/>
      <c r="M6" s="2"/>
      <c r="N6" s="9">
        <f t="shared" ref="N6:N12" si="1">SUM(C6:K6)</f>
        <v>67</v>
      </c>
      <c r="O6" s="2"/>
      <c r="R6" s="78">
        <f t="shared" ref="R6:R21" si="2">SUM(C6,E6)</f>
        <v>10</v>
      </c>
      <c r="S6" s="78">
        <f t="shared" ref="S6:S21" si="3">SUM(D6,F6,H6,J6)</f>
        <v>28</v>
      </c>
      <c r="T6" s="80">
        <f t="shared" ref="T6:T21" si="4">SUM(K6)*3/5</f>
        <v>7.8</v>
      </c>
      <c r="U6" s="80">
        <f t="shared" ref="U6:U21" si="5">G6 + I6 + K6*2/5</f>
        <v>21.2</v>
      </c>
      <c r="V6" s="79">
        <f t="shared" ref="V6:V21" si="6">SUM(R6:U6)</f>
        <v>67</v>
      </c>
    </row>
    <row r="7" spans="1:22">
      <c r="A7" s="5" t="str">
        <f>Marksheet!A6</f>
        <v>Neha Nagesh Revankar</v>
      </c>
      <c r="B7" s="12">
        <f>Marksheet!B6</f>
        <v>590021217</v>
      </c>
      <c r="C7" s="41">
        <v>4</v>
      </c>
      <c r="D7" s="41">
        <v>6</v>
      </c>
      <c r="E7" s="41">
        <v>5</v>
      </c>
      <c r="F7" s="41">
        <v>6</v>
      </c>
      <c r="G7" s="41">
        <v>4</v>
      </c>
      <c r="H7" s="41">
        <v>10</v>
      </c>
      <c r="I7" s="41">
        <v>10</v>
      </c>
      <c r="J7" s="41">
        <v>12</v>
      </c>
      <c r="K7" s="41">
        <v>25</v>
      </c>
      <c r="L7" s="41"/>
      <c r="M7" s="2"/>
      <c r="N7" s="9">
        <f t="shared" si="1"/>
        <v>82</v>
      </c>
      <c r="O7" s="2"/>
      <c r="R7" s="78">
        <f t="shared" si="2"/>
        <v>9</v>
      </c>
      <c r="S7" s="78">
        <f t="shared" si="3"/>
        <v>34</v>
      </c>
      <c r="T7" s="80">
        <f t="shared" si="4"/>
        <v>15</v>
      </c>
      <c r="U7" s="80">
        <f t="shared" si="5"/>
        <v>24</v>
      </c>
      <c r="V7" s="79">
        <f t="shared" si="6"/>
        <v>82</v>
      </c>
    </row>
    <row r="8" spans="1:22">
      <c r="A8" s="5" t="str">
        <f>Marksheet!A7</f>
        <v>Dhruv Kumar Singh</v>
      </c>
      <c r="B8" s="12">
        <f>Marksheet!B7</f>
        <v>590021234</v>
      </c>
      <c r="C8" s="41">
        <v>3</v>
      </c>
      <c r="D8" s="41">
        <v>5</v>
      </c>
      <c r="E8" s="41">
        <v>4.5</v>
      </c>
      <c r="F8" s="41">
        <v>5</v>
      </c>
      <c r="G8" s="41">
        <v>5</v>
      </c>
      <c r="H8" s="41">
        <v>6</v>
      </c>
      <c r="I8" s="41">
        <v>9.5</v>
      </c>
      <c r="J8" s="41">
        <v>10</v>
      </c>
      <c r="K8" s="41">
        <v>14</v>
      </c>
      <c r="L8" s="41"/>
      <c r="M8" s="2"/>
      <c r="N8" s="9">
        <f t="shared" si="1"/>
        <v>62</v>
      </c>
      <c r="O8" s="2"/>
      <c r="R8" s="78">
        <f t="shared" si="2"/>
        <v>7.5</v>
      </c>
      <c r="S8" s="78">
        <f t="shared" si="3"/>
        <v>26</v>
      </c>
      <c r="T8" s="80">
        <f t="shared" si="4"/>
        <v>8.4</v>
      </c>
      <c r="U8" s="80">
        <f t="shared" si="5"/>
        <v>20.100000000000001</v>
      </c>
      <c r="V8" s="79">
        <f t="shared" si="6"/>
        <v>62</v>
      </c>
    </row>
    <row r="9" spans="1:22">
      <c r="A9" s="5" t="str">
        <f>Marksheet!A8</f>
        <v>Madhumita Rajesh Singh</v>
      </c>
      <c r="B9" s="12">
        <f>Marksheet!B8</f>
        <v>590025722</v>
      </c>
      <c r="C9" s="41">
        <v>6</v>
      </c>
      <c r="D9" s="41">
        <v>6</v>
      </c>
      <c r="E9" s="41">
        <v>5</v>
      </c>
      <c r="F9" s="41">
        <v>6</v>
      </c>
      <c r="G9" s="41">
        <v>6</v>
      </c>
      <c r="H9" s="41">
        <v>8</v>
      </c>
      <c r="I9" s="41">
        <v>15</v>
      </c>
      <c r="J9" s="41">
        <v>13</v>
      </c>
      <c r="K9" s="41">
        <v>25</v>
      </c>
      <c r="L9" s="41"/>
      <c r="M9" s="2"/>
      <c r="N9" s="9">
        <f t="shared" si="1"/>
        <v>90</v>
      </c>
      <c r="O9" s="2"/>
      <c r="R9" s="78">
        <f t="shared" si="2"/>
        <v>11</v>
      </c>
      <c r="S9" s="78">
        <f t="shared" si="3"/>
        <v>33</v>
      </c>
      <c r="T9" s="80">
        <f t="shared" si="4"/>
        <v>15</v>
      </c>
      <c r="U9" s="80">
        <f t="shared" si="5"/>
        <v>31</v>
      </c>
      <c r="V9" s="79">
        <f t="shared" si="6"/>
        <v>90</v>
      </c>
    </row>
    <row r="10" spans="1:22">
      <c r="A10" s="5" t="str">
        <f>Marksheet!A9</f>
        <v>Harishankar Nath Tiwari</v>
      </c>
      <c r="B10" s="12">
        <f>Marksheet!B9</f>
        <v>590028752</v>
      </c>
      <c r="C10" s="41">
        <v>6</v>
      </c>
      <c r="D10" s="41">
        <v>6</v>
      </c>
      <c r="E10" s="41">
        <v>6</v>
      </c>
      <c r="F10" s="41">
        <v>6</v>
      </c>
      <c r="G10" s="41">
        <v>5</v>
      </c>
      <c r="H10" s="41">
        <v>2</v>
      </c>
      <c r="I10" s="41">
        <v>4</v>
      </c>
      <c r="J10" s="41">
        <v>14</v>
      </c>
      <c r="K10" s="41">
        <v>23</v>
      </c>
      <c r="L10" s="41"/>
      <c r="M10" s="2"/>
      <c r="N10" s="9">
        <f t="shared" si="1"/>
        <v>72</v>
      </c>
      <c r="O10" s="2"/>
      <c r="R10" s="78">
        <f t="shared" si="2"/>
        <v>12</v>
      </c>
      <c r="S10" s="78">
        <f t="shared" si="3"/>
        <v>28</v>
      </c>
      <c r="T10" s="80">
        <f t="shared" si="4"/>
        <v>13.8</v>
      </c>
      <c r="U10" s="80">
        <f t="shared" si="5"/>
        <v>18.2</v>
      </c>
      <c r="V10" s="79">
        <f t="shared" si="6"/>
        <v>72</v>
      </c>
    </row>
    <row r="11" spans="1:22">
      <c r="A11" s="70" t="str">
        <f>Marksheet!A10</f>
        <v>Surwase Swapnil Tukaram</v>
      </c>
      <c r="B11" s="71">
        <f>Marksheet!B10</f>
        <v>590028962</v>
      </c>
      <c r="C11" s="72">
        <v>6</v>
      </c>
      <c r="D11" s="72">
        <v>6</v>
      </c>
      <c r="E11" s="72">
        <v>6</v>
      </c>
      <c r="F11" s="72">
        <v>6</v>
      </c>
      <c r="G11" s="72">
        <v>4</v>
      </c>
      <c r="H11" s="72">
        <v>8</v>
      </c>
      <c r="I11" s="73">
        <v>5</v>
      </c>
      <c r="J11" s="73">
        <v>4</v>
      </c>
      <c r="K11" s="73">
        <v>25</v>
      </c>
      <c r="L11" s="73"/>
      <c r="M11" s="74"/>
      <c r="N11" s="75">
        <f t="shared" si="1"/>
        <v>70</v>
      </c>
      <c r="O11" s="74"/>
      <c r="R11" s="78">
        <f t="shared" si="2"/>
        <v>12</v>
      </c>
      <c r="S11" s="78">
        <f t="shared" si="3"/>
        <v>24</v>
      </c>
      <c r="T11" s="80">
        <f t="shared" si="4"/>
        <v>15</v>
      </c>
      <c r="U11" s="80">
        <f t="shared" si="5"/>
        <v>19</v>
      </c>
      <c r="V11" s="79">
        <f t="shared" si="6"/>
        <v>70</v>
      </c>
    </row>
    <row r="12" spans="1:22">
      <c r="A12" s="64"/>
      <c r="B12" s="65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7"/>
      <c r="N12" s="68">
        <f t="shared" si="1"/>
        <v>0</v>
      </c>
      <c r="O12" s="67"/>
      <c r="P12" s="67"/>
      <c r="Q12" s="67"/>
      <c r="R12" s="69"/>
      <c r="S12" s="69"/>
      <c r="T12" s="64"/>
      <c r="U12" s="64"/>
      <c r="V12" s="67"/>
    </row>
    <row r="13" spans="1:22">
      <c r="A13" s="64"/>
      <c r="B13" s="65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7"/>
      <c r="N13" s="68">
        <f>SUM(C13:K13)</f>
        <v>0</v>
      </c>
      <c r="O13" s="67"/>
      <c r="P13" s="67"/>
      <c r="Q13" s="67"/>
      <c r="R13" s="69"/>
      <c r="S13" s="69"/>
      <c r="T13" s="64"/>
      <c r="U13" s="64"/>
      <c r="V13" s="67"/>
    </row>
    <row r="14" spans="1:22">
      <c r="A14" s="64"/>
      <c r="B14" s="65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7"/>
      <c r="N14" s="68">
        <f>SUM(C14:K14)</f>
        <v>0</v>
      </c>
      <c r="O14" s="67"/>
      <c r="P14" s="67"/>
      <c r="Q14" s="67"/>
      <c r="R14" s="69"/>
      <c r="S14" s="69"/>
      <c r="T14" s="64"/>
      <c r="U14" s="64"/>
      <c r="V14" s="67"/>
    </row>
    <row r="15" spans="1:22">
      <c r="A15" s="64"/>
      <c r="B15" s="65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7"/>
      <c r="N15" s="68">
        <f>SUM(C15:K15)</f>
        <v>0</v>
      </c>
      <c r="O15" s="67"/>
      <c r="P15" s="67"/>
      <c r="Q15" s="67"/>
      <c r="R15" s="69"/>
      <c r="S15" s="69"/>
      <c r="T15" s="64"/>
      <c r="U15" s="64"/>
      <c r="V15" s="67"/>
    </row>
    <row r="16" spans="1:22">
      <c r="A16" s="64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7"/>
      <c r="N16" s="68">
        <f>SUM(C16:K16)</f>
        <v>0</v>
      </c>
      <c r="O16" s="67"/>
      <c r="P16" s="67"/>
      <c r="Q16" s="67"/>
      <c r="R16" s="69"/>
      <c r="S16" s="69"/>
      <c r="T16" s="64"/>
      <c r="U16" s="64"/>
      <c r="V16" s="67"/>
    </row>
    <row r="17" spans="1:22">
      <c r="A17" s="64"/>
      <c r="B17" s="65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7"/>
      <c r="N17" s="68">
        <f>SUM(C17:K17)</f>
        <v>0</v>
      </c>
      <c r="O17" s="67"/>
      <c r="P17" s="67"/>
      <c r="Q17" s="67"/>
      <c r="R17" s="69"/>
      <c r="S17" s="69"/>
      <c r="T17" s="64"/>
      <c r="U17" s="64"/>
      <c r="V17" s="67"/>
    </row>
    <row r="18" spans="1:22">
      <c r="A18" s="64"/>
      <c r="B18" s="65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7"/>
      <c r="N18" s="68">
        <f t="shared" ref="N7:N21" si="7">SUM(C18:H18)</f>
        <v>0</v>
      </c>
      <c r="O18" s="67"/>
      <c r="P18" s="67"/>
      <c r="Q18" s="67"/>
      <c r="R18" s="69"/>
      <c r="S18" s="69"/>
      <c r="T18" s="64"/>
      <c r="U18" s="64"/>
      <c r="V18" s="67"/>
    </row>
    <row r="19" spans="1:22">
      <c r="A19" s="64"/>
      <c r="B19" s="65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7"/>
      <c r="N19" s="68">
        <f t="shared" si="7"/>
        <v>0</v>
      </c>
      <c r="O19" s="67"/>
      <c r="P19" s="67"/>
      <c r="Q19" s="67"/>
      <c r="R19" s="69"/>
      <c r="S19" s="69"/>
      <c r="T19" s="64"/>
      <c r="U19" s="64"/>
      <c r="V19" s="67"/>
    </row>
    <row r="20" spans="1:22">
      <c r="A20" s="64"/>
      <c r="B20" s="65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8">
        <f t="shared" si="7"/>
        <v>0</v>
      </c>
      <c r="O20" s="67"/>
      <c r="P20" s="67"/>
      <c r="Q20" s="67"/>
      <c r="R20" s="69"/>
      <c r="S20" s="69"/>
      <c r="T20" s="64"/>
      <c r="U20" s="64"/>
      <c r="V20" s="67"/>
    </row>
    <row r="21" spans="1:22">
      <c r="A21" s="64"/>
      <c r="B21" s="65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8">
        <f t="shared" si="7"/>
        <v>0</v>
      </c>
      <c r="O21" s="67"/>
      <c r="P21" s="67"/>
      <c r="Q21" s="67"/>
      <c r="R21" s="69"/>
      <c r="S21" s="69"/>
      <c r="T21" s="64"/>
      <c r="U21" s="64"/>
      <c r="V21" s="67"/>
    </row>
    <row r="22" spans="1:22">
      <c r="A22" s="67"/>
      <c r="B22" s="65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</row>
    <row r="23" spans="1:22">
      <c r="A23" s="67"/>
      <c r="B23" s="65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</row>
    <row r="24" spans="1:22">
      <c r="A24" s="67"/>
      <c r="B24" s="65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</row>
    <row r="25" spans="1:22">
      <c r="A25" s="67"/>
      <c r="B25" s="65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</row>
    <row r="26" spans="1:22">
      <c r="A26" s="67"/>
      <c r="B26" s="65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</row>
    <row r="42" spans="2:2">
      <c r="B42" s="28"/>
    </row>
    <row r="43" spans="2:2">
      <c r="B43" s="28"/>
    </row>
    <row r="44" spans="2:2">
      <c r="B44" s="28"/>
    </row>
    <row r="45" spans="2:2">
      <c r="B45" s="28"/>
    </row>
    <row r="46" spans="2:2">
      <c r="B46" s="28"/>
    </row>
    <row r="47" spans="2:2">
      <c r="B47" s="28"/>
    </row>
    <row r="48" spans="2:2">
      <c r="B48" s="28"/>
    </row>
    <row r="49" spans="2:2">
      <c r="B49" s="28"/>
    </row>
    <row r="50" spans="2:2">
      <c r="B50" s="28"/>
    </row>
    <row r="51" spans="2:2">
      <c r="B51" s="28"/>
    </row>
    <row r="52" spans="2:2">
      <c r="B52" s="28"/>
    </row>
    <row r="53" spans="2:2">
      <c r="B53" s="28"/>
    </row>
    <row r="54" spans="2:2">
      <c r="B54" s="28"/>
    </row>
    <row r="55" spans="2:2">
      <c r="B55" s="28"/>
    </row>
  </sheetData>
  <mergeCells count="2">
    <mergeCell ref="A1:O1"/>
    <mergeCell ref="A2:O2"/>
  </mergeCells>
  <phoneticPr fontId="4" type="noConversion"/>
  <pageMargins left="0.25" right="0.25" top="0.75" bottom="0.75" header="0.3" footer="0.3"/>
  <pageSetup paperSize="9" scale="7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C6E4-73FE-451F-9DA1-2F8671C4541C}">
  <sheetPr>
    <pageSetUpPr fitToPage="1"/>
  </sheetPr>
  <dimension ref="A1:V21"/>
  <sheetViews>
    <sheetView workbookViewId="0">
      <selection activeCell="K8" sqref="K8"/>
    </sheetView>
  </sheetViews>
  <sheetFormatPr defaultRowHeight="15"/>
  <cols>
    <col min="1" max="1" width="10.140625" bestFit="1" customWidth="1"/>
    <col min="2" max="2" width="24.28515625" bestFit="1" customWidth="1"/>
    <col min="3" max="13" width="4.5703125" bestFit="1" customWidth="1"/>
    <col min="14" max="14" width="5.42578125" bestFit="1" customWidth="1"/>
    <col min="15" max="15" width="4.7109375" bestFit="1" customWidth="1"/>
  </cols>
  <sheetData>
    <row r="1" spans="1:22" ht="24.75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22" ht="24.75">
      <c r="A2" s="59" t="str">
        <f>Marksheet!A2</f>
        <v>Planetary Science (PHYS8098P)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spans="1:22">
      <c r="A3" s="2"/>
      <c r="B3" s="2"/>
      <c r="C3" s="3" t="s">
        <v>27</v>
      </c>
      <c r="D3" s="3" t="s">
        <v>41</v>
      </c>
      <c r="E3" s="3" t="s">
        <v>41</v>
      </c>
      <c r="F3" s="3" t="s">
        <v>42</v>
      </c>
      <c r="G3" s="3" t="s">
        <v>42</v>
      </c>
      <c r="H3" s="3" t="s">
        <v>27</v>
      </c>
      <c r="I3" s="3" t="s">
        <v>41</v>
      </c>
      <c r="J3" s="3" t="s">
        <v>41</v>
      </c>
      <c r="K3" s="3" t="s">
        <v>42</v>
      </c>
      <c r="L3" s="3" t="s">
        <v>42</v>
      </c>
      <c r="M3" s="3"/>
      <c r="N3" s="2"/>
      <c r="O3" s="2"/>
    </row>
    <row r="4" spans="1:22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  <c r="M4" s="4"/>
      <c r="N4" s="4" t="s">
        <v>12</v>
      </c>
      <c r="O4" s="4" t="s">
        <v>13</v>
      </c>
      <c r="R4" s="33" t="s">
        <v>26</v>
      </c>
      <c r="S4" s="33" t="s">
        <v>27</v>
      </c>
      <c r="T4" s="33" t="s">
        <v>41</v>
      </c>
      <c r="U4" s="33" t="s">
        <v>42</v>
      </c>
      <c r="V4" s="34" t="s">
        <v>12</v>
      </c>
    </row>
    <row r="5" spans="1:22">
      <c r="A5" s="6"/>
      <c r="B5" s="6" t="s">
        <v>16</v>
      </c>
      <c r="C5" s="6">
        <v>2</v>
      </c>
      <c r="D5" s="6">
        <v>2</v>
      </c>
      <c r="E5" s="6">
        <v>2</v>
      </c>
      <c r="F5" s="6">
        <v>2</v>
      </c>
      <c r="G5" s="6">
        <v>2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/>
      <c r="N5" s="6">
        <f>SUM(C5:L5)</f>
        <v>30</v>
      </c>
      <c r="O5" s="6"/>
      <c r="R5" s="42">
        <v>0</v>
      </c>
      <c r="S5" s="35">
        <f>SUM(C5,H5)</f>
        <v>6</v>
      </c>
      <c r="T5" s="35">
        <f>SUM(D5,E5,I5,J5)</f>
        <v>12</v>
      </c>
      <c r="U5" s="35">
        <f>SUM(K5,L5,G5,F5)</f>
        <v>12</v>
      </c>
      <c r="V5" s="35">
        <f>SUM(R5:U5)</f>
        <v>30</v>
      </c>
    </row>
    <row r="6" spans="1:22">
      <c r="A6" s="5">
        <f>Marksheet!B5</f>
        <v>590021120</v>
      </c>
      <c r="B6" s="5" t="str">
        <f>Marksheet!A5</f>
        <v>Akshay  Alodiya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6">
        <f t="shared" ref="N6:N17" si="0">SUM(C6:L6)</f>
        <v>0</v>
      </c>
      <c r="O6" s="2"/>
      <c r="R6" s="46">
        <v>0</v>
      </c>
      <c r="S6" s="47">
        <f t="shared" ref="S6:S17" si="1">SUM(C6,H6)</f>
        <v>0</v>
      </c>
      <c r="T6" s="47">
        <f t="shared" ref="T6:T17" si="2">SUM(D6,E6,I6,J6)</f>
        <v>0</v>
      </c>
      <c r="U6" s="47">
        <f t="shared" ref="U6:U17" si="3">SUM(K6,L6,G6,F6)</f>
        <v>0</v>
      </c>
      <c r="V6" s="35">
        <f t="shared" ref="V6:V17" si="4">SUM(R6:U6)</f>
        <v>0</v>
      </c>
    </row>
    <row r="7" spans="1:22">
      <c r="A7" s="5">
        <f>Marksheet!B6</f>
        <v>590021217</v>
      </c>
      <c r="B7" s="5" t="str">
        <f>Marksheet!A6</f>
        <v>Neha Nagesh Revankar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6">
        <f t="shared" si="0"/>
        <v>0</v>
      </c>
      <c r="O7" s="2"/>
      <c r="R7" s="46">
        <v>0</v>
      </c>
      <c r="S7" s="47">
        <f t="shared" si="1"/>
        <v>0</v>
      </c>
      <c r="T7" s="47">
        <f t="shared" si="2"/>
        <v>0</v>
      </c>
      <c r="U7" s="47">
        <f t="shared" si="3"/>
        <v>0</v>
      </c>
      <c r="V7" s="35">
        <f t="shared" si="4"/>
        <v>0</v>
      </c>
    </row>
    <row r="8" spans="1:22">
      <c r="A8" s="5">
        <f>Marksheet!B7</f>
        <v>590021234</v>
      </c>
      <c r="B8" s="5" t="str">
        <f>Marksheet!A7</f>
        <v>Dhruv Kumar Singh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6">
        <f t="shared" si="0"/>
        <v>0</v>
      </c>
      <c r="O8" s="2"/>
      <c r="R8" s="46">
        <v>0</v>
      </c>
      <c r="S8" s="47">
        <f t="shared" si="1"/>
        <v>0</v>
      </c>
      <c r="T8" s="47">
        <f t="shared" si="2"/>
        <v>0</v>
      </c>
      <c r="U8" s="47">
        <f t="shared" si="3"/>
        <v>0</v>
      </c>
      <c r="V8" s="35">
        <f t="shared" si="4"/>
        <v>0</v>
      </c>
    </row>
    <row r="9" spans="1:22">
      <c r="A9" s="5">
        <f>Marksheet!B8</f>
        <v>590025722</v>
      </c>
      <c r="B9" s="5" t="str">
        <f>Marksheet!A8</f>
        <v>Madhumita Rajesh Singh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6">
        <f t="shared" si="0"/>
        <v>0</v>
      </c>
      <c r="O9" s="2"/>
      <c r="R9" s="46">
        <v>0</v>
      </c>
      <c r="S9" s="47">
        <f t="shared" si="1"/>
        <v>0</v>
      </c>
      <c r="T9" s="47">
        <f t="shared" si="2"/>
        <v>0</v>
      </c>
      <c r="U9" s="47">
        <f t="shared" si="3"/>
        <v>0</v>
      </c>
      <c r="V9" s="35">
        <f t="shared" si="4"/>
        <v>0</v>
      </c>
    </row>
    <row r="10" spans="1:22">
      <c r="A10" s="5">
        <f>Marksheet!B9</f>
        <v>590028752</v>
      </c>
      <c r="B10" s="5" t="str">
        <f>Marksheet!A9</f>
        <v>Harishankar Nath Tiwari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6">
        <f t="shared" si="0"/>
        <v>0</v>
      </c>
      <c r="O10" s="2"/>
      <c r="R10" s="46">
        <v>0</v>
      </c>
      <c r="S10" s="47">
        <f t="shared" si="1"/>
        <v>0</v>
      </c>
      <c r="T10" s="47">
        <f t="shared" si="2"/>
        <v>0</v>
      </c>
      <c r="U10" s="47">
        <f t="shared" si="3"/>
        <v>0</v>
      </c>
      <c r="V10" s="35">
        <f t="shared" si="4"/>
        <v>0</v>
      </c>
    </row>
    <row r="11" spans="1:22">
      <c r="A11" s="5">
        <f>Marksheet!B10</f>
        <v>590028962</v>
      </c>
      <c r="B11" s="5" t="str">
        <f>Marksheet!A10</f>
        <v>Surwase Swapnil Tukaram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6">
        <f t="shared" si="0"/>
        <v>0</v>
      </c>
      <c r="O11" s="2"/>
      <c r="R11" s="46">
        <v>0</v>
      </c>
      <c r="S11" s="47">
        <f t="shared" si="1"/>
        <v>0</v>
      </c>
      <c r="T11" s="47">
        <f t="shared" si="2"/>
        <v>0</v>
      </c>
      <c r="U11" s="47">
        <f t="shared" si="3"/>
        <v>0</v>
      </c>
      <c r="V11" s="35">
        <f t="shared" si="4"/>
        <v>0</v>
      </c>
    </row>
    <row r="12" spans="1:22">
      <c r="A12" s="5">
        <f>Marksheet!B11</f>
        <v>0</v>
      </c>
      <c r="B12" s="5">
        <f>Marksheet!A11</f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6">
        <f t="shared" si="0"/>
        <v>0</v>
      </c>
      <c r="O12" s="2"/>
      <c r="R12" s="46">
        <v>0</v>
      </c>
      <c r="S12" s="47">
        <f t="shared" si="1"/>
        <v>0</v>
      </c>
      <c r="T12" s="47">
        <f t="shared" si="2"/>
        <v>0</v>
      </c>
      <c r="U12" s="47">
        <f t="shared" si="3"/>
        <v>0</v>
      </c>
      <c r="V12" s="35">
        <f t="shared" si="4"/>
        <v>0</v>
      </c>
    </row>
    <row r="13" spans="1:22">
      <c r="A13" s="5">
        <f>Marksheet!B12</f>
        <v>0</v>
      </c>
      <c r="B13" s="5">
        <f>Marksheet!A12</f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6">
        <f t="shared" si="0"/>
        <v>0</v>
      </c>
      <c r="O13" s="2"/>
      <c r="R13" s="46">
        <v>0</v>
      </c>
      <c r="S13" s="47">
        <f t="shared" si="1"/>
        <v>0</v>
      </c>
      <c r="T13" s="47">
        <f t="shared" si="2"/>
        <v>0</v>
      </c>
      <c r="U13" s="47">
        <f t="shared" si="3"/>
        <v>0</v>
      </c>
      <c r="V13" s="35">
        <f t="shared" si="4"/>
        <v>0</v>
      </c>
    </row>
    <row r="14" spans="1:22">
      <c r="A14" s="5">
        <f>Marksheet!B13</f>
        <v>0</v>
      </c>
      <c r="B14" s="5">
        <f>Marksheet!A13</f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6">
        <f t="shared" si="0"/>
        <v>0</v>
      </c>
      <c r="O14" s="2"/>
      <c r="R14" s="46">
        <v>0</v>
      </c>
      <c r="S14" s="47">
        <f t="shared" si="1"/>
        <v>0</v>
      </c>
      <c r="T14" s="47">
        <f t="shared" si="2"/>
        <v>0</v>
      </c>
      <c r="U14" s="47">
        <f t="shared" si="3"/>
        <v>0</v>
      </c>
      <c r="V14" s="35">
        <f t="shared" si="4"/>
        <v>0</v>
      </c>
    </row>
    <row r="15" spans="1:22">
      <c r="A15" s="5">
        <f>Marksheet!B14</f>
        <v>0</v>
      </c>
      <c r="B15" s="5">
        <f>Marksheet!A14</f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6">
        <f t="shared" si="0"/>
        <v>0</v>
      </c>
      <c r="O15" s="2"/>
      <c r="R15" s="46">
        <v>0</v>
      </c>
      <c r="S15" s="47">
        <f t="shared" si="1"/>
        <v>0</v>
      </c>
      <c r="T15" s="47">
        <f t="shared" si="2"/>
        <v>0</v>
      </c>
      <c r="U15" s="47">
        <f t="shared" si="3"/>
        <v>0</v>
      </c>
      <c r="V15" s="35">
        <f t="shared" si="4"/>
        <v>0</v>
      </c>
    </row>
    <row r="16" spans="1:22">
      <c r="A16" s="5">
        <f>Marksheet!B15</f>
        <v>0</v>
      </c>
      <c r="B16" s="5">
        <f>Marksheet!A15</f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6">
        <f t="shared" si="0"/>
        <v>0</v>
      </c>
      <c r="O16" s="2"/>
      <c r="R16" s="46">
        <v>0</v>
      </c>
      <c r="S16" s="47">
        <f t="shared" si="1"/>
        <v>0</v>
      </c>
      <c r="T16" s="47">
        <f t="shared" si="2"/>
        <v>0</v>
      </c>
      <c r="U16" s="47">
        <f t="shared" si="3"/>
        <v>0</v>
      </c>
      <c r="V16" s="35">
        <f t="shared" si="4"/>
        <v>0</v>
      </c>
    </row>
    <row r="17" spans="1:22">
      <c r="A17" s="5">
        <f>Marksheet!B16</f>
        <v>0</v>
      </c>
      <c r="B17" s="5">
        <f>Marksheet!A16</f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6">
        <f t="shared" si="0"/>
        <v>0</v>
      </c>
      <c r="O17" s="2"/>
      <c r="R17" s="46">
        <v>0</v>
      </c>
      <c r="S17" s="47">
        <f t="shared" si="1"/>
        <v>0</v>
      </c>
      <c r="T17" s="47">
        <f t="shared" si="2"/>
        <v>0</v>
      </c>
      <c r="U17" s="47">
        <f t="shared" si="3"/>
        <v>0</v>
      </c>
      <c r="V17" s="35">
        <f t="shared" si="4"/>
        <v>0</v>
      </c>
    </row>
    <row r="18" spans="1:22">
      <c r="A18" s="5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6"/>
      <c r="O18" s="2"/>
      <c r="R18" s="43"/>
      <c r="S18" s="43"/>
      <c r="T18" s="43"/>
      <c r="U18" s="43"/>
      <c r="V18" s="47"/>
    </row>
    <row r="19" spans="1:22">
      <c r="A19" s="5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6"/>
      <c r="O19" s="2"/>
      <c r="R19" s="43"/>
      <c r="S19" s="43"/>
      <c r="T19" s="43"/>
      <c r="U19" s="43"/>
      <c r="V19" s="43"/>
    </row>
    <row r="20" spans="1:22">
      <c r="A20" s="5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6"/>
      <c r="O20" s="2"/>
      <c r="R20" s="43"/>
      <c r="S20" s="43"/>
      <c r="T20" s="43"/>
      <c r="U20" s="43"/>
      <c r="V20" s="43"/>
    </row>
    <row r="21" spans="1:22">
      <c r="A21" s="5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6"/>
      <c r="O21" s="2"/>
      <c r="R21" s="43"/>
      <c r="S21" s="43"/>
      <c r="T21" s="43"/>
      <c r="U21" s="43"/>
      <c r="V21" s="43"/>
    </row>
  </sheetData>
  <mergeCells count="2">
    <mergeCell ref="A1:O1"/>
    <mergeCell ref="A2:O2"/>
  </mergeCells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A9C77-33C1-4CBC-91FC-1994BECB7B48}">
  <sheetPr>
    <pageSetUpPr fitToPage="1"/>
  </sheetPr>
  <dimension ref="A1:U22"/>
  <sheetViews>
    <sheetView workbookViewId="0">
      <selection activeCell="F9" sqref="F9"/>
    </sheetView>
  </sheetViews>
  <sheetFormatPr defaultRowHeight="15"/>
  <cols>
    <col min="1" max="1" width="20.7109375" style="20" customWidth="1"/>
    <col min="2" max="2" width="24.5703125" customWidth="1"/>
    <col min="15" max="15" width="13.140625" customWidth="1"/>
  </cols>
  <sheetData>
    <row r="1" spans="1:21" ht="24.75">
      <c r="A1" s="59" t="s">
        <v>64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21" ht="24.75">
      <c r="A2" s="59" t="str">
        <f>Marksheet!A2</f>
        <v>Planetary Science (PHYS8098P)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spans="1:21">
      <c r="A3" s="16"/>
      <c r="B3" s="2"/>
      <c r="C3" s="3" t="s">
        <v>26</v>
      </c>
      <c r="D3" s="3" t="s">
        <v>27</v>
      </c>
      <c r="E3" s="3" t="s">
        <v>41</v>
      </c>
      <c r="F3" s="3" t="s">
        <v>26</v>
      </c>
      <c r="G3" s="3" t="s">
        <v>27</v>
      </c>
      <c r="H3" s="3" t="s">
        <v>26</v>
      </c>
      <c r="I3" s="3" t="s">
        <v>41</v>
      </c>
      <c r="J3" s="3" t="s">
        <v>41</v>
      </c>
      <c r="K3" s="3" t="s">
        <v>42</v>
      </c>
      <c r="L3" s="3" t="s">
        <v>41</v>
      </c>
      <c r="M3" s="3" t="s">
        <v>42</v>
      </c>
      <c r="N3" s="2"/>
      <c r="O3" s="2"/>
    </row>
    <row r="4" spans="1:21">
      <c r="A4" s="17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  <c r="M4" s="4" t="s">
        <v>40</v>
      </c>
      <c r="N4" s="4" t="s">
        <v>12</v>
      </c>
      <c r="O4" s="4" t="s">
        <v>13</v>
      </c>
      <c r="Q4" s="33" t="s">
        <v>26</v>
      </c>
      <c r="R4" s="33" t="s">
        <v>27</v>
      </c>
      <c r="S4" s="33" t="s">
        <v>41</v>
      </c>
      <c r="T4" s="33" t="s">
        <v>42</v>
      </c>
      <c r="U4" s="34" t="s">
        <v>12</v>
      </c>
    </row>
    <row r="5" spans="1:21">
      <c r="A5" s="18"/>
      <c r="B5" s="6" t="s">
        <v>16</v>
      </c>
      <c r="C5" s="6">
        <v>4</v>
      </c>
      <c r="D5" s="6">
        <v>4</v>
      </c>
      <c r="E5" s="6">
        <v>4</v>
      </c>
      <c r="F5" s="6">
        <v>4</v>
      </c>
      <c r="G5" s="6">
        <v>4</v>
      </c>
      <c r="H5" s="6">
        <v>10</v>
      </c>
      <c r="I5" s="6">
        <v>10</v>
      </c>
      <c r="J5" s="6">
        <v>10</v>
      </c>
      <c r="K5" s="6">
        <v>10</v>
      </c>
      <c r="L5" s="6">
        <v>20</v>
      </c>
      <c r="M5" s="6">
        <v>20</v>
      </c>
      <c r="N5" s="6">
        <f>SUM(C5:M5)</f>
        <v>100</v>
      </c>
      <c r="O5" s="6"/>
      <c r="Q5" s="42">
        <f>C5+F5+H5</f>
        <v>18</v>
      </c>
      <c r="R5" s="35">
        <f>SUM(D5,G5)</f>
        <v>8</v>
      </c>
      <c r="S5" s="35">
        <f>SUM(E5,I5,J5,L5)</f>
        <v>44</v>
      </c>
      <c r="T5" s="35">
        <f>SUM(M5,K5)</f>
        <v>30</v>
      </c>
      <c r="U5" s="35">
        <f>SUM(Q5:T5)</f>
        <v>100</v>
      </c>
    </row>
    <row r="6" spans="1:21">
      <c r="A6" s="19">
        <f>'Mid Sem'!B6</f>
        <v>590021120</v>
      </c>
      <c r="B6" s="5" t="str">
        <f>'Mid Sem'!A6</f>
        <v>Akshay  Alodiya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6">
        <f t="shared" ref="N6:N18" si="0">SUM(C6:M6)</f>
        <v>0</v>
      </c>
      <c r="O6" s="2"/>
      <c r="Q6" s="42">
        <f t="shared" ref="Q6:Q18" si="1">C6+F6+H6</f>
        <v>0</v>
      </c>
      <c r="R6" s="35">
        <f t="shared" ref="R6:R18" si="2">SUM(D6,G6)</f>
        <v>0</v>
      </c>
      <c r="S6" s="35">
        <f t="shared" ref="S6:S18" si="3">SUM(E6,I6,J6,L6)</f>
        <v>0</v>
      </c>
      <c r="T6" s="35">
        <f t="shared" ref="T6:T18" si="4">SUM(M6,K6)</f>
        <v>0</v>
      </c>
      <c r="U6" s="35">
        <f t="shared" ref="U6:U17" si="5">SUM(Q6:T6)</f>
        <v>0</v>
      </c>
    </row>
    <row r="7" spans="1:21">
      <c r="A7" s="19">
        <f>'Mid Sem'!B7</f>
        <v>590021217</v>
      </c>
      <c r="B7" s="5" t="str">
        <f>'Mid Sem'!A7</f>
        <v>Neha Nagesh Revankar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6">
        <f t="shared" si="0"/>
        <v>0</v>
      </c>
      <c r="O7" s="2"/>
      <c r="Q7" s="42">
        <f t="shared" si="1"/>
        <v>0</v>
      </c>
      <c r="R7" s="35">
        <f t="shared" si="2"/>
        <v>0</v>
      </c>
      <c r="S7" s="35">
        <f t="shared" si="3"/>
        <v>0</v>
      </c>
      <c r="T7" s="35">
        <f t="shared" si="4"/>
        <v>0</v>
      </c>
      <c r="U7" s="35">
        <f t="shared" si="5"/>
        <v>0</v>
      </c>
    </row>
    <row r="8" spans="1:21">
      <c r="A8" s="19">
        <f>'Mid Sem'!B8</f>
        <v>590021234</v>
      </c>
      <c r="B8" s="5" t="str">
        <f>'Mid Sem'!A8</f>
        <v>Dhruv Kumar Singh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6">
        <f t="shared" si="0"/>
        <v>0</v>
      </c>
      <c r="O8" s="2"/>
      <c r="Q8" s="42">
        <f t="shared" si="1"/>
        <v>0</v>
      </c>
      <c r="R8" s="35">
        <f t="shared" si="2"/>
        <v>0</v>
      </c>
      <c r="S8" s="35">
        <f t="shared" si="3"/>
        <v>0</v>
      </c>
      <c r="T8" s="35">
        <f t="shared" si="4"/>
        <v>0</v>
      </c>
      <c r="U8" s="35">
        <f t="shared" si="5"/>
        <v>0</v>
      </c>
    </row>
    <row r="9" spans="1:21">
      <c r="A9" s="19">
        <f>'Mid Sem'!B9</f>
        <v>590025722</v>
      </c>
      <c r="B9" s="5" t="str">
        <f>'Mid Sem'!A9</f>
        <v>Madhumita Rajesh Singh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6">
        <f t="shared" si="0"/>
        <v>0</v>
      </c>
      <c r="O9" s="2"/>
      <c r="Q9" s="42">
        <f t="shared" si="1"/>
        <v>0</v>
      </c>
      <c r="R9" s="35">
        <f t="shared" si="2"/>
        <v>0</v>
      </c>
      <c r="S9" s="35">
        <f t="shared" si="3"/>
        <v>0</v>
      </c>
      <c r="T9" s="35">
        <f t="shared" si="4"/>
        <v>0</v>
      </c>
      <c r="U9" s="35">
        <f t="shared" si="5"/>
        <v>0</v>
      </c>
    </row>
    <row r="10" spans="1:21">
      <c r="A10" s="19">
        <f>'Mid Sem'!B10</f>
        <v>590028752</v>
      </c>
      <c r="B10" s="5" t="str">
        <f>'Mid Sem'!A10</f>
        <v>Harishankar Nath Tiwari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6">
        <f t="shared" si="0"/>
        <v>0</v>
      </c>
      <c r="O10" s="2"/>
      <c r="Q10" s="42">
        <f t="shared" si="1"/>
        <v>0</v>
      </c>
      <c r="R10" s="35">
        <f t="shared" si="2"/>
        <v>0</v>
      </c>
      <c r="S10" s="35">
        <f t="shared" si="3"/>
        <v>0</v>
      </c>
      <c r="T10" s="35">
        <f t="shared" si="4"/>
        <v>0</v>
      </c>
      <c r="U10" s="35">
        <f t="shared" si="5"/>
        <v>0</v>
      </c>
    </row>
    <row r="11" spans="1:21">
      <c r="A11" s="19">
        <f>'Mid Sem'!B11</f>
        <v>590028962</v>
      </c>
      <c r="B11" s="5" t="str">
        <f>'Mid Sem'!A11</f>
        <v>Surwase Swapnil Tukaram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6">
        <f t="shared" si="0"/>
        <v>0</v>
      </c>
      <c r="O11" s="2"/>
      <c r="Q11" s="42">
        <f t="shared" si="1"/>
        <v>0</v>
      </c>
      <c r="R11" s="35">
        <f t="shared" si="2"/>
        <v>0</v>
      </c>
      <c r="S11" s="35">
        <f t="shared" si="3"/>
        <v>0</v>
      </c>
      <c r="T11" s="35">
        <f t="shared" si="4"/>
        <v>0</v>
      </c>
      <c r="U11" s="35">
        <f t="shared" si="5"/>
        <v>0</v>
      </c>
    </row>
    <row r="12" spans="1:21">
      <c r="A12" s="19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6">
        <f t="shared" si="0"/>
        <v>0</v>
      </c>
      <c r="O12" s="2"/>
      <c r="Q12" s="42">
        <f t="shared" si="1"/>
        <v>0</v>
      </c>
      <c r="R12" s="35">
        <f t="shared" si="2"/>
        <v>0</v>
      </c>
      <c r="S12" s="35">
        <f t="shared" si="3"/>
        <v>0</v>
      </c>
      <c r="T12" s="35">
        <f t="shared" si="4"/>
        <v>0</v>
      </c>
      <c r="U12" s="35">
        <f t="shared" si="5"/>
        <v>0</v>
      </c>
    </row>
    <row r="13" spans="1:21">
      <c r="A13" s="19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6">
        <f t="shared" si="0"/>
        <v>0</v>
      </c>
      <c r="O13" s="2"/>
      <c r="Q13" s="42">
        <f t="shared" si="1"/>
        <v>0</v>
      </c>
      <c r="R13" s="35">
        <f t="shared" si="2"/>
        <v>0</v>
      </c>
      <c r="S13" s="35">
        <f t="shared" si="3"/>
        <v>0</v>
      </c>
      <c r="T13" s="35">
        <f t="shared" si="4"/>
        <v>0</v>
      </c>
      <c r="U13" s="35">
        <f t="shared" si="5"/>
        <v>0</v>
      </c>
    </row>
    <row r="14" spans="1:21">
      <c r="A14" s="19"/>
      <c r="B14" s="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6">
        <f t="shared" si="0"/>
        <v>0</v>
      </c>
      <c r="O14" s="2"/>
      <c r="Q14" s="42">
        <f t="shared" si="1"/>
        <v>0</v>
      </c>
      <c r="R14" s="35">
        <f t="shared" si="2"/>
        <v>0</v>
      </c>
      <c r="S14" s="35">
        <f t="shared" si="3"/>
        <v>0</v>
      </c>
      <c r="T14" s="35">
        <f t="shared" si="4"/>
        <v>0</v>
      </c>
      <c r="U14" s="35">
        <f t="shared" si="5"/>
        <v>0</v>
      </c>
    </row>
    <row r="15" spans="1:21">
      <c r="A15" s="19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6">
        <f t="shared" si="0"/>
        <v>0</v>
      </c>
      <c r="O15" s="2"/>
      <c r="Q15" s="42">
        <f t="shared" si="1"/>
        <v>0</v>
      </c>
      <c r="R15" s="35">
        <f t="shared" si="2"/>
        <v>0</v>
      </c>
      <c r="S15" s="35">
        <f t="shared" si="3"/>
        <v>0</v>
      </c>
      <c r="T15" s="35">
        <f t="shared" si="4"/>
        <v>0</v>
      </c>
      <c r="U15" s="35">
        <f t="shared" si="5"/>
        <v>0</v>
      </c>
    </row>
    <row r="16" spans="1:21">
      <c r="A16" s="19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6">
        <f t="shared" si="0"/>
        <v>0</v>
      </c>
      <c r="O16" s="2"/>
      <c r="Q16" s="42">
        <f t="shared" si="1"/>
        <v>0</v>
      </c>
      <c r="R16" s="35">
        <f t="shared" si="2"/>
        <v>0</v>
      </c>
      <c r="S16" s="35">
        <f t="shared" si="3"/>
        <v>0</v>
      </c>
      <c r="T16" s="35">
        <f t="shared" si="4"/>
        <v>0</v>
      </c>
      <c r="U16" s="35">
        <f t="shared" si="5"/>
        <v>0</v>
      </c>
    </row>
    <row r="17" spans="1:21">
      <c r="A17" s="19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6">
        <f t="shared" si="0"/>
        <v>0</v>
      </c>
      <c r="O17" s="2"/>
      <c r="Q17" s="42">
        <f t="shared" si="1"/>
        <v>0</v>
      </c>
      <c r="R17" s="35">
        <f t="shared" si="2"/>
        <v>0</v>
      </c>
      <c r="S17" s="35">
        <f t="shared" si="3"/>
        <v>0</v>
      </c>
      <c r="T17" s="35">
        <f t="shared" si="4"/>
        <v>0</v>
      </c>
      <c r="U17" s="35">
        <f t="shared" si="5"/>
        <v>0</v>
      </c>
    </row>
    <row r="18" spans="1:21">
      <c r="A18" s="19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6">
        <f t="shared" si="0"/>
        <v>0</v>
      </c>
      <c r="O18" s="2"/>
      <c r="Q18" s="42">
        <f t="shared" si="1"/>
        <v>0</v>
      </c>
      <c r="R18" s="35">
        <f t="shared" si="2"/>
        <v>0</v>
      </c>
      <c r="S18" s="35">
        <f t="shared" si="3"/>
        <v>0</v>
      </c>
      <c r="T18" s="35">
        <f t="shared" si="4"/>
        <v>0</v>
      </c>
      <c r="U18" s="47"/>
    </row>
    <row r="19" spans="1:21">
      <c r="A19" s="19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6"/>
      <c r="O19" s="2"/>
    </row>
    <row r="20" spans="1:21">
      <c r="A20" s="19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6"/>
      <c r="O20" s="2"/>
    </row>
    <row r="21" spans="1:21">
      <c r="A21" s="19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6"/>
      <c r="O21" s="2"/>
    </row>
    <row r="22" spans="1:21">
      <c r="A22" s="16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</sheetData>
  <mergeCells count="2">
    <mergeCell ref="A1:O1"/>
    <mergeCell ref="A2:O2"/>
  </mergeCells>
  <pageMargins left="0.7" right="0.7" top="0.75" bottom="0.75" header="0.3" footer="0.3"/>
  <pageSetup paperSize="9" scale="7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/>
  <cp:revision/>
  <dcterms:created xsi:type="dcterms:W3CDTF">2025-02-05T08:19:31Z</dcterms:created>
  <dcterms:modified xsi:type="dcterms:W3CDTF">2026-10-17T11:18:40Z</dcterms:modified>
  <cp:category/>
  <cp:contentStatus/>
</cp:coreProperties>
</file>