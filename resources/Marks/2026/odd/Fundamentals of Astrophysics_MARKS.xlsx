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india01-my.sharepoint.com/personal/nitesh_kumar_ddn_upes_ac_in/Documents/UPES/2026/Aug-Dec-2026/Fundamentals of Astrophysics/Marks/"/>
    </mc:Choice>
  </mc:AlternateContent>
  <xr:revisionPtr revIDLastSave="0" documentId="8_{3A167BF9-D2EF-4D69-B63B-66AABFFB26C3}" xr6:coauthVersionLast="47" xr6:coauthVersionMax="47" xr10:uidLastSave="{00000000-0000-0000-0000-000000000000}"/>
  <bookViews>
    <workbookView xWindow="-120" yWindow="-120" windowWidth="20730" windowHeight="11040" tabRatio="553" firstSheet="1" activeTab="1" xr2:uid="{00000000-000D-0000-FFFF-FFFF00000000}"/>
  </bookViews>
  <sheets>
    <sheet name="Marksheet" sheetId="2" r:id="rId1"/>
    <sheet name="Class Test 1" sheetId="7" r:id="rId2"/>
    <sheet name="Assignment 1" sheetId="6" r:id="rId3"/>
    <sheet name="Assignment 2" sheetId="12" r:id="rId4"/>
    <sheet name="Mid Sem" sheetId="5" r:id="rId5"/>
    <sheet name="Class Test 2" sheetId="8" r:id="rId6"/>
    <sheet name="End Sem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7" l="1"/>
  <c r="O19" i="7"/>
  <c r="S6" i="7"/>
  <c r="T6" i="7"/>
  <c r="U6" i="7"/>
  <c r="V6" i="7"/>
  <c r="S7" i="7"/>
  <c r="T7" i="7"/>
  <c r="U7" i="7"/>
  <c r="V7" i="7"/>
  <c r="S8" i="7"/>
  <c r="T8" i="7"/>
  <c r="U8" i="7"/>
  <c r="V8" i="7"/>
  <c r="S9" i="7"/>
  <c r="T9" i="7"/>
  <c r="U9" i="7"/>
  <c r="V9" i="7"/>
  <c r="S10" i="7"/>
  <c r="T10" i="7"/>
  <c r="U10" i="7"/>
  <c r="V10" i="7"/>
  <c r="S11" i="7"/>
  <c r="T11" i="7"/>
  <c r="U11" i="7"/>
  <c r="V11" i="7"/>
  <c r="S12" i="7"/>
  <c r="T12" i="7"/>
  <c r="U12" i="7"/>
  <c r="V12" i="7"/>
  <c r="S13" i="7"/>
  <c r="T13" i="7"/>
  <c r="U13" i="7"/>
  <c r="V13" i="7"/>
  <c r="S14" i="7"/>
  <c r="T14" i="7"/>
  <c r="U14" i="7"/>
  <c r="V14" i="7"/>
  <c r="S15" i="7"/>
  <c r="T15" i="7"/>
  <c r="U15" i="7"/>
  <c r="V15" i="7"/>
  <c r="S16" i="7"/>
  <c r="T16" i="7"/>
  <c r="U16" i="7"/>
  <c r="V16" i="7"/>
  <c r="S17" i="7"/>
  <c r="T17" i="7"/>
  <c r="U17" i="7"/>
  <c r="V17" i="7"/>
  <c r="S18" i="7"/>
  <c r="T18" i="7"/>
  <c r="U18" i="7"/>
  <c r="V18" i="7"/>
  <c r="S19" i="7"/>
  <c r="T19" i="7"/>
  <c r="U19" i="7"/>
  <c r="V19" i="7"/>
  <c r="S20" i="7"/>
  <c r="T20" i="7"/>
  <c r="U20" i="7"/>
  <c r="V20" i="7"/>
  <c r="S21" i="7"/>
  <c r="T21" i="7"/>
  <c r="U21" i="7"/>
  <c r="V21" i="7"/>
  <c r="AL5" i="6"/>
  <c r="AM5" i="6"/>
  <c r="AN5" i="6"/>
  <c r="AK5" i="6"/>
  <c r="S5" i="7"/>
  <c r="T5" i="7"/>
  <c r="U5" i="7"/>
  <c r="V5" i="7"/>
  <c r="B19" i="6"/>
  <c r="B18" i="6"/>
  <c r="B17" i="6"/>
  <c r="B16" i="6"/>
  <c r="B15" i="6"/>
  <c r="B14" i="6"/>
  <c r="B13" i="6"/>
  <c r="B12" i="6"/>
  <c r="B11" i="6"/>
  <c r="A6" i="6"/>
  <c r="B12" i="4"/>
  <c r="B13" i="4"/>
  <c r="B14" i="4"/>
  <c r="B15" i="4"/>
  <c r="B16" i="4"/>
  <c r="B17" i="4"/>
  <c r="B18" i="4"/>
  <c r="B19" i="4"/>
  <c r="B20" i="4"/>
  <c r="B21" i="4"/>
  <c r="A19" i="4"/>
  <c r="A20" i="4"/>
  <c r="A21" i="4"/>
  <c r="A12" i="4"/>
  <c r="A13" i="4"/>
  <c r="A14" i="4"/>
  <c r="A15" i="4"/>
  <c r="A16" i="4"/>
  <c r="A17" i="4"/>
  <c r="A18" i="4"/>
  <c r="B19" i="8"/>
  <c r="B18" i="8"/>
  <c r="A18" i="8"/>
  <c r="A19" i="8"/>
  <c r="B18" i="5"/>
  <c r="B19" i="5"/>
  <c r="A18" i="5"/>
  <c r="A19" i="5"/>
  <c r="A12" i="6"/>
  <c r="A13" i="6"/>
  <c r="A14" i="6"/>
  <c r="A15" i="6"/>
  <c r="A16" i="6"/>
  <c r="A17" i="6"/>
  <c r="A18" i="6"/>
  <c r="A19" i="6"/>
  <c r="B12" i="7"/>
  <c r="B13" i="7"/>
  <c r="B14" i="7"/>
  <c r="B15" i="7"/>
  <c r="B16" i="7"/>
  <c r="B17" i="7"/>
  <c r="B18" i="7"/>
  <c r="B19" i="7"/>
  <c r="A19" i="7"/>
  <c r="A18" i="7"/>
  <c r="A12" i="7"/>
  <c r="A13" i="7"/>
  <c r="A14" i="7"/>
  <c r="A15" i="7"/>
  <c r="A16" i="7"/>
  <c r="A17" i="7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K5" i="2"/>
  <c r="K6" i="2"/>
  <c r="K7" i="2"/>
  <c r="K8" i="2"/>
  <c r="K9" i="2"/>
  <c r="J9" i="2" s="1"/>
  <c r="K10" i="2"/>
  <c r="K11" i="2"/>
  <c r="K12" i="2"/>
  <c r="K13" i="2"/>
  <c r="K14" i="2"/>
  <c r="J14" i="2" s="1"/>
  <c r="K15" i="2"/>
  <c r="J15" i="2" s="1"/>
  <c r="K16" i="2"/>
  <c r="J16" i="2" s="1"/>
  <c r="K17" i="2"/>
  <c r="K18" i="2"/>
  <c r="K4" i="2"/>
  <c r="J5" i="2"/>
  <c r="J6" i="2"/>
  <c r="J7" i="2"/>
  <c r="J8" i="2"/>
  <c r="J10" i="2"/>
  <c r="J11" i="2"/>
  <c r="J12" i="2"/>
  <c r="J13" i="2"/>
  <c r="J17" i="2"/>
  <c r="J18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E17" i="2"/>
  <c r="E18" i="2"/>
  <c r="D18" i="2"/>
  <c r="H18" i="2" s="1"/>
  <c r="I18" i="2" s="1"/>
  <c r="N18" i="2" s="1"/>
  <c r="G4" i="2"/>
  <c r="F4" i="2"/>
  <c r="B11" i="8"/>
  <c r="B12" i="8"/>
  <c r="B7" i="8"/>
  <c r="B8" i="8"/>
  <c r="B9" i="8"/>
  <c r="B10" i="8"/>
  <c r="B6" i="8"/>
  <c r="A7" i="5"/>
  <c r="A8" i="5"/>
  <c r="A9" i="5"/>
  <c r="A10" i="5"/>
  <c r="A11" i="5"/>
  <c r="A12" i="5"/>
  <c r="A6" i="5"/>
  <c r="B11" i="12"/>
  <c r="B7" i="12"/>
  <c r="B8" i="12"/>
  <c r="B9" i="12"/>
  <c r="B10" i="12"/>
  <c r="B6" i="12"/>
  <c r="B7" i="6"/>
  <c r="B8" i="6"/>
  <c r="B9" i="6"/>
  <c r="B10" i="6"/>
  <c r="B6" i="6"/>
  <c r="B7" i="7"/>
  <c r="B8" i="7"/>
  <c r="B9" i="7"/>
  <c r="B10" i="7"/>
  <c r="B11" i="7"/>
  <c r="B6" i="7"/>
  <c r="T6" i="4"/>
  <c r="T7" i="4"/>
  <c r="T8" i="4"/>
  <c r="T9" i="4"/>
  <c r="T10" i="4"/>
  <c r="T11" i="4"/>
  <c r="U11" i="4" s="1"/>
  <c r="T12" i="4"/>
  <c r="T13" i="4"/>
  <c r="T14" i="4"/>
  <c r="T15" i="4"/>
  <c r="T16" i="4"/>
  <c r="T17" i="4"/>
  <c r="T18" i="4"/>
  <c r="S6" i="4"/>
  <c r="S7" i="4"/>
  <c r="S8" i="4"/>
  <c r="S9" i="4"/>
  <c r="S10" i="4"/>
  <c r="U10" i="4" s="1"/>
  <c r="S11" i="4"/>
  <c r="S12" i="4"/>
  <c r="S13" i="4"/>
  <c r="S14" i="4"/>
  <c r="S15" i="4"/>
  <c r="S16" i="4"/>
  <c r="U16" i="4" s="1"/>
  <c r="S17" i="4"/>
  <c r="S18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Q6" i="4"/>
  <c r="Q7" i="4"/>
  <c r="Q8" i="4"/>
  <c r="Q9" i="4"/>
  <c r="Q10" i="4"/>
  <c r="Q11" i="4"/>
  <c r="Q12" i="4"/>
  <c r="Q13" i="4"/>
  <c r="U13" i="4" s="1"/>
  <c r="Q14" i="4"/>
  <c r="U14" i="4" s="1"/>
  <c r="Q15" i="4"/>
  <c r="Q16" i="4"/>
  <c r="Q17" i="4"/>
  <c r="Q18" i="4"/>
  <c r="T5" i="4"/>
  <c r="S5" i="4"/>
  <c r="R5" i="4"/>
  <c r="Q5" i="4"/>
  <c r="L4" i="2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U6" i="8"/>
  <c r="U7" i="8"/>
  <c r="U8" i="8"/>
  <c r="U9" i="8"/>
  <c r="U10" i="8"/>
  <c r="U11" i="8"/>
  <c r="U12" i="8"/>
  <c r="U13" i="8"/>
  <c r="U14" i="8"/>
  <c r="U15" i="8"/>
  <c r="U16" i="8"/>
  <c r="U17" i="8"/>
  <c r="T6" i="8"/>
  <c r="T7" i="8"/>
  <c r="T8" i="8"/>
  <c r="T9" i="8"/>
  <c r="T10" i="8"/>
  <c r="T11" i="8"/>
  <c r="T12" i="8"/>
  <c r="T13" i="8"/>
  <c r="T14" i="8"/>
  <c r="T15" i="8"/>
  <c r="T16" i="8"/>
  <c r="T17" i="8"/>
  <c r="S6" i="8"/>
  <c r="S7" i="8"/>
  <c r="S8" i="8"/>
  <c r="S9" i="8"/>
  <c r="S10" i="8"/>
  <c r="V10" i="8" s="1"/>
  <c r="S11" i="8"/>
  <c r="S12" i="8"/>
  <c r="S13" i="8"/>
  <c r="V13" i="8" s="1"/>
  <c r="S14" i="8"/>
  <c r="S15" i="8"/>
  <c r="V15" i="8" s="1"/>
  <c r="S16" i="8"/>
  <c r="S17" i="8"/>
  <c r="V6" i="8"/>
  <c r="V7" i="8"/>
  <c r="V8" i="8"/>
  <c r="U5" i="8"/>
  <c r="T5" i="8"/>
  <c r="S5" i="8"/>
  <c r="V5" i="8" s="1"/>
  <c r="N6" i="8"/>
  <c r="N7" i="8"/>
  <c r="N8" i="8"/>
  <c r="N9" i="8"/>
  <c r="N10" i="8"/>
  <c r="N11" i="8"/>
  <c r="N12" i="8"/>
  <c r="N13" i="8"/>
  <c r="N14" i="8"/>
  <c r="N15" i="8"/>
  <c r="N16" i="8"/>
  <c r="N17" i="8"/>
  <c r="N5" i="8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M17" i="12"/>
  <c r="AM6" i="12"/>
  <c r="AM7" i="12"/>
  <c r="AO7" i="12" s="1"/>
  <c r="AM8" i="12"/>
  <c r="AM9" i="12"/>
  <c r="AM10" i="12"/>
  <c r="AM11" i="12"/>
  <c r="AM12" i="12"/>
  <c r="AM13" i="12"/>
  <c r="AM14" i="12"/>
  <c r="AM15" i="12"/>
  <c r="AM16" i="12"/>
  <c r="AL6" i="12"/>
  <c r="AL7" i="12"/>
  <c r="AL8" i="12"/>
  <c r="AL9" i="12"/>
  <c r="AL10" i="12"/>
  <c r="AL11" i="12"/>
  <c r="AL12" i="12"/>
  <c r="AL13" i="12"/>
  <c r="AL14" i="12"/>
  <c r="AL15" i="12"/>
  <c r="AL16" i="12"/>
  <c r="AL17" i="12"/>
  <c r="AG14" i="12"/>
  <c r="AG15" i="12"/>
  <c r="AN5" i="12"/>
  <c r="AM5" i="12"/>
  <c r="AL5" i="12"/>
  <c r="AK5" i="12"/>
  <c r="AG18" i="12"/>
  <c r="AG17" i="12"/>
  <c r="AG13" i="12"/>
  <c r="AG12" i="12"/>
  <c r="AG11" i="12"/>
  <c r="AG10" i="12"/>
  <c r="AG9" i="12"/>
  <c r="AG7" i="12"/>
  <c r="AO6" i="12"/>
  <c r="AG6" i="12"/>
  <c r="AG5" i="12"/>
  <c r="A2" i="12"/>
  <c r="N14" i="5"/>
  <c r="N13" i="5"/>
  <c r="N9" i="5"/>
  <c r="N16" i="5"/>
  <c r="N17" i="5"/>
  <c r="N15" i="5"/>
  <c r="N11" i="5"/>
  <c r="N8" i="5"/>
  <c r="N10" i="5"/>
  <c r="N12" i="5"/>
  <c r="W21" i="7" l="1"/>
  <c r="W20" i="7"/>
  <c r="W19" i="7"/>
  <c r="W12" i="7"/>
  <c r="W10" i="7"/>
  <c r="W8" i="7"/>
  <c r="W18" i="7"/>
  <c r="W17" i="7"/>
  <c r="W16" i="7"/>
  <c r="W15" i="7"/>
  <c r="W14" i="7"/>
  <c r="W13" i="7"/>
  <c r="W11" i="7"/>
  <c r="W9" i="7"/>
  <c r="W7" i="7"/>
  <c r="W6" i="7"/>
  <c r="U15" i="4"/>
  <c r="U12" i="4"/>
  <c r="V17" i="8"/>
  <c r="V16" i="8"/>
  <c r="F21" i="2"/>
  <c r="F23" i="2"/>
  <c r="F22" i="2"/>
  <c r="U8" i="4"/>
  <c r="U9" i="4"/>
  <c r="U17" i="4"/>
  <c r="U6" i="4"/>
  <c r="U7" i="4"/>
  <c r="U5" i="4"/>
  <c r="V11" i="8"/>
  <c r="V9" i="8"/>
  <c r="V14" i="8"/>
  <c r="V12" i="8"/>
  <c r="G21" i="2"/>
  <c r="L22" i="2"/>
  <c r="L23" i="2"/>
  <c r="M23" i="2"/>
  <c r="M21" i="2"/>
  <c r="M22" i="2"/>
  <c r="L21" i="2"/>
  <c r="G23" i="2"/>
  <c r="G22" i="2"/>
  <c r="AO9" i="12"/>
  <c r="AO10" i="12"/>
  <c r="AO12" i="12"/>
  <c r="AO14" i="12"/>
  <c r="AO17" i="12"/>
  <c r="AO16" i="12"/>
  <c r="AO11" i="12"/>
  <c r="AO8" i="12"/>
  <c r="AO5" i="12"/>
  <c r="AO15" i="12"/>
  <c r="AO13" i="12"/>
  <c r="N6" i="5"/>
  <c r="R6" i="5"/>
  <c r="S6" i="5"/>
  <c r="T6" i="5"/>
  <c r="U6" i="5"/>
  <c r="R7" i="5"/>
  <c r="S7" i="5"/>
  <c r="T7" i="5"/>
  <c r="U7" i="5"/>
  <c r="V7" i="5"/>
  <c r="R8" i="5"/>
  <c r="S8" i="5"/>
  <c r="T8" i="5"/>
  <c r="U8" i="5"/>
  <c r="R9" i="5"/>
  <c r="S9" i="5"/>
  <c r="T9" i="5"/>
  <c r="U9" i="5"/>
  <c r="R10" i="5"/>
  <c r="S10" i="5"/>
  <c r="T10" i="5"/>
  <c r="U10" i="5"/>
  <c r="R11" i="5"/>
  <c r="S11" i="5"/>
  <c r="T11" i="5"/>
  <c r="U11" i="5"/>
  <c r="R12" i="5"/>
  <c r="S12" i="5"/>
  <c r="T12" i="5"/>
  <c r="U12" i="5"/>
  <c r="V12" i="5"/>
  <c r="R13" i="5"/>
  <c r="S13" i="5"/>
  <c r="T13" i="5"/>
  <c r="U13" i="5"/>
  <c r="R14" i="5"/>
  <c r="S14" i="5"/>
  <c r="T14" i="5"/>
  <c r="U14" i="5"/>
  <c r="R15" i="5"/>
  <c r="S15" i="5"/>
  <c r="T15" i="5"/>
  <c r="U15" i="5"/>
  <c r="R16" i="5"/>
  <c r="S16" i="5"/>
  <c r="T16" i="5"/>
  <c r="U16" i="5"/>
  <c r="R17" i="5"/>
  <c r="S17" i="5"/>
  <c r="T17" i="5"/>
  <c r="U17" i="5"/>
  <c r="R18" i="5"/>
  <c r="S18" i="5"/>
  <c r="T18" i="5"/>
  <c r="U18" i="5"/>
  <c r="R19" i="5"/>
  <c r="S19" i="5"/>
  <c r="T19" i="5"/>
  <c r="U19" i="5"/>
  <c r="V19" i="5"/>
  <c r="R20" i="5"/>
  <c r="S20" i="5"/>
  <c r="T20" i="5"/>
  <c r="U20" i="5"/>
  <c r="V20" i="5"/>
  <c r="R21" i="5"/>
  <c r="V21" i="5" s="1"/>
  <c r="S21" i="5"/>
  <c r="T21" i="5"/>
  <c r="U21" i="5"/>
  <c r="U5" i="5"/>
  <c r="T5" i="5"/>
  <c r="S5" i="5"/>
  <c r="R5" i="5"/>
  <c r="N5" i="5"/>
  <c r="W5" i="7" l="1"/>
  <c r="V18" i="5"/>
  <c r="V14" i="5"/>
  <c r="V13" i="5"/>
  <c r="V9" i="5"/>
  <c r="V16" i="5"/>
  <c r="V17" i="5"/>
  <c r="V15" i="5"/>
  <c r="V11" i="5"/>
  <c r="V8" i="5"/>
  <c r="V10" i="5"/>
  <c r="V6" i="5"/>
  <c r="V5" i="5"/>
  <c r="O6" i="7"/>
  <c r="E5" i="2" s="1"/>
  <c r="O7" i="7"/>
  <c r="E6" i="2" s="1"/>
  <c r="O8" i="7"/>
  <c r="E7" i="2" s="1"/>
  <c r="O9" i="7"/>
  <c r="E8" i="2" s="1"/>
  <c r="O10" i="7"/>
  <c r="E9" i="2" s="1"/>
  <c r="O11" i="7"/>
  <c r="E10" i="2" s="1"/>
  <c r="O12" i="7"/>
  <c r="E11" i="2" s="1"/>
  <c r="O13" i="7"/>
  <c r="E12" i="2" s="1"/>
  <c r="O14" i="7"/>
  <c r="E13" i="2" s="1"/>
  <c r="O15" i="7"/>
  <c r="E14" i="2" s="1"/>
  <c r="O16" i="7"/>
  <c r="E15" i="2" s="1"/>
  <c r="O17" i="7"/>
  <c r="E16" i="2" s="1"/>
  <c r="O5" i="7"/>
  <c r="E4" i="2" s="1"/>
  <c r="AK8" i="6"/>
  <c r="AL8" i="6"/>
  <c r="AK9" i="6"/>
  <c r="AL9" i="6"/>
  <c r="AO9" i="6" s="1"/>
  <c r="AK10" i="6"/>
  <c r="AL10" i="6"/>
  <c r="AK11" i="6"/>
  <c r="AL11" i="6"/>
  <c r="AK12" i="6"/>
  <c r="AL12" i="6"/>
  <c r="AK13" i="6"/>
  <c r="AL13" i="6"/>
  <c r="AK14" i="6"/>
  <c r="AL14" i="6"/>
  <c r="AK15" i="6"/>
  <c r="AL15" i="6"/>
  <c r="AK16" i="6"/>
  <c r="AL16" i="6"/>
  <c r="AK17" i="6"/>
  <c r="AL17" i="6"/>
  <c r="AK6" i="6"/>
  <c r="AL6" i="6"/>
  <c r="AK7" i="6"/>
  <c r="AL7" i="6"/>
  <c r="AO7" i="6" s="1"/>
  <c r="AO5" i="6"/>
  <c r="AG6" i="6"/>
  <c r="D5" i="2" s="1"/>
  <c r="H5" i="2" s="1"/>
  <c r="I5" i="2" s="1"/>
  <c r="AG7" i="6"/>
  <c r="D6" i="2" s="1"/>
  <c r="H6" i="2" s="1"/>
  <c r="I6" i="2" s="1"/>
  <c r="AG8" i="6"/>
  <c r="D7" i="2" s="1"/>
  <c r="H7" i="2" s="1"/>
  <c r="I7" i="2" s="1"/>
  <c r="AG9" i="6"/>
  <c r="D8" i="2" s="1"/>
  <c r="H8" i="2" s="1"/>
  <c r="I8" i="2" s="1"/>
  <c r="AG10" i="6"/>
  <c r="D9" i="2" s="1"/>
  <c r="H9" i="2" s="1"/>
  <c r="I9" i="2" s="1"/>
  <c r="AG11" i="6"/>
  <c r="D10" i="2" s="1"/>
  <c r="H10" i="2" s="1"/>
  <c r="I10" i="2" s="1"/>
  <c r="AG12" i="6"/>
  <c r="D11" i="2" s="1"/>
  <c r="H11" i="2" s="1"/>
  <c r="I11" i="2" s="1"/>
  <c r="N11" i="2" s="1"/>
  <c r="AG13" i="6"/>
  <c r="D12" i="2" s="1"/>
  <c r="H12" i="2" s="1"/>
  <c r="I12" i="2" s="1"/>
  <c r="N12" i="2" s="1"/>
  <c r="AG14" i="6"/>
  <c r="D13" i="2" s="1"/>
  <c r="H13" i="2" s="1"/>
  <c r="I13" i="2" s="1"/>
  <c r="N13" i="2" s="1"/>
  <c r="AG15" i="6"/>
  <c r="D14" i="2" s="1"/>
  <c r="H14" i="2" s="1"/>
  <c r="I14" i="2" s="1"/>
  <c r="N14" i="2" s="1"/>
  <c r="AG16" i="6"/>
  <c r="D15" i="2" s="1"/>
  <c r="H15" i="2" s="1"/>
  <c r="I15" i="2" s="1"/>
  <c r="N15" i="2" s="1"/>
  <c r="AG17" i="6"/>
  <c r="D16" i="2" s="1"/>
  <c r="H16" i="2" s="1"/>
  <c r="I16" i="2" s="1"/>
  <c r="N16" i="2" s="1"/>
  <c r="AG18" i="6"/>
  <c r="D17" i="2" s="1"/>
  <c r="H17" i="2" s="1"/>
  <c r="I17" i="2" s="1"/>
  <c r="N17" i="2" s="1"/>
  <c r="AG5" i="6"/>
  <c r="D4" i="2" s="1"/>
  <c r="B13" i="8"/>
  <c r="B14" i="8"/>
  <c r="B15" i="8"/>
  <c r="B16" i="8"/>
  <c r="B17" i="8"/>
  <c r="A13" i="5"/>
  <c r="A14" i="5"/>
  <c r="A15" i="5"/>
  <c r="A16" i="5"/>
  <c r="A17" i="5"/>
  <c r="AO6" i="6" l="1"/>
  <c r="AO17" i="6"/>
  <c r="AO16" i="6"/>
  <c r="AO15" i="6"/>
  <c r="AO14" i="6"/>
  <c r="AO13" i="6"/>
  <c r="AO12" i="6"/>
  <c r="AO11" i="6"/>
  <c r="AO10" i="6"/>
  <c r="AO8" i="6"/>
  <c r="D23" i="2"/>
  <c r="D22" i="2"/>
  <c r="D21" i="2"/>
  <c r="N7" i="2"/>
  <c r="N10" i="2"/>
  <c r="N9" i="2"/>
  <c r="N8" i="2"/>
  <c r="H4" i="2"/>
  <c r="I4" i="2" s="1"/>
  <c r="E21" i="2"/>
  <c r="E23" i="2"/>
  <c r="E22" i="2"/>
  <c r="A7" i="8"/>
  <c r="A8" i="8"/>
  <c r="A9" i="8"/>
  <c r="A10" i="8"/>
  <c r="A11" i="8"/>
  <c r="A12" i="8"/>
  <c r="A13" i="8"/>
  <c r="A14" i="8"/>
  <c r="A15" i="8"/>
  <c r="A16" i="8"/>
  <c r="A17" i="8"/>
  <c r="A6" i="8"/>
  <c r="A7" i="7"/>
  <c r="A8" i="7"/>
  <c r="A9" i="7"/>
  <c r="A10" i="7"/>
  <c r="A11" i="7"/>
  <c r="A6" i="7"/>
  <c r="B7" i="4"/>
  <c r="B7" i="5"/>
  <c r="B8" i="5"/>
  <c r="B9" i="5"/>
  <c r="B10" i="5"/>
  <c r="B11" i="5"/>
  <c r="B12" i="5"/>
  <c r="B13" i="5"/>
  <c r="B14" i="5"/>
  <c r="B15" i="5"/>
  <c r="B16" i="5"/>
  <c r="B17" i="5"/>
  <c r="B6" i="5"/>
  <c r="N5" i="4"/>
  <c r="M4" i="2"/>
  <c r="J4" i="2"/>
  <c r="N7" i="5"/>
  <c r="N18" i="5"/>
  <c r="N19" i="5"/>
  <c r="N20" i="5"/>
  <c r="N21" i="5"/>
  <c r="A2" i="4"/>
  <c r="A2" i="8"/>
  <c r="A2" i="7"/>
  <c r="A2" i="6"/>
  <c r="A2" i="5"/>
  <c r="N4" i="2" l="1"/>
  <c r="N6" i="2"/>
  <c r="K23" i="2"/>
  <c r="K22" i="2"/>
  <c r="K21" i="2"/>
  <c r="A7" i="12"/>
  <c r="A11" i="12"/>
  <c r="A10" i="12"/>
  <c r="A6" i="12"/>
  <c r="A8" i="12"/>
  <c r="A9" i="12"/>
  <c r="H22" i="2"/>
  <c r="H23" i="2"/>
  <c r="H21" i="2"/>
  <c r="N5" i="2"/>
  <c r="I23" i="2"/>
  <c r="I21" i="2"/>
  <c r="I22" i="2"/>
  <c r="A11" i="6"/>
  <c r="A7" i="6"/>
  <c r="A6" i="4"/>
  <c r="B11" i="4"/>
  <c r="B10" i="4"/>
  <c r="B9" i="4"/>
  <c r="B8" i="4"/>
  <c r="A7" i="4"/>
  <c r="B6" i="4"/>
  <c r="A10" i="4"/>
  <c r="A9" i="4"/>
  <c r="A10" i="6"/>
  <c r="A8" i="4"/>
  <c r="A9" i="6"/>
  <c r="A11" i="4"/>
  <c r="A8" i="6"/>
  <c r="J23" i="2" l="1"/>
  <c r="J22" i="2"/>
  <c r="J21" i="2"/>
  <c r="N21" i="2"/>
  <c r="N23" i="2"/>
  <c r="N22" i="2"/>
</calcChain>
</file>

<file path=xl/sharedStrings.xml><?xml version="1.0" encoding="utf-8"?>
<sst xmlns="http://schemas.openxmlformats.org/spreadsheetml/2006/main" count="260" uniqueCount="70">
  <si>
    <t>Final Marks</t>
  </si>
  <si>
    <t>Planetary Science (PHYS8098P)</t>
  </si>
  <si>
    <t xml:space="preserve">Name </t>
  </si>
  <si>
    <t>SAP ID</t>
  </si>
  <si>
    <t>email</t>
  </si>
  <si>
    <t>Assignment 1</t>
  </si>
  <si>
    <t>Class Test 1</t>
  </si>
  <si>
    <t>Assignment 2</t>
  </si>
  <si>
    <t>Class Test 2</t>
  </si>
  <si>
    <t>CIA</t>
  </si>
  <si>
    <t>IA</t>
  </si>
  <si>
    <t>Mid Sem</t>
  </si>
  <si>
    <t>End Sem</t>
  </si>
  <si>
    <t>Total</t>
  </si>
  <si>
    <t>Sign</t>
  </si>
  <si>
    <t>Email Address</t>
  </si>
  <si>
    <t>Roll Number</t>
  </si>
  <si>
    <t>Max Marks</t>
  </si>
  <si>
    <t>Aniket  Nishant Prakash</t>
  </si>
  <si>
    <t>aniket.122885@stu.upes.ac.in</t>
  </si>
  <si>
    <t>Ashish  Panwar</t>
  </si>
  <si>
    <t>ashish.125854@stu.upes.ac.in</t>
  </si>
  <si>
    <t>DEBJIT  ADHIKARI</t>
  </si>
  <si>
    <t>debjit.125723@stu.upes.ac.in</t>
  </si>
  <si>
    <t>Kalpita  Saini</t>
  </si>
  <si>
    <t>kalpita.117726@stu.upes.ac.in</t>
  </si>
  <si>
    <t>Prakhar  Mishra</t>
  </si>
  <si>
    <t>prakhar.125422@stu.upes.ac.in</t>
  </si>
  <si>
    <t>Prayag  S Krishnan</t>
  </si>
  <si>
    <t>prayag.118526@stu.upes.ac.in</t>
  </si>
  <si>
    <t>Satyansh  Srivastava</t>
  </si>
  <si>
    <t>satyansh.123761@stu.upes.ac.in</t>
  </si>
  <si>
    <t>Shagun  Thakur</t>
  </si>
  <si>
    <t>shagun.124014@stu.upes.ac.in</t>
  </si>
  <si>
    <t>Shubhankar  Bhardwaj</t>
  </si>
  <si>
    <t>shubhankar.122098@stu.upes.ac.in</t>
  </si>
  <si>
    <t>Sri  Sai Senthil</t>
  </si>
  <si>
    <t>sri.119804@stu.upes.ac.in</t>
  </si>
  <si>
    <t>Swasti  Mathur</t>
  </si>
  <si>
    <t>swasti.124975@stu.upes.ac.in</t>
  </si>
  <si>
    <t>Tasmai  Gaurang Tamboli</t>
  </si>
  <si>
    <t>tasmai.123688@stu.upes.ac.in</t>
  </si>
  <si>
    <t>Tigmanshu  Ghanshala</t>
  </si>
  <si>
    <t>tigmanshu.125725@stu.upes.ac.in</t>
  </si>
  <si>
    <t>Vikas  Kumar</t>
  </si>
  <si>
    <t>vikas.126731@stu.upes.ac.in</t>
  </si>
  <si>
    <t>Max</t>
  </si>
  <si>
    <t>Min</t>
  </si>
  <si>
    <t>Median</t>
  </si>
  <si>
    <t>CO2</t>
  </si>
  <si>
    <t>CO1</t>
  </si>
  <si>
    <t>Student Id</t>
  </si>
  <si>
    <t>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</si>
  <si>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</si>
  <si>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</si>
  <si>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</si>
  <si>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</si>
  <si>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</si>
  <si>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</si>
  <si>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</si>
  <si>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</si>
  <si>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</si>
  <si>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</si>
  <si>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</si>
  <si>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CO3</t>
  </si>
  <si>
    <t>CO4</t>
  </si>
  <si>
    <t>Mid Sem Examination</t>
  </si>
  <si>
    <t>CO3/CO4</t>
  </si>
  <si>
    <t>Student ID</t>
  </si>
  <si>
    <t>End Sem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</si>
</sst>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Baguet Script"/>
    </font>
    <font>
      <sz val="18"/>
      <color theme="1"/>
      <name val="Monotype Corsiva"/>
      <family val="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2" borderId="0" xfId="0" applyFont="1" applyFill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7" xfId="0" applyFont="1" applyBorder="1"/>
    <xf numFmtId="0" fontId="8" fillId="0" borderId="7" xfId="0" applyFont="1" applyBorder="1"/>
    <xf numFmtId="0" fontId="6" fillId="0" borderId="8" xfId="0" applyFont="1" applyBorder="1"/>
    <xf numFmtId="0" fontId="3" fillId="3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9" fillId="5" borderId="1" xfId="0" applyFont="1" applyFill="1" applyBorder="1"/>
    <xf numFmtId="0" fontId="10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6" fillId="0" borderId="0" xfId="0" applyFont="1"/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vertical="top"/>
    </xf>
    <xf numFmtId="0" fontId="6" fillId="0" borderId="1" xfId="0" applyFont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6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76A9-80AB-4236-8B1F-676ADE76CB37}">
  <sheetPr>
    <pageSetUpPr fitToPage="1"/>
  </sheetPr>
  <dimension ref="A1:R38"/>
  <sheetViews>
    <sheetView zoomScale="78" zoomScaleNormal="100" workbookViewId="0">
      <pane xSplit="1" ySplit="4" topLeftCell="B5" activePane="bottomRight" state="frozen"/>
      <selection pane="bottomRight" activeCell="F16" sqref="F16"/>
      <selection pane="bottomLeft" activeCell="A5" sqref="A5"/>
      <selection pane="topRight" activeCell="B1" sqref="B1"/>
    </sheetView>
  </sheetViews>
  <sheetFormatPr defaultRowHeight="15"/>
  <cols>
    <col min="1" max="1" width="27.140625" customWidth="1"/>
    <col min="2" max="2" width="22.85546875" style="13" customWidth="1"/>
    <col min="3" max="3" width="38.42578125" customWidth="1"/>
    <col min="4" max="4" width="13.85546875" customWidth="1"/>
    <col min="5" max="5" width="14.42578125" customWidth="1"/>
    <col min="6" max="6" width="16.140625" customWidth="1"/>
    <col min="7" max="7" width="14.28515625" customWidth="1"/>
    <col min="8" max="8" width="11.85546875" style="13" customWidth="1"/>
    <col min="9" max="9" width="11.85546875" customWidth="1"/>
    <col min="10" max="10" width="11.85546875" style="17" customWidth="1"/>
    <col min="11" max="14" width="13.42578125" customWidth="1"/>
    <col min="15" max="15" width="12.5703125" customWidth="1"/>
    <col min="17" max="17" width="28.7109375" customWidth="1"/>
    <col min="18" max="18" width="15.7109375" style="23" customWidth="1"/>
  </cols>
  <sheetData>
    <row r="1" spans="1:18" ht="24.7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32"/>
    </row>
    <row r="2" spans="1:18" ht="24.75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  <c r="P2" s="33"/>
    </row>
    <row r="3" spans="1:18" ht="15.75">
      <c r="A3" s="40" t="s">
        <v>2</v>
      </c>
      <c r="B3" s="41" t="s">
        <v>3</v>
      </c>
      <c r="C3" s="40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1" t="s">
        <v>11</v>
      </c>
      <c r="K3" s="41" t="s">
        <v>11</v>
      </c>
      <c r="L3" s="41" t="s">
        <v>12</v>
      </c>
      <c r="M3" s="41" t="s">
        <v>12</v>
      </c>
      <c r="N3" s="42" t="s">
        <v>13</v>
      </c>
      <c r="O3" s="41" t="s">
        <v>14</v>
      </c>
      <c r="Q3" s="1" t="s">
        <v>15</v>
      </c>
      <c r="R3" s="27" t="s">
        <v>16</v>
      </c>
    </row>
    <row r="4" spans="1:18">
      <c r="A4" s="6"/>
      <c r="B4" s="9" t="s">
        <v>17</v>
      </c>
      <c r="C4" s="6"/>
      <c r="D4" s="16">
        <f>'Assignment 1'!AG5</f>
        <v>20</v>
      </c>
      <c r="E4" s="16">
        <f>'Class Test 1'!O5</f>
        <v>40</v>
      </c>
      <c r="F4" s="16">
        <f>'Assignment 2'!AG5</f>
        <v>20</v>
      </c>
      <c r="G4" s="16">
        <f>'Class Test 2'!N5</f>
        <v>30</v>
      </c>
      <c r="H4" s="16">
        <f t="shared" ref="H4:H18" si="0">SUM(D4:G4)</f>
        <v>110</v>
      </c>
      <c r="I4" s="16">
        <f>H4/2</f>
        <v>55</v>
      </c>
      <c r="J4" s="16">
        <f>K4/5</f>
        <v>20</v>
      </c>
      <c r="K4" s="16">
        <f>'Mid Sem'!N5</f>
        <v>100</v>
      </c>
      <c r="L4" s="16">
        <f>'End Sem'!N5</f>
        <v>100</v>
      </c>
      <c r="M4" s="16">
        <f>L4*0.3</f>
        <v>30</v>
      </c>
      <c r="N4" s="6">
        <f>SUM(I4,J4,M4)</f>
        <v>105</v>
      </c>
      <c r="O4" s="6"/>
      <c r="P4" s="7"/>
    </row>
    <row r="5" spans="1:18" ht="15.75">
      <c r="A5" s="43" t="s">
        <v>18</v>
      </c>
      <c r="B5" s="55">
        <v>500122885</v>
      </c>
      <c r="C5" s="39" t="s">
        <v>19</v>
      </c>
      <c r="D5" s="56">
        <f>'Assignment 1'!AG6</f>
        <v>0</v>
      </c>
      <c r="E5" s="56">
        <f>'Class Test 1'!O6</f>
        <v>40</v>
      </c>
      <c r="F5" s="56">
        <f>'Assignment 2'!AG6</f>
        <v>0</v>
      </c>
      <c r="G5" s="56">
        <f>'Class Test 2'!N6</f>
        <v>0</v>
      </c>
      <c r="H5" s="56">
        <f t="shared" si="0"/>
        <v>40</v>
      </c>
      <c r="I5" s="56">
        <f t="shared" ref="I5:I18" si="1">H5/2</f>
        <v>20</v>
      </c>
      <c r="J5" s="56">
        <f t="shared" ref="J5:J18" si="2">K5/5</f>
        <v>0</v>
      </c>
      <c r="K5" s="56">
        <f>'Mid Sem'!N6</f>
        <v>0</v>
      </c>
      <c r="L5" s="56">
        <f>'End Sem'!N6</f>
        <v>0</v>
      </c>
      <c r="M5" s="56">
        <f t="shared" ref="M5:M18" si="3">L5*0.3</f>
        <v>0</v>
      </c>
      <c r="N5" s="5">
        <f t="shared" ref="N5:N18" si="4">SUM(I5,J5,M5)</f>
        <v>20</v>
      </c>
      <c r="O5" s="34"/>
      <c r="Q5" s="26"/>
    </row>
    <row r="6" spans="1:18" ht="15.75">
      <c r="A6" s="43" t="s">
        <v>20</v>
      </c>
      <c r="B6" s="55">
        <v>500125854</v>
      </c>
      <c r="C6" s="39" t="s">
        <v>21</v>
      </c>
      <c r="D6" s="56">
        <f>'Assignment 1'!AG7</f>
        <v>0</v>
      </c>
      <c r="E6" s="56">
        <f>'Class Test 1'!O7</f>
        <v>38</v>
      </c>
      <c r="F6" s="56">
        <f>'Assignment 2'!AG7</f>
        <v>0</v>
      </c>
      <c r="G6" s="56">
        <f>'Class Test 2'!N7</f>
        <v>0</v>
      </c>
      <c r="H6" s="56">
        <f t="shared" si="0"/>
        <v>38</v>
      </c>
      <c r="I6" s="56">
        <f t="shared" si="1"/>
        <v>19</v>
      </c>
      <c r="J6" s="56">
        <f t="shared" si="2"/>
        <v>0</v>
      </c>
      <c r="K6" s="56">
        <f>'Mid Sem'!N7</f>
        <v>0</v>
      </c>
      <c r="L6" s="56">
        <f>'End Sem'!N7</f>
        <v>0</v>
      </c>
      <c r="M6" s="56">
        <f t="shared" si="3"/>
        <v>0</v>
      </c>
      <c r="N6" s="5">
        <f>SUM(I6,J6,M6)</f>
        <v>19</v>
      </c>
      <c r="O6" s="34"/>
      <c r="Q6" s="26"/>
    </row>
    <row r="7" spans="1:18" ht="15.75">
      <c r="A7" s="43" t="s">
        <v>22</v>
      </c>
      <c r="B7" s="55">
        <v>500125723</v>
      </c>
      <c r="C7" s="39" t="s">
        <v>23</v>
      </c>
      <c r="D7" s="56">
        <f>'Assignment 1'!AG8</f>
        <v>0</v>
      </c>
      <c r="E7" s="56">
        <f>'Class Test 1'!O8</f>
        <v>0</v>
      </c>
      <c r="F7" s="56">
        <f>'Assignment 2'!AG8</f>
        <v>0</v>
      </c>
      <c r="G7" s="56">
        <f>'Class Test 2'!N8</f>
        <v>0</v>
      </c>
      <c r="H7" s="56">
        <f t="shared" si="0"/>
        <v>0</v>
      </c>
      <c r="I7" s="56">
        <f t="shared" si="1"/>
        <v>0</v>
      </c>
      <c r="J7" s="56">
        <f t="shared" si="2"/>
        <v>0</v>
      </c>
      <c r="K7" s="56">
        <f>'Mid Sem'!N8</f>
        <v>0</v>
      </c>
      <c r="L7" s="56">
        <f>'End Sem'!N8</f>
        <v>0</v>
      </c>
      <c r="M7" s="56">
        <f t="shared" si="3"/>
        <v>0</v>
      </c>
      <c r="N7" s="5">
        <f t="shared" si="4"/>
        <v>0</v>
      </c>
      <c r="O7" s="34"/>
      <c r="Q7" s="26"/>
    </row>
    <row r="8" spans="1:18" ht="15.75">
      <c r="A8" s="43" t="s">
        <v>24</v>
      </c>
      <c r="B8" s="55">
        <v>500117726</v>
      </c>
      <c r="C8" s="39" t="s">
        <v>25</v>
      </c>
      <c r="D8" s="56">
        <f>'Assignment 1'!AG9</f>
        <v>0</v>
      </c>
      <c r="E8" s="56">
        <f>'Class Test 1'!O9</f>
        <v>32</v>
      </c>
      <c r="F8" s="56">
        <f>'Assignment 2'!AG9</f>
        <v>0</v>
      </c>
      <c r="G8" s="56">
        <f>'Class Test 2'!N9</f>
        <v>0</v>
      </c>
      <c r="H8" s="56">
        <f t="shared" si="0"/>
        <v>32</v>
      </c>
      <c r="I8" s="56">
        <f t="shared" si="1"/>
        <v>16</v>
      </c>
      <c r="J8" s="56">
        <f t="shared" si="2"/>
        <v>0</v>
      </c>
      <c r="K8" s="56">
        <f>'Mid Sem'!N9</f>
        <v>0</v>
      </c>
      <c r="L8" s="56">
        <f>'End Sem'!N9</f>
        <v>0</v>
      </c>
      <c r="M8" s="56">
        <f t="shared" si="3"/>
        <v>0</v>
      </c>
      <c r="N8" s="5">
        <f t="shared" si="4"/>
        <v>16</v>
      </c>
      <c r="O8" s="34"/>
      <c r="Q8" s="26"/>
    </row>
    <row r="9" spans="1:18" ht="15.75">
      <c r="A9" s="43" t="s">
        <v>26</v>
      </c>
      <c r="B9" s="55">
        <v>500125422</v>
      </c>
      <c r="C9" s="39" t="s">
        <v>27</v>
      </c>
      <c r="D9" s="56">
        <f>'Assignment 1'!AG10</f>
        <v>0</v>
      </c>
      <c r="E9" s="56">
        <f>'Class Test 1'!O10</f>
        <v>0</v>
      </c>
      <c r="F9" s="56">
        <f>'Assignment 2'!AG10</f>
        <v>0</v>
      </c>
      <c r="G9" s="56">
        <f>'Class Test 2'!N10</f>
        <v>0</v>
      </c>
      <c r="H9" s="56">
        <f t="shared" si="0"/>
        <v>0</v>
      </c>
      <c r="I9" s="56">
        <f t="shared" si="1"/>
        <v>0</v>
      </c>
      <c r="J9" s="56">
        <f t="shared" si="2"/>
        <v>0</v>
      </c>
      <c r="K9" s="56">
        <f>'Mid Sem'!N10</f>
        <v>0</v>
      </c>
      <c r="L9" s="56">
        <f>'End Sem'!N10</f>
        <v>0</v>
      </c>
      <c r="M9" s="56">
        <f t="shared" si="3"/>
        <v>0</v>
      </c>
      <c r="N9" s="5">
        <f t="shared" si="4"/>
        <v>0</v>
      </c>
      <c r="O9" s="34"/>
      <c r="Q9" s="26"/>
    </row>
    <row r="10" spans="1:18" ht="15.75">
      <c r="A10" s="22" t="s">
        <v>28</v>
      </c>
      <c r="B10" s="13">
        <v>500118526</v>
      </c>
      <c r="C10" s="39" t="s">
        <v>29</v>
      </c>
      <c r="D10" s="56">
        <f>'Assignment 1'!AG11</f>
        <v>0</v>
      </c>
      <c r="E10" s="56">
        <f>'Class Test 1'!O11</f>
        <v>25</v>
      </c>
      <c r="F10" s="56">
        <f>'Assignment 2'!AG11</f>
        <v>0</v>
      </c>
      <c r="G10" s="56">
        <f>'Class Test 2'!N11</f>
        <v>0</v>
      </c>
      <c r="H10" s="56">
        <f t="shared" si="0"/>
        <v>25</v>
      </c>
      <c r="I10" s="56">
        <f t="shared" si="1"/>
        <v>12.5</v>
      </c>
      <c r="J10" s="56">
        <f t="shared" si="2"/>
        <v>0</v>
      </c>
      <c r="K10" s="56">
        <f>'Mid Sem'!N11</f>
        <v>0</v>
      </c>
      <c r="L10" s="56">
        <f>'End Sem'!N11</f>
        <v>0</v>
      </c>
      <c r="M10" s="56">
        <f t="shared" si="3"/>
        <v>0</v>
      </c>
      <c r="N10" s="5">
        <f t="shared" si="4"/>
        <v>12.5</v>
      </c>
      <c r="O10" s="34"/>
      <c r="Q10" s="26"/>
    </row>
    <row r="11" spans="1:18" ht="15.75">
      <c r="A11" s="43" t="s">
        <v>30</v>
      </c>
      <c r="B11" s="12">
        <v>500123761</v>
      </c>
      <c r="C11" s="39" t="s">
        <v>31</v>
      </c>
      <c r="D11" s="56">
        <f>'Assignment 1'!AG12</f>
        <v>0</v>
      </c>
      <c r="E11" s="56">
        <f>'Class Test 1'!O12</f>
        <v>0</v>
      </c>
      <c r="F11" s="56">
        <f>'Assignment 2'!AG12</f>
        <v>0</v>
      </c>
      <c r="G11" s="56">
        <f>'Class Test 2'!N12</f>
        <v>0</v>
      </c>
      <c r="H11" s="56">
        <f t="shared" si="0"/>
        <v>0</v>
      </c>
      <c r="I11" s="56">
        <f t="shared" si="1"/>
        <v>0</v>
      </c>
      <c r="J11" s="56">
        <f t="shared" si="2"/>
        <v>0</v>
      </c>
      <c r="K11" s="56">
        <f>'Mid Sem'!N12</f>
        <v>0</v>
      </c>
      <c r="L11" s="56">
        <f>'End Sem'!N12</f>
        <v>0</v>
      </c>
      <c r="M11" s="56">
        <f t="shared" si="3"/>
        <v>0</v>
      </c>
      <c r="N11" s="5">
        <f t="shared" si="4"/>
        <v>0</v>
      </c>
      <c r="O11" s="34"/>
      <c r="Q11" s="26"/>
    </row>
    <row r="12" spans="1:18" ht="15.75">
      <c r="A12" s="43" t="s">
        <v>32</v>
      </c>
      <c r="B12" s="12">
        <v>500124014</v>
      </c>
      <c r="C12" s="39" t="s">
        <v>33</v>
      </c>
      <c r="D12" s="56">
        <f>'Assignment 1'!AG13</f>
        <v>0</v>
      </c>
      <c r="E12" s="56">
        <f>'Class Test 1'!O13</f>
        <v>35</v>
      </c>
      <c r="F12" s="56">
        <f>'Assignment 2'!AG13</f>
        <v>0</v>
      </c>
      <c r="G12" s="56">
        <f>'Class Test 2'!N13</f>
        <v>0</v>
      </c>
      <c r="H12" s="56">
        <f t="shared" si="0"/>
        <v>35</v>
      </c>
      <c r="I12" s="56">
        <f t="shared" si="1"/>
        <v>17.5</v>
      </c>
      <c r="J12" s="56">
        <f t="shared" si="2"/>
        <v>0</v>
      </c>
      <c r="K12" s="56">
        <f>'Mid Sem'!N13</f>
        <v>0</v>
      </c>
      <c r="L12" s="56">
        <f>'End Sem'!N13</f>
        <v>0</v>
      </c>
      <c r="M12" s="56">
        <f t="shared" si="3"/>
        <v>0</v>
      </c>
      <c r="N12" s="5">
        <f t="shared" si="4"/>
        <v>17.5</v>
      </c>
      <c r="O12" s="34"/>
      <c r="Q12" s="26"/>
    </row>
    <row r="13" spans="1:18" ht="15.75">
      <c r="A13" s="43" t="s">
        <v>34</v>
      </c>
      <c r="B13" s="12">
        <v>500122098</v>
      </c>
      <c r="C13" s="39" t="s">
        <v>35</v>
      </c>
      <c r="D13" s="56">
        <f>'Assignment 1'!AG14</f>
        <v>0</v>
      </c>
      <c r="E13" s="56">
        <f>'Class Test 1'!O14</f>
        <v>20</v>
      </c>
      <c r="F13" s="56">
        <f>'Assignment 2'!AG14</f>
        <v>0</v>
      </c>
      <c r="G13" s="56">
        <f>'Class Test 2'!N14</f>
        <v>0</v>
      </c>
      <c r="H13" s="56">
        <f t="shared" si="0"/>
        <v>20</v>
      </c>
      <c r="I13" s="56">
        <f t="shared" si="1"/>
        <v>10</v>
      </c>
      <c r="J13" s="56">
        <f t="shared" si="2"/>
        <v>0</v>
      </c>
      <c r="K13" s="56">
        <f>'Mid Sem'!N14</f>
        <v>0</v>
      </c>
      <c r="L13" s="56">
        <f>'End Sem'!N14</f>
        <v>0</v>
      </c>
      <c r="M13" s="56">
        <f t="shared" si="3"/>
        <v>0</v>
      </c>
      <c r="N13" s="5">
        <f t="shared" si="4"/>
        <v>10</v>
      </c>
      <c r="O13" s="34"/>
      <c r="Q13" s="26"/>
    </row>
    <row r="14" spans="1:18" ht="15.75">
      <c r="A14" s="43" t="s">
        <v>36</v>
      </c>
      <c r="B14" s="12">
        <v>500119804</v>
      </c>
      <c r="C14" s="39" t="s">
        <v>37</v>
      </c>
      <c r="D14" s="56">
        <f>'Assignment 1'!AG15</f>
        <v>0</v>
      </c>
      <c r="E14" s="56">
        <f>'Class Test 1'!O15</f>
        <v>34</v>
      </c>
      <c r="F14" s="56">
        <f>'Assignment 2'!AG15</f>
        <v>0</v>
      </c>
      <c r="G14" s="56">
        <f>'Class Test 2'!N15</f>
        <v>0</v>
      </c>
      <c r="H14" s="56">
        <f t="shared" si="0"/>
        <v>34</v>
      </c>
      <c r="I14" s="56">
        <f t="shared" si="1"/>
        <v>17</v>
      </c>
      <c r="J14" s="56">
        <f t="shared" si="2"/>
        <v>0</v>
      </c>
      <c r="K14" s="56">
        <f>'Mid Sem'!N15</f>
        <v>0</v>
      </c>
      <c r="L14" s="56">
        <f>'End Sem'!N15</f>
        <v>0</v>
      </c>
      <c r="M14" s="56">
        <f t="shared" si="3"/>
        <v>0</v>
      </c>
      <c r="N14" s="5">
        <f t="shared" si="4"/>
        <v>17</v>
      </c>
      <c r="O14" s="34"/>
      <c r="Q14" s="26"/>
    </row>
    <row r="15" spans="1:18" ht="15.75">
      <c r="A15" s="43" t="s">
        <v>38</v>
      </c>
      <c r="B15" s="12">
        <v>500124975</v>
      </c>
      <c r="C15" s="39" t="s">
        <v>39</v>
      </c>
      <c r="D15" s="56">
        <f>'Assignment 1'!AG16</f>
        <v>0</v>
      </c>
      <c r="E15" s="56">
        <f>'Class Test 1'!O16</f>
        <v>38</v>
      </c>
      <c r="F15" s="56">
        <f>'Assignment 2'!AG16</f>
        <v>0</v>
      </c>
      <c r="G15" s="56">
        <f>'Class Test 2'!N16</f>
        <v>0</v>
      </c>
      <c r="H15" s="56">
        <f t="shared" si="0"/>
        <v>38</v>
      </c>
      <c r="I15" s="56">
        <f t="shared" si="1"/>
        <v>19</v>
      </c>
      <c r="J15" s="56">
        <f t="shared" si="2"/>
        <v>0</v>
      </c>
      <c r="K15" s="56">
        <f>'Mid Sem'!N16</f>
        <v>0</v>
      </c>
      <c r="L15" s="56">
        <f>'End Sem'!N16</f>
        <v>0</v>
      </c>
      <c r="M15" s="56">
        <f t="shared" si="3"/>
        <v>0</v>
      </c>
      <c r="N15" s="5">
        <f t="shared" si="4"/>
        <v>19</v>
      </c>
      <c r="O15" s="34"/>
      <c r="Q15" s="26"/>
    </row>
    <row r="16" spans="1:18" ht="15.75">
      <c r="A16" s="54" t="s">
        <v>40</v>
      </c>
      <c r="B16" s="51">
        <v>500123688</v>
      </c>
      <c r="C16" s="52" t="s">
        <v>41</v>
      </c>
      <c r="D16" s="56">
        <f>'Assignment 1'!AG17</f>
        <v>0</v>
      </c>
      <c r="E16" s="56">
        <f>'Class Test 1'!O17</f>
        <v>38</v>
      </c>
      <c r="F16" s="56">
        <f>'Assignment 2'!AG17</f>
        <v>0</v>
      </c>
      <c r="G16" s="56">
        <f>'Class Test 2'!N17</f>
        <v>0</v>
      </c>
      <c r="H16" s="56">
        <f t="shared" si="0"/>
        <v>38</v>
      </c>
      <c r="I16" s="56">
        <f t="shared" si="1"/>
        <v>19</v>
      </c>
      <c r="J16" s="56">
        <f t="shared" si="2"/>
        <v>0</v>
      </c>
      <c r="K16" s="56">
        <f>'Mid Sem'!N17</f>
        <v>0</v>
      </c>
      <c r="L16" s="56">
        <f>'End Sem'!N17</f>
        <v>0</v>
      </c>
      <c r="M16" s="56">
        <f t="shared" si="3"/>
        <v>0</v>
      </c>
      <c r="N16" s="5">
        <f t="shared" si="4"/>
        <v>19</v>
      </c>
      <c r="O16" s="34"/>
      <c r="Q16" s="26"/>
    </row>
    <row r="17" spans="1:18" ht="15.75">
      <c r="A17" s="43" t="s">
        <v>42</v>
      </c>
      <c r="B17" s="12">
        <v>500125725</v>
      </c>
      <c r="C17" s="53" t="s">
        <v>43</v>
      </c>
      <c r="D17" s="56">
        <f>'Assignment 1'!AG18</f>
        <v>0</v>
      </c>
      <c r="E17" s="56">
        <f>'Class Test 1'!O18</f>
        <v>23</v>
      </c>
      <c r="F17" s="56">
        <f>'Assignment 2'!AG18</f>
        <v>0</v>
      </c>
      <c r="G17" s="56">
        <f>'Class Test 2'!N18</f>
        <v>0</v>
      </c>
      <c r="H17" s="56">
        <f t="shared" si="0"/>
        <v>23</v>
      </c>
      <c r="I17" s="56">
        <f t="shared" si="1"/>
        <v>11.5</v>
      </c>
      <c r="J17" s="56">
        <f t="shared" si="2"/>
        <v>0</v>
      </c>
      <c r="K17" s="56">
        <f>'Mid Sem'!N18</f>
        <v>0</v>
      </c>
      <c r="L17" s="56">
        <f>'End Sem'!N18</f>
        <v>0</v>
      </c>
      <c r="M17" s="56">
        <f t="shared" si="3"/>
        <v>0</v>
      </c>
      <c r="N17" s="5">
        <f t="shared" si="4"/>
        <v>11.5</v>
      </c>
      <c r="O17" s="53"/>
    </row>
    <row r="18" spans="1:18" ht="15.75">
      <c r="A18" s="43" t="s">
        <v>44</v>
      </c>
      <c r="B18" s="12">
        <v>500126731</v>
      </c>
      <c r="C18" s="53" t="s">
        <v>45</v>
      </c>
      <c r="D18" s="56">
        <f>'Assignment 1'!AG19</f>
        <v>0</v>
      </c>
      <c r="E18" s="56">
        <f>'Class Test 1'!O19</f>
        <v>0</v>
      </c>
      <c r="F18" s="56">
        <f>'Assignment 2'!AG19</f>
        <v>0</v>
      </c>
      <c r="G18" s="56">
        <f>'Class Test 2'!N19</f>
        <v>0</v>
      </c>
      <c r="H18" s="56">
        <f t="shared" si="0"/>
        <v>0</v>
      </c>
      <c r="I18" s="56">
        <f t="shared" si="1"/>
        <v>0</v>
      </c>
      <c r="J18" s="56">
        <f t="shared" si="2"/>
        <v>0</v>
      </c>
      <c r="K18" s="56">
        <f>'Mid Sem'!N19</f>
        <v>0</v>
      </c>
      <c r="L18" s="56">
        <f>'End Sem'!N19</f>
        <v>0</v>
      </c>
      <c r="M18" s="56">
        <f t="shared" si="3"/>
        <v>0</v>
      </c>
      <c r="N18" s="5">
        <f t="shared" si="4"/>
        <v>0</v>
      </c>
      <c r="O18" s="38"/>
    </row>
    <row r="19" spans="1:18" ht="15.75">
      <c r="A19" s="50"/>
      <c r="C19" s="24"/>
      <c r="D19" s="25"/>
      <c r="E19" s="25"/>
      <c r="F19" s="25"/>
      <c r="G19" s="25"/>
      <c r="H19" s="31"/>
      <c r="I19" s="28"/>
      <c r="J19" s="28"/>
      <c r="K19" s="17"/>
      <c r="L19" s="17"/>
      <c r="M19" s="28"/>
      <c r="N19" s="7"/>
    </row>
    <row r="20" spans="1:18" ht="15.75">
      <c r="A20" s="29"/>
      <c r="B20" s="30"/>
      <c r="C20" s="24"/>
      <c r="D20" s="25"/>
      <c r="E20" s="25"/>
      <c r="F20" s="25"/>
      <c r="G20" s="25"/>
      <c r="H20" s="31"/>
      <c r="I20" s="28"/>
      <c r="J20" s="28"/>
      <c r="K20" s="17"/>
      <c r="L20" s="17"/>
      <c r="M20" s="28"/>
      <c r="N20" s="7"/>
    </row>
    <row r="21" spans="1:18">
      <c r="A21" s="29"/>
      <c r="B21" s="30"/>
      <c r="C21" t="s">
        <v>46</v>
      </c>
      <c r="D21">
        <f>MAX(D5:D16)</f>
        <v>0</v>
      </c>
      <c r="E21">
        <f t="shared" ref="E21:N21" si="5">MAX(E5:E16)</f>
        <v>40</v>
      </c>
      <c r="F21">
        <f t="shared" si="5"/>
        <v>0</v>
      </c>
      <c r="G21">
        <f t="shared" si="5"/>
        <v>0</v>
      </c>
      <c r="H21">
        <f t="shared" si="5"/>
        <v>40</v>
      </c>
      <c r="I21">
        <f t="shared" si="5"/>
        <v>20</v>
      </c>
      <c r="J21">
        <f t="shared" si="5"/>
        <v>0</v>
      </c>
      <c r="K21">
        <f t="shared" si="5"/>
        <v>0</v>
      </c>
      <c r="L21">
        <f t="shared" si="5"/>
        <v>0</v>
      </c>
      <c r="M21">
        <f t="shared" si="5"/>
        <v>0</v>
      </c>
      <c r="N21">
        <f t="shared" si="5"/>
        <v>20</v>
      </c>
    </row>
    <row r="22" spans="1:18">
      <c r="C22" t="s">
        <v>47</v>
      </c>
      <c r="D22">
        <f>_xlfn.MINIFS(D5:D16,D5:D16, "&gt;0")</f>
        <v>0</v>
      </c>
      <c r="E22">
        <f t="shared" ref="E22:N22" si="6">_xlfn.MINIFS(E5:E16,E5:E16, "&gt;0")</f>
        <v>20</v>
      </c>
      <c r="F22">
        <f t="shared" si="6"/>
        <v>0</v>
      </c>
      <c r="G22">
        <f t="shared" si="6"/>
        <v>0</v>
      </c>
      <c r="H22">
        <f t="shared" si="6"/>
        <v>20</v>
      </c>
      <c r="I22">
        <f t="shared" si="6"/>
        <v>10</v>
      </c>
      <c r="J22">
        <f t="shared" si="6"/>
        <v>0</v>
      </c>
      <c r="K22">
        <f t="shared" si="6"/>
        <v>0</v>
      </c>
      <c r="L22">
        <f t="shared" si="6"/>
        <v>0</v>
      </c>
      <c r="M22">
        <f t="shared" si="6"/>
        <v>0</v>
      </c>
      <c r="N22">
        <f t="shared" si="6"/>
        <v>10</v>
      </c>
    </row>
    <row r="23" spans="1:18">
      <c r="C23" t="s">
        <v>48</v>
      </c>
      <c r="D23">
        <f>MEDIAN(D5:D16)</f>
        <v>0</v>
      </c>
      <c r="E23">
        <f t="shared" ref="E23:N23" si="7">MEDIAN(E5:E16)</f>
        <v>33</v>
      </c>
      <c r="F23">
        <f t="shared" si="7"/>
        <v>0</v>
      </c>
      <c r="G23">
        <f t="shared" si="7"/>
        <v>0</v>
      </c>
      <c r="H23">
        <f t="shared" si="7"/>
        <v>33</v>
      </c>
      <c r="I23">
        <f t="shared" si="7"/>
        <v>16.5</v>
      </c>
      <c r="J23">
        <f t="shared" si="7"/>
        <v>0</v>
      </c>
      <c r="K23">
        <f t="shared" si="7"/>
        <v>0</v>
      </c>
      <c r="L23">
        <f t="shared" si="7"/>
        <v>0</v>
      </c>
      <c r="M23">
        <f t="shared" si="7"/>
        <v>0</v>
      </c>
      <c r="N23">
        <f t="shared" si="7"/>
        <v>16.5</v>
      </c>
    </row>
    <row r="24" spans="1:18">
      <c r="B24"/>
      <c r="F24" s="13"/>
      <c r="H24" s="17"/>
      <c r="J24"/>
    </row>
    <row r="25" spans="1:18">
      <c r="B25"/>
      <c r="C25" s="13"/>
      <c r="E25" s="17"/>
      <c r="H25"/>
      <c r="J25"/>
      <c r="O25" s="23"/>
      <c r="R25"/>
    </row>
    <row r="26" spans="1:18">
      <c r="B26"/>
      <c r="C26" s="13"/>
      <c r="E26" s="17"/>
      <c r="H26"/>
      <c r="J26"/>
      <c r="O26" s="23"/>
      <c r="R26"/>
    </row>
    <row r="27" spans="1:18">
      <c r="B27"/>
      <c r="C27" s="13"/>
      <c r="E27" s="17"/>
      <c r="H27"/>
      <c r="J27"/>
      <c r="O27" s="23"/>
      <c r="R27"/>
    </row>
    <row r="28" spans="1:18">
      <c r="B28"/>
      <c r="C28" s="13"/>
      <c r="E28" s="17"/>
      <c r="H28"/>
      <c r="J28"/>
      <c r="O28" s="23"/>
      <c r="R28"/>
    </row>
    <row r="29" spans="1:18">
      <c r="B29"/>
      <c r="C29" s="13"/>
      <c r="E29" s="17"/>
      <c r="H29"/>
      <c r="J29"/>
      <c r="O29" s="23"/>
      <c r="R29"/>
    </row>
    <row r="30" spans="1:18">
      <c r="B30"/>
      <c r="C30" s="13"/>
      <c r="E30" s="17"/>
      <c r="H30"/>
      <c r="J30"/>
      <c r="O30" s="23"/>
      <c r="R30"/>
    </row>
    <row r="31" spans="1:18">
      <c r="B31"/>
      <c r="C31" s="13"/>
      <c r="E31" s="17"/>
      <c r="H31"/>
      <c r="J31"/>
      <c r="O31" s="23"/>
      <c r="R31"/>
    </row>
    <row r="32" spans="1:18">
      <c r="B32"/>
      <c r="C32" s="13"/>
      <c r="E32" s="17"/>
      <c r="H32"/>
      <c r="J32"/>
      <c r="O32" s="23"/>
      <c r="R32"/>
    </row>
    <row r="33" spans="2:18">
      <c r="B33"/>
      <c r="C33" s="13"/>
      <c r="E33" s="17"/>
      <c r="H33"/>
      <c r="J33"/>
      <c r="O33" s="23"/>
      <c r="R33"/>
    </row>
    <row r="34" spans="2:18">
      <c r="B34"/>
      <c r="C34" s="13"/>
      <c r="E34" s="17"/>
      <c r="H34"/>
      <c r="J34"/>
      <c r="O34" s="23"/>
      <c r="R34"/>
    </row>
    <row r="35" spans="2:18">
      <c r="B35"/>
      <c r="C35" s="13"/>
      <c r="E35" s="17"/>
      <c r="H35"/>
      <c r="J35"/>
      <c r="O35" s="23"/>
      <c r="R35"/>
    </row>
    <row r="36" spans="2:18">
      <c r="B36"/>
      <c r="C36" s="13"/>
      <c r="E36" s="17"/>
      <c r="H36"/>
      <c r="J36"/>
      <c r="O36" s="23"/>
      <c r="R36"/>
    </row>
    <row r="37" spans="2:18">
      <c r="B37"/>
      <c r="C37" s="13"/>
      <c r="E37" s="17"/>
      <c r="H37"/>
      <c r="J37"/>
      <c r="O37" s="23"/>
      <c r="R37"/>
    </row>
    <row r="38" spans="2:18">
      <c r="B38"/>
      <c r="C38" s="13"/>
      <c r="E38" s="17"/>
      <c r="H38"/>
      <c r="J38"/>
      <c r="O38" s="23"/>
      <c r="R38"/>
    </row>
  </sheetData>
  <mergeCells count="2">
    <mergeCell ref="A1:O1"/>
    <mergeCell ref="A2:O2"/>
  </mergeCells>
  <conditionalFormatting sqref="N5:N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9:N20">
    <cfRule type="colorScale" priority="2">
      <colorScale>
        <cfvo type="num" val="34"/>
        <cfvo type="num" val="35"/>
        <color rgb="FFFF7128"/>
        <color rgb="FF92D050"/>
      </colorScale>
    </cfRule>
  </conditionalFormatting>
  <printOptions gridLines="1"/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399B-538A-4326-81D5-F56BB2966D2A}">
  <dimension ref="A1:W21"/>
  <sheetViews>
    <sheetView tabSelected="1" workbookViewId="0">
      <selection activeCell="A20" sqref="A20"/>
    </sheetView>
  </sheetViews>
  <sheetFormatPr defaultRowHeight="15"/>
  <cols>
    <col min="1" max="1" width="18.7109375" customWidth="1"/>
    <col min="2" max="2" width="24.28515625" bestFit="1" customWidth="1"/>
    <col min="3" max="13" width="4.5703125" bestFit="1" customWidth="1"/>
    <col min="14" max="14" width="4.5703125" customWidth="1"/>
    <col min="15" max="15" width="5.42578125" bestFit="1" customWidth="1"/>
    <col min="16" max="16" width="15.28515625" customWidth="1"/>
  </cols>
  <sheetData>
    <row r="1" spans="1:23" ht="24.75">
      <c r="A1" s="58" t="s">
        <v>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23" ht="24.75">
      <c r="A2" s="58" t="str">
        <f>Marksheet!A2</f>
        <v>Planetary Science (PHYS8098P)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23">
      <c r="A3" s="2"/>
      <c r="B3" s="2"/>
      <c r="C3" s="3" t="s">
        <v>49</v>
      </c>
      <c r="D3" s="3" t="s">
        <v>49</v>
      </c>
      <c r="E3" s="3" t="s">
        <v>50</v>
      </c>
      <c r="F3" s="3" t="s">
        <v>49</v>
      </c>
      <c r="G3" s="3" t="s">
        <v>50</v>
      </c>
      <c r="H3" s="3" t="s">
        <v>49</v>
      </c>
      <c r="I3" s="3" t="s">
        <v>50</v>
      </c>
      <c r="J3" s="3" t="s">
        <v>50</v>
      </c>
      <c r="K3" s="3" t="s">
        <v>50</v>
      </c>
      <c r="L3" s="3" t="s">
        <v>49</v>
      </c>
      <c r="M3" s="3"/>
      <c r="N3" s="3"/>
      <c r="O3" s="2"/>
      <c r="P3" s="2"/>
    </row>
    <row r="4" spans="1:23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/>
      <c r="O4" s="4" t="s">
        <v>13</v>
      </c>
      <c r="P4" s="4" t="s">
        <v>14</v>
      </c>
      <c r="S4" s="3" t="s">
        <v>50</v>
      </c>
      <c r="T4" s="3" t="s">
        <v>49</v>
      </c>
      <c r="U4" s="3" t="s">
        <v>64</v>
      </c>
      <c r="V4" s="3" t="s">
        <v>65</v>
      </c>
      <c r="W4" s="4" t="s">
        <v>13</v>
      </c>
    </row>
    <row r="5" spans="1:23">
      <c r="A5" s="6"/>
      <c r="B5" s="6" t="s">
        <v>17</v>
      </c>
      <c r="C5" s="6">
        <v>3</v>
      </c>
      <c r="D5" s="6">
        <v>3</v>
      </c>
      <c r="E5" s="6">
        <v>3</v>
      </c>
      <c r="F5" s="6">
        <v>3</v>
      </c>
      <c r="G5" s="6">
        <v>3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/>
      <c r="N5" s="6"/>
      <c r="O5" s="6">
        <f>SUM(C5:L5)</f>
        <v>40</v>
      </c>
      <c r="P5" s="6"/>
      <c r="S5" s="57">
        <f>SUMIF($C$3:$M$3,S$4,$C5:$M5)</f>
        <v>21</v>
      </c>
      <c r="T5" s="57">
        <f t="shared" ref="T5:V20" si="0">SUMIF($C$3:$M$3,T$4,$C5:$M5)</f>
        <v>19</v>
      </c>
      <c r="U5" s="57">
        <f t="shared" si="0"/>
        <v>0</v>
      </c>
      <c r="V5" s="57">
        <f t="shared" si="0"/>
        <v>0</v>
      </c>
      <c r="W5">
        <f>SUM(S5:V5)</f>
        <v>40</v>
      </c>
    </row>
    <row r="6" spans="1:23">
      <c r="A6" s="5">
        <f>Marksheet!B5</f>
        <v>500122885</v>
      </c>
      <c r="B6" s="5" t="str">
        <f>Marksheet!A5</f>
        <v>Aniket  Nishant Prakash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/>
      <c r="N6" s="2"/>
      <c r="O6" s="6">
        <f t="shared" ref="O6:O18" si="1">SUM(C6:L6)</f>
        <v>40</v>
      </c>
      <c r="P6" s="2"/>
      <c r="S6" s="12">
        <f t="shared" ref="S6:V21" si="2">SUMIF($C$3:$M$3,S$4,$C6:$M6)</f>
        <v>21</v>
      </c>
      <c r="T6" s="12">
        <f t="shared" si="0"/>
        <v>19</v>
      </c>
      <c r="U6" s="12">
        <f t="shared" si="0"/>
        <v>0</v>
      </c>
      <c r="V6" s="12">
        <f t="shared" si="0"/>
        <v>0</v>
      </c>
      <c r="W6">
        <f t="shared" ref="W6:W21" si="3">SUM(S6:V6)</f>
        <v>40</v>
      </c>
    </row>
    <row r="7" spans="1:23">
      <c r="A7" s="5">
        <f>Marksheet!B6</f>
        <v>500125854</v>
      </c>
      <c r="B7" s="5" t="str">
        <f>Marksheet!A6</f>
        <v>Ashish  Panwar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5</v>
      </c>
      <c r="I7" s="2">
        <v>4</v>
      </c>
      <c r="J7" s="2">
        <v>5</v>
      </c>
      <c r="K7" s="2">
        <v>4</v>
      </c>
      <c r="L7" s="2">
        <v>5</v>
      </c>
      <c r="M7" s="2"/>
      <c r="N7" s="2"/>
      <c r="O7" s="6">
        <f t="shared" si="1"/>
        <v>38</v>
      </c>
      <c r="P7" s="2"/>
      <c r="S7" s="12">
        <f t="shared" si="2"/>
        <v>19</v>
      </c>
      <c r="T7" s="12">
        <f t="shared" si="0"/>
        <v>19</v>
      </c>
      <c r="U7" s="12">
        <f t="shared" si="0"/>
        <v>0</v>
      </c>
      <c r="V7" s="12">
        <f t="shared" si="0"/>
        <v>0</v>
      </c>
      <c r="W7">
        <f t="shared" si="3"/>
        <v>38</v>
      </c>
    </row>
    <row r="8" spans="1:23">
      <c r="A8" s="5">
        <f>Marksheet!B7</f>
        <v>500125723</v>
      </c>
      <c r="B8" s="5" t="str">
        <f>Marksheet!A7</f>
        <v>DEBJIT  ADHIKARI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6">
        <f t="shared" si="1"/>
        <v>0</v>
      </c>
      <c r="P8" s="2"/>
      <c r="S8" s="12">
        <f t="shared" si="2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>
        <f t="shared" si="3"/>
        <v>0</v>
      </c>
    </row>
    <row r="9" spans="1:23">
      <c r="A9" s="5">
        <f>Marksheet!B8</f>
        <v>500117726</v>
      </c>
      <c r="B9" s="5" t="str">
        <f>Marksheet!A8</f>
        <v>Kalpita  Saini</v>
      </c>
      <c r="C9" s="2">
        <v>3</v>
      </c>
      <c r="D9" s="2">
        <v>3</v>
      </c>
      <c r="E9" s="2">
        <v>3</v>
      </c>
      <c r="F9" s="2">
        <v>3</v>
      </c>
      <c r="G9" s="2">
        <v>0</v>
      </c>
      <c r="H9" s="2">
        <v>5</v>
      </c>
      <c r="I9" s="2">
        <v>4</v>
      </c>
      <c r="J9" s="2">
        <v>5</v>
      </c>
      <c r="K9" s="2">
        <v>5</v>
      </c>
      <c r="L9" s="2">
        <v>1</v>
      </c>
      <c r="M9" s="2"/>
      <c r="N9" s="2"/>
      <c r="O9" s="6">
        <f t="shared" si="1"/>
        <v>32</v>
      </c>
      <c r="P9" s="2"/>
      <c r="S9" s="12">
        <f t="shared" si="2"/>
        <v>17</v>
      </c>
      <c r="T9" s="12">
        <f t="shared" si="0"/>
        <v>15</v>
      </c>
      <c r="U9" s="12">
        <f t="shared" si="0"/>
        <v>0</v>
      </c>
      <c r="V9" s="12">
        <f t="shared" si="0"/>
        <v>0</v>
      </c>
      <c r="W9">
        <f t="shared" si="3"/>
        <v>32</v>
      </c>
    </row>
    <row r="10" spans="1:23">
      <c r="A10" s="5">
        <f>Marksheet!B9</f>
        <v>500125422</v>
      </c>
      <c r="B10" s="5" t="str">
        <f>Marksheet!A9</f>
        <v>Prakhar  Mishra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">
        <f t="shared" si="1"/>
        <v>0</v>
      </c>
      <c r="P10" s="2"/>
      <c r="S10" s="12">
        <f t="shared" si="2"/>
        <v>0</v>
      </c>
      <c r="T10" s="12">
        <f t="shared" si="0"/>
        <v>0</v>
      </c>
      <c r="U10" s="12">
        <f t="shared" si="0"/>
        <v>0</v>
      </c>
      <c r="V10" s="12">
        <f t="shared" si="0"/>
        <v>0</v>
      </c>
      <c r="W10">
        <f t="shared" si="3"/>
        <v>0</v>
      </c>
    </row>
    <row r="11" spans="1:23">
      <c r="A11" s="5">
        <f>Marksheet!B10</f>
        <v>500118526</v>
      </c>
      <c r="B11" s="5" t="str">
        <f>Marksheet!A10</f>
        <v>Prayag  S Krishnan</v>
      </c>
      <c r="C11" s="2">
        <v>3</v>
      </c>
      <c r="D11" s="2">
        <v>3</v>
      </c>
      <c r="E11" s="2">
        <v>3</v>
      </c>
      <c r="F11" s="2">
        <v>3</v>
      </c>
      <c r="G11" s="2">
        <v>0</v>
      </c>
      <c r="H11" s="2">
        <v>0</v>
      </c>
      <c r="I11" s="2">
        <v>2</v>
      </c>
      <c r="J11" s="2">
        <v>1</v>
      </c>
      <c r="K11" s="2">
        <v>5</v>
      </c>
      <c r="L11" s="2">
        <v>5</v>
      </c>
      <c r="M11" s="2"/>
      <c r="N11" s="2"/>
      <c r="O11" s="6">
        <f t="shared" si="1"/>
        <v>25</v>
      </c>
      <c r="P11" s="2"/>
      <c r="S11" s="12">
        <f t="shared" si="2"/>
        <v>11</v>
      </c>
      <c r="T11" s="12">
        <f t="shared" si="0"/>
        <v>14</v>
      </c>
      <c r="U11" s="12">
        <f t="shared" si="0"/>
        <v>0</v>
      </c>
      <c r="V11" s="12">
        <f t="shared" si="0"/>
        <v>0</v>
      </c>
      <c r="W11">
        <f t="shared" si="3"/>
        <v>25</v>
      </c>
    </row>
    <row r="12" spans="1:23">
      <c r="A12" s="5">
        <f>Marksheet!B11</f>
        <v>500123761</v>
      </c>
      <c r="B12" s="5" t="str">
        <f>Marksheet!A11</f>
        <v>Satyansh  Srivastava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>
        <f t="shared" si="1"/>
        <v>0</v>
      </c>
      <c r="P12" s="2"/>
      <c r="S12" s="12">
        <f t="shared" si="2"/>
        <v>0</v>
      </c>
      <c r="T12" s="12">
        <f t="shared" si="0"/>
        <v>0</v>
      </c>
      <c r="U12" s="12">
        <f t="shared" si="0"/>
        <v>0</v>
      </c>
      <c r="V12" s="12">
        <f t="shared" si="0"/>
        <v>0</v>
      </c>
      <c r="W12">
        <f t="shared" si="3"/>
        <v>0</v>
      </c>
    </row>
    <row r="13" spans="1:23">
      <c r="A13" s="5">
        <f>Marksheet!B12</f>
        <v>500124014</v>
      </c>
      <c r="B13" s="5" t="str">
        <f>Marksheet!A12</f>
        <v>Shagun  Thakur</v>
      </c>
      <c r="C13" s="2">
        <v>3</v>
      </c>
      <c r="D13" s="2">
        <v>3</v>
      </c>
      <c r="E13" s="2">
        <v>3</v>
      </c>
      <c r="F13" s="2">
        <v>3</v>
      </c>
      <c r="G13" s="2">
        <v>3</v>
      </c>
      <c r="H13" s="2">
        <v>3</v>
      </c>
      <c r="I13" s="2">
        <v>5</v>
      </c>
      <c r="J13" s="2">
        <v>4</v>
      </c>
      <c r="K13" s="2">
        <v>5</v>
      </c>
      <c r="L13" s="2">
        <v>3</v>
      </c>
      <c r="M13" s="2"/>
      <c r="N13" s="2"/>
      <c r="O13" s="6">
        <f t="shared" si="1"/>
        <v>35</v>
      </c>
      <c r="P13" s="2"/>
      <c r="S13" s="12">
        <f t="shared" si="2"/>
        <v>20</v>
      </c>
      <c r="T13" s="12">
        <f t="shared" si="0"/>
        <v>15</v>
      </c>
      <c r="U13" s="12">
        <f t="shared" si="0"/>
        <v>0</v>
      </c>
      <c r="V13" s="12">
        <f t="shared" si="0"/>
        <v>0</v>
      </c>
      <c r="W13">
        <f t="shared" si="3"/>
        <v>35</v>
      </c>
    </row>
    <row r="14" spans="1:23">
      <c r="A14" s="5">
        <f>Marksheet!B13</f>
        <v>500122098</v>
      </c>
      <c r="B14" s="5" t="str">
        <f>Marksheet!A13</f>
        <v>Shubhankar  Bhardwaj</v>
      </c>
      <c r="C14" s="2">
        <v>3</v>
      </c>
      <c r="D14" s="2">
        <v>3</v>
      </c>
      <c r="E14" s="2">
        <v>3</v>
      </c>
      <c r="F14" s="2">
        <v>0</v>
      </c>
      <c r="G14" s="2">
        <v>3</v>
      </c>
      <c r="H14" s="2">
        <v>0</v>
      </c>
      <c r="I14" s="2">
        <v>2</v>
      </c>
      <c r="J14" s="2">
        <v>3</v>
      </c>
      <c r="K14" s="2">
        <v>2</v>
      </c>
      <c r="L14" s="2">
        <v>1</v>
      </c>
      <c r="M14" s="2"/>
      <c r="N14" s="2"/>
      <c r="O14" s="6">
        <f t="shared" si="1"/>
        <v>20</v>
      </c>
      <c r="P14" s="2"/>
      <c r="S14" s="12">
        <f t="shared" si="2"/>
        <v>13</v>
      </c>
      <c r="T14" s="12">
        <f t="shared" si="0"/>
        <v>7</v>
      </c>
      <c r="U14" s="12">
        <f t="shared" si="0"/>
        <v>0</v>
      </c>
      <c r="V14" s="12">
        <f t="shared" si="0"/>
        <v>0</v>
      </c>
      <c r="W14">
        <f t="shared" si="3"/>
        <v>20</v>
      </c>
    </row>
    <row r="15" spans="1:23">
      <c r="A15" s="5">
        <f>Marksheet!B14</f>
        <v>500119804</v>
      </c>
      <c r="B15" s="5" t="str">
        <f>Marksheet!A14</f>
        <v>Sri  Sai Senthil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5</v>
      </c>
      <c r="I15" s="2"/>
      <c r="J15" s="2">
        <v>5</v>
      </c>
      <c r="K15" s="2">
        <v>5</v>
      </c>
      <c r="L15" s="2">
        <v>4</v>
      </c>
      <c r="M15" s="2"/>
      <c r="N15" s="2"/>
      <c r="O15" s="6">
        <f t="shared" si="1"/>
        <v>34</v>
      </c>
      <c r="P15" s="2"/>
      <c r="S15" s="12">
        <f t="shared" si="2"/>
        <v>16</v>
      </c>
      <c r="T15" s="12">
        <f t="shared" si="0"/>
        <v>18</v>
      </c>
      <c r="U15" s="12">
        <f t="shared" si="0"/>
        <v>0</v>
      </c>
      <c r="V15" s="12">
        <f t="shared" si="0"/>
        <v>0</v>
      </c>
      <c r="W15">
        <f t="shared" si="3"/>
        <v>34</v>
      </c>
    </row>
    <row r="16" spans="1:23">
      <c r="A16" s="5">
        <f>Marksheet!B15</f>
        <v>500124975</v>
      </c>
      <c r="B16" s="5" t="str">
        <f>Marksheet!A15</f>
        <v>Swasti  Mathur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5</v>
      </c>
      <c r="I16" s="2">
        <v>3</v>
      </c>
      <c r="J16" s="2">
        <v>5</v>
      </c>
      <c r="K16" s="2">
        <v>5</v>
      </c>
      <c r="L16" s="2">
        <v>5</v>
      </c>
      <c r="M16" s="2"/>
      <c r="N16" s="2"/>
      <c r="O16" s="6">
        <f t="shared" si="1"/>
        <v>38</v>
      </c>
      <c r="P16" s="2"/>
      <c r="S16" s="12">
        <f t="shared" si="2"/>
        <v>19</v>
      </c>
      <c r="T16" s="12">
        <f t="shared" si="0"/>
        <v>19</v>
      </c>
      <c r="U16" s="12">
        <f t="shared" si="0"/>
        <v>0</v>
      </c>
      <c r="V16" s="12">
        <f t="shared" si="0"/>
        <v>0</v>
      </c>
      <c r="W16">
        <f t="shared" si="3"/>
        <v>38</v>
      </c>
    </row>
    <row r="17" spans="1:23">
      <c r="A17" s="5">
        <f>Marksheet!B16</f>
        <v>500123688</v>
      </c>
      <c r="B17" s="5" t="str">
        <f>Marksheet!A16</f>
        <v>Tasmai  Gaurang Tamboli</v>
      </c>
      <c r="C17" s="2">
        <v>3</v>
      </c>
      <c r="D17" s="2">
        <v>3</v>
      </c>
      <c r="E17" s="2">
        <v>3</v>
      </c>
      <c r="F17" s="2">
        <v>3</v>
      </c>
      <c r="G17" s="2">
        <v>3</v>
      </c>
      <c r="H17" s="2">
        <v>5</v>
      </c>
      <c r="I17" s="2">
        <v>5</v>
      </c>
      <c r="J17" s="2">
        <v>4</v>
      </c>
      <c r="K17" s="2">
        <v>5</v>
      </c>
      <c r="L17" s="2">
        <v>4</v>
      </c>
      <c r="M17" s="2"/>
      <c r="N17" s="2"/>
      <c r="O17" s="6">
        <f>SUM(C17:L17)</f>
        <v>38</v>
      </c>
      <c r="P17" s="2"/>
      <c r="S17" s="12">
        <f t="shared" si="2"/>
        <v>20</v>
      </c>
      <c r="T17" s="12">
        <f t="shared" si="0"/>
        <v>18</v>
      </c>
      <c r="U17" s="12">
        <f t="shared" si="0"/>
        <v>0</v>
      </c>
      <c r="V17" s="12">
        <f t="shared" si="0"/>
        <v>0</v>
      </c>
      <c r="W17">
        <f t="shared" si="3"/>
        <v>38</v>
      </c>
    </row>
    <row r="18" spans="1:23">
      <c r="A18" s="5">
        <f>Marksheet!B17</f>
        <v>500125725</v>
      </c>
      <c r="B18" s="5" t="str">
        <f>Marksheet!A17</f>
        <v>Tigmanshu  Ghanshala</v>
      </c>
      <c r="C18" s="2">
        <v>3</v>
      </c>
      <c r="D18" s="2">
        <v>3</v>
      </c>
      <c r="E18" s="2">
        <v>3</v>
      </c>
      <c r="F18" s="2">
        <v>3</v>
      </c>
      <c r="G18" s="2">
        <v>3</v>
      </c>
      <c r="H18" s="2"/>
      <c r="I18" s="2"/>
      <c r="J18" s="2">
        <v>5</v>
      </c>
      <c r="K18" s="2"/>
      <c r="L18" s="2">
        <v>3</v>
      </c>
      <c r="M18" s="2"/>
      <c r="N18" s="2"/>
      <c r="O18" s="6">
        <f t="shared" si="1"/>
        <v>23</v>
      </c>
      <c r="P18" s="2"/>
      <c r="S18" s="12">
        <f t="shared" si="2"/>
        <v>11</v>
      </c>
      <c r="T18" s="12">
        <f t="shared" si="0"/>
        <v>12</v>
      </c>
      <c r="U18" s="12">
        <f t="shared" si="0"/>
        <v>0</v>
      </c>
      <c r="V18" s="12">
        <f t="shared" si="0"/>
        <v>0</v>
      </c>
      <c r="W18">
        <f t="shared" si="3"/>
        <v>23</v>
      </c>
    </row>
    <row r="19" spans="1:23">
      <c r="A19" s="5">
        <f>Marksheet!B18</f>
        <v>500126731</v>
      </c>
      <c r="B19" s="5" t="str">
        <f>Marksheet!A18</f>
        <v>Vikas  Kumar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">
        <f>SUM(C19:L19)</f>
        <v>0</v>
      </c>
      <c r="P19" s="2"/>
      <c r="S19" s="12">
        <f t="shared" si="2"/>
        <v>0</v>
      </c>
      <c r="T19" s="12">
        <f t="shared" si="0"/>
        <v>0</v>
      </c>
      <c r="U19" s="12">
        <f t="shared" si="0"/>
        <v>0</v>
      </c>
      <c r="V19" s="12">
        <f t="shared" si="0"/>
        <v>0</v>
      </c>
      <c r="W19">
        <f t="shared" si="3"/>
        <v>0</v>
      </c>
    </row>
    <row r="20" spans="1:2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"/>
      <c r="O20" s="2"/>
      <c r="P20" s="5"/>
      <c r="S20" s="12">
        <f t="shared" si="2"/>
        <v>0</v>
      </c>
      <c r="T20" s="12">
        <f t="shared" si="0"/>
        <v>0</v>
      </c>
      <c r="U20" s="12">
        <f t="shared" si="0"/>
        <v>0</v>
      </c>
      <c r="V20" s="12">
        <f t="shared" si="0"/>
        <v>0</v>
      </c>
      <c r="W20">
        <f t="shared" si="3"/>
        <v>0</v>
      </c>
    </row>
    <row r="21" spans="1:2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"/>
      <c r="O21" s="2"/>
      <c r="P21" s="5"/>
      <c r="S21" s="12">
        <f t="shared" si="2"/>
        <v>0</v>
      </c>
      <c r="T21" s="12">
        <f t="shared" si="2"/>
        <v>0</v>
      </c>
      <c r="U21" s="12">
        <f t="shared" si="2"/>
        <v>0</v>
      </c>
      <c r="V21" s="12">
        <f t="shared" si="2"/>
        <v>0</v>
      </c>
      <c r="W21">
        <f t="shared" si="3"/>
        <v>0</v>
      </c>
    </row>
  </sheetData>
  <mergeCells count="2">
    <mergeCell ref="A1:P1"/>
    <mergeCell ref="A2:P2"/>
  </mergeCells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2827-4102-4501-99F8-C9B7DD668F03}">
  <dimension ref="A1:AO21"/>
  <sheetViews>
    <sheetView workbookViewId="0">
      <selection activeCell="AK21" sqref="AK21"/>
    </sheetView>
  </sheetViews>
  <sheetFormatPr defaultRowHeight="15"/>
  <cols>
    <col min="1" max="1" width="19" customWidth="1"/>
    <col min="2" max="2" width="24.28515625" bestFit="1" customWidth="1"/>
    <col min="3" max="5" width="4.5703125" bestFit="1" customWidth="1"/>
    <col min="6" max="6" width="4" customWidth="1"/>
    <col min="7" max="13" width="4.5703125" bestFit="1" customWidth="1"/>
    <col min="14" max="32" width="4.5703125" customWidth="1"/>
    <col min="33" max="33" width="5.42578125" bestFit="1" customWidth="1"/>
    <col min="34" max="34" width="9.7109375" customWidth="1"/>
  </cols>
  <sheetData>
    <row r="1" spans="1:41" ht="24.75">
      <c r="A1" s="58" t="s">
        <v>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</row>
    <row r="2" spans="1:41" ht="24.75">
      <c r="A2" s="58" t="str">
        <f>Marksheet!A2</f>
        <v>Planetary Science (PHYS8098P)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</row>
    <row r="3" spans="1:41">
      <c r="A3" s="2"/>
      <c r="B3" s="2"/>
      <c r="C3" s="3" t="s">
        <v>50</v>
      </c>
      <c r="D3" s="3" t="s">
        <v>50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50</v>
      </c>
      <c r="L3" s="3" t="s">
        <v>50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"/>
      <c r="AH3" s="2"/>
    </row>
    <row r="4" spans="1:41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 t="s">
        <v>13</v>
      </c>
      <c r="AH4" s="4" t="s">
        <v>14</v>
      </c>
      <c r="AK4" s="35" t="s">
        <v>50</v>
      </c>
      <c r="AL4" s="35" t="s">
        <v>49</v>
      </c>
      <c r="AM4" s="35" t="s">
        <v>64</v>
      </c>
      <c r="AN4" s="35" t="s">
        <v>65</v>
      </c>
      <c r="AO4" s="36" t="s">
        <v>13</v>
      </c>
    </row>
    <row r="5" spans="1:41">
      <c r="A5" s="6"/>
      <c r="B5" s="6" t="s">
        <v>17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f>SUM(C5:AF5)</f>
        <v>20</v>
      </c>
      <c r="AH5" s="6"/>
      <c r="AK5" s="37">
        <f>SUMIF($C$3:$M$3,AK$4,$C5:$M5)</f>
        <v>20</v>
      </c>
      <c r="AL5" s="37">
        <f t="shared" ref="AL5:AN5" si="0">SUMIF($C$3:$M$3,AL$4,$C5:$M5)</f>
        <v>0</v>
      </c>
      <c r="AM5" s="37">
        <f t="shared" si="0"/>
        <v>0</v>
      </c>
      <c r="AN5" s="37">
        <f t="shared" si="0"/>
        <v>0</v>
      </c>
      <c r="AO5" s="37">
        <f>SUM(AK5:AL5)</f>
        <v>20</v>
      </c>
    </row>
    <row r="6" spans="1:41">
      <c r="A6" s="5">
        <f>'Mid Sem'!B6</f>
        <v>500122885</v>
      </c>
      <c r="B6" s="5" t="str">
        <f>Marksheet!A5</f>
        <v>Aniket  Nishant Prakash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6">
        <f t="shared" ref="AG6:AG18" si="1">SUM(C6:AF6)</f>
        <v>0</v>
      </c>
      <c r="AH6" s="2"/>
      <c r="AK6" s="38">
        <f t="shared" ref="AK6:AK7" si="2">SUM(C6:R6)</f>
        <v>0</v>
      </c>
      <c r="AL6" s="38">
        <f t="shared" ref="AL6:AL7" si="3">SUM(S6:AF6)</f>
        <v>0</v>
      </c>
      <c r="AM6" s="38"/>
      <c r="AN6" s="38"/>
      <c r="AO6" s="37">
        <f t="shared" ref="AO6:AO17" si="4">SUM(AK6:AL6)</f>
        <v>0</v>
      </c>
    </row>
    <row r="7" spans="1:41">
      <c r="A7" s="5">
        <f>'Mid Sem'!B7</f>
        <v>500125854</v>
      </c>
      <c r="B7" s="5" t="str">
        <f>Marksheet!A6</f>
        <v>Ashish  Panwar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6">
        <f t="shared" si="1"/>
        <v>0</v>
      </c>
      <c r="AH7" s="2"/>
      <c r="AK7" s="38">
        <f t="shared" si="2"/>
        <v>0</v>
      </c>
      <c r="AL7" s="38">
        <f t="shared" si="3"/>
        <v>0</v>
      </c>
      <c r="AM7" s="38"/>
      <c r="AN7" s="38"/>
      <c r="AO7" s="37">
        <f t="shared" si="4"/>
        <v>0</v>
      </c>
    </row>
    <row r="8" spans="1:41">
      <c r="A8" s="5">
        <f>'Mid Sem'!B8</f>
        <v>500125723</v>
      </c>
      <c r="B8" s="5" t="str">
        <f>Marksheet!A7</f>
        <v>DEBJIT  ADHIKARI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6">
        <f t="shared" si="1"/>
        <v>0</v>
      </c>
      <c r="AH8" s="2"/>
      <c r="AK8" s="38">
        <f t="shared" ref="AK8:AK17" si="5">SUM(C8:R8)</f>
        <v>0</v>
      </c>
      <c r="AL8" s="38">
        <f t="shared" ref="AL8:AL17" si="6">SUM(S8:AF8)</f>
        <v>0</v>
      </c>
      <c r="AM8" s="38"/>
      <c r="AN8" s="38"/>
      <c r="AO8" s="37">
        <f t="shared" si="4"/>
        <v>0</v>
      </c>
    </row>
    <row r="9" spans="1:41">
      <c r="A9" s="5">
        <f>'Mid Sem'!B9</f>
        <v>500117726</v>
      </c>
      <c r="B9" s="5" t="str">
        <f>Marksheet!A8</f>
        <v>Kalpita  Saini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6">
        <f t="shared" si="1"/>
        <v>0</v>
      </c>
      <c r="AH9" s="2"/>
      <c r="AK9" s="38">
        <f t="shared" si="5"/>
        <v>0</v>
      </c>
      <c r="AL9" s="38">
        <f t="shared" si="6"/>
        <v>0</v>
      </c>
      <c r="AM9" s="38"/>
      <c r="AN9" s="38"/>
      <c r="AO9" s="37">
        <f t="shared" si="4"/>
        <v>0</v>
      </c>
    </row>
    <row r="10" spans="1:41">
      <c r="A10" s="5">
        <f>'Mid Sem'!B10</f>
        <v>500125422</v>
      </c>
      <c r="B10" s="5" t="str">
        <f>Marksheet!A9</f>
        <v>Prakhar  Mishra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6">
        <f t="shared" si="1"/>
        <v>0</v>
      </c>
      <c r="AH10" s="2"/>
      <c r="AK10" s="38">
        <f t="shared" si="5"/>
        <v>0</v>
      </c>
      <c r="AL10" s="38">
        <f t="shared" si="6"/>
        <v>0</v>
      </c>
      <c r="AM10" s="38"/>
      <c r="AN10" s="38"/>
      <c r="AO10" s="37">
        <f t="shared" si="4"/>
        <v>0</v>
      </c>
    </row>
    <row r="11" spans="1:41">
      <c r="A11" s="5">
        <f>'Mid Sem'!B11</f>
        <v>500118526</v>
      </c>
      <c r="B11" s="5" t="str">
        <f>Marksheet!A10</f>
        <v>Prayag  S Krishnan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6">
        <f t="shared" si="1"/>
        <v>0</v>
      </c>
      <c r="AH11" s="2"/>
      <c r="AK11" s="38">
        <f t="shared" si="5"/>
        <v>0</v>
      </c>
      <c r="AL11" s="38">
        <f t="shared" si="6"/>
        <v>0</v>
      </c>
      <c r="AM11" s="38"/>
      <c r="AN11" s="38"/>
      <c r="AO11" s="37">
        <f t="shared" si="4"/>
        <v>0</v>
      </c>
    </row>
    <row r="12" spans="1:41">
      <c r="A12" s="5">
        <f>'Mid Sem'!B12</f>
        <v>500123761</v>
      </c>
      <c r="B12" s="5" t="str">
        <f>Marksheet!A11</f>
        <v>Satyansh  Srivastava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">
        <f t="shared" si="1"/>
        <v>0</v>
      </c>
      <c r="AH12" s="2"/>
      <c r="AK12" s="38">
        <f t="shared" si="5"/>
        <v>0</v>
      </c>
      <c r="AL12" s="38">
        <f t="shared" si="6"/>
        <v>0</v>
      </c>
      <c r="AM12" s="38"/>
      <c r="AN12" s="38"/>
      <c r="AO12" s="37">
        <f t="shared" si="4"/>
        <v>0</v>
      </c>
    </row>
    <row r="13" spans="1:41">
      <c r="A13" s="5">
        <f>'Mid Sem'!B13</f>
        <v>500124014</v>
      </c>
      <c r="B13" s="5" t="str">
        <f>Marksheet!A12</f>
        <v>Shagun  Thakur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6">
        <f t="shared" si="1"/>
        <v>0</v>
      </c>
      <c r="AH13" s="2"/>
      <c r="AK13" s="38">
        <f t="shared" si="5"/>
        <v>0</v>
      </c>
      <c r="AL13" s="38">
        <f t="shared" si="6"/>
        <v>0</v>
      </c>
      <c r="AM13" s="38"/>
      <c r="AN13" s="38"/>
      <c r="AO13" s="37">
        <f t="shared" si="4"/>
        <v>0</v>
      </c>
    </row>
    <row r="14" spans="1:41">
      <c r="A14" s="5">
        <f>'Mid Sem'!B14</f>
        <v>500122098</v>
      </c>
      <c r="B14" s="5" t="str">
        <f>Marksheet!A13</f>
        <v>Shubhankar  Bhardwaj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6">
        <f t="shared" si="1"/>
        <v>0</v>
      </c>
      <c r="AH14" s="2"/>
      <c r="AK14" s="38">
        <f t="shared" si="5"/>
        <v>0</v>
      </c>
      <c r="AL14" s="38">
        <f t="shared" si="6"/>
        <v>0</v>
      </c>
      <c r="AM14" s="38"/>
      <c r="AN14" s="38"/>
      <c r="AO14" s="37">
        <f t="shared" si="4"/>
        <v>0</v>
      </c>
    </row>
    <row r="15" spans="1:41">
      <c r="A15" s="5">
        <f>'Mid Sem'!B15</f>
        <v>500119804</v>
      </c>
      <c r="B15" s="5" t="str">
        <f>Marksheet!A14</f>
        <v>Sri  Sai Senthil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6">
        <f t="shared" si="1"/>
        <v>0</v>
      </c>
      <c r="AH15" s="2"/>
      <c r="AK15" s="38">
        <f t="shared" si="5"/>
        <v>0</v>
      </c>
      <c r="AL15" s="38">
        <f t="shared" si="6"/>
        <v>0</v>
      </c>
      <c r="AM15" s="38"/>
      <c r="AN15" s="38"/>
      <c r="AO15" s="37">
        <f t="shared" si="4"/>
        <v>0</v>
      </c>
    </row>
    <row r="16" spans="1:41">
      <c r="A16" s="5">
        <f>'Mid Sem'!B16</f>
        <v>500124975</v>
      </c>
      <c r="B16" s="5" t="str">
        <f>Marksheet!A15</f>
        <v>Swasti  Mathur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6">
        <f t="shared" si="1"/>
        <v>0</v>
      </c>
      <c r="AH16" s="2"/>
      <c r="AK16" s="38">
        <f t="shared" si="5"/>
        <v>0</v>
      </c>
      <c r="AL16" s="38">
        <f t="shared" si="6"/>
        <v>0</v>
      </c>
      <c r="AM16" s="38"/>
      <c r="AN16" s="38"/>
      <c r="AO16" s="37">
        <f t="shared" si="4"/>
        <v>0</v>
      </c>
    </row>
    <row r="17" spans="1:41">
      <c r="A17" s="5">
        <f>'Mid Sem'!B17</f>
        <v>500123688</v>
      </c>
      <c r="B17" s="5" t="str">
        <f>Marksheet!A16</f>
        <v>Tasmai  Gaurang Tamboli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6">
        <f t="shared" si="1"/>
        <v>0</v>
      </c>
      <c r="AH17" s="2"/>
      <c r="AK17" s="38">
        <f t="shared" si="5"/>
        <v>0</v>
      </c>
      <c r="AL17" s="38">
        <f t="shared" si="6"/>
        <v>0</v>
      </c>
      <c r="AM17" s="38"/>
      <c r="AN17" s="38"/>
      <c r="AO17" s="37">
        <f t="shared" si="4"/>
        <v>0</v>
      </c>
    </row>
    <row r="18" spans="1:41">
      <c r="A18" s="5">
        <f>'Mid Sem'!B18</f>
        <v>500125725</v>
      </c>
      <c r="B18" s="5" t="str">
        <f>Marksheet!A17</f>
        <v>Tigmanshu  Ghanshala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6">
        <f t="shared" si="1"/>
        <v>0</v>
      </c>
      <c r="AH18" s="2"/>
    </row>
    <row r="19" spans="1:41">
      <c r="A19" s="5">
        <f>'Mid Sem'!B19</f>
        <v>500126731</v>
      </c>
      <c r="B19" s="5" t="str">
        <f>Marksheet!A18</f>
        <v>Vikas  Kumar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41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41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2">
    <mergeCell ref="A1:AH1"/>
    <mergeCell ref="A2:A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9D2C-73CD-4AE4-AA1F-0CD30E8A3469}">
  <dimension ref="A1:AO21"/>
  <sheetViews>
    <sheetView zoomScale="79" workbookViewId="0">
      <selection activeCell="Q10" sqref="Q10"/>
    </sheetView>
  </sheetViews>
  <sheetFormatPr defaultRowHeight="15"/>
  <cols>
    <col min="1" max="1" width="19" customWidth="1"/>
    <col min="2" max="2" width="27.42578125" customWidth="1"/>
    <col min="3" max="5" width="4.5703125" bestFit="1" customWidth="1"/>
    <col min="6" max="6" width="4" customWidth="1"/>
    <col min="7" max="13" width="4.5703125" bestFit="1" customWidth="1"/>
    <col min="14" max="32" width="4.5703125" customWidth="1"/>
    <col min="33" max="33" width="5.42578125" bestFit="1" customWidth="1"/>
    <col min="34" max="34" width="9.7109375" customWidth="1"/>
  </cols>
  <sheetData>
    <row r="1" spans="1:41" ht="24.75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</row>
    <row r="2" spans="1:41" ht="24.75">
      <c r="A2" s="58" t="str">
        <f>Marksheet!A2</f>
        <v>Planetary Science (PHYS8098P)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</row>
    <row r="3" spans="1:41">
      <c r="A3" s="2"/>
      <c r="B3" s="2"/>
      <c r="C3" s="3" t="s">
        <v>50</v>
      </c>
      <c r="D3" s="3" t="s">
        <v>50</v>
      </c>
      <c r="E3" s="3" t="s">
        <v>50</v>
      </c>
      <c r="F3" s="3" t="s">
        <v>65</v>
      </c>
      <c r="G3" s="3" t="s">
        <v>65</v>
      </c>
      <c r="H3" s="3" t="s">
        <v>50</v>
      </c>
      <c r="I3" s="3" t="s">
        <v>50</v>
      </c>
      <c r="J3" s="3" t="s">
        <v>64</v>
      </c>
      <c r="K3" s="3" t="s">
        <v>50</v>
      </c>
      <c r="L3" s="3" t="s">
        <v>50</v>
      </c>
      <c r="M3" s="3" t="s">
        <v>64</v>
      </c>
      <c r="N3" s="3" t="s">
        <v>49</v>
      </c>
      <c r="O3" s="3" t="s">
        <v>49</v>
      </c>
      <c r="P3" s="3" t="s">
        <v>49</v>
      </c>
      <c r="Q3" s="3" t="s">
        <v>49</v>
      </c>
      <c r="R3" s="3" t="s">
        <v>49</v>
      </c>
      <c r="S3" s="3" t="s">
        <v>49</v>
      </c>
      <c r="T3" s="3" t="s">
        <v>64</v>
      </c>
      <c r="U3" s="3" t="s">
        <v>65</v>
      </c>
      <c r="V3" s="3" t="s">
        <v>49</v>
      </c>
      <c r="W3" s="3" t="s">
        <v>64</v>
      </c>
      <c r="X3" s="3" t="s">
        <v>65</v>
      </c>
      <c r="Y3" s="3" t="s">
        <v>49</v>
      </c>
      <c r="Z3" s="3" t="s">
        <v>49</v>
      </c>
      <c r="AA3" s="3" t="s">
        <v>64</v>
      </c>
      <c r="AB3" s="3" t="s">
        <v>49</v>
      </c>
      <c r="AC3" s="3" t="s">
        <v>65</v>
      </c>
      <c r="AD3" s="3" t="s">
        <v>49</v>
      </c>
      <c r="AE3" s="3" t="s">
        <v>65</v>
      </c>
      <c r="AF3" s="3" t="s">
        <v>49</v>
      </c>
      <c r="AG3" s="2"/>
      <c r="AH3" s="2"/>
    </row>
    <row r="4" spans="1:41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 t="s">
        <v>13</v>
      </c>
      <c r="AH4" s="4" t="s">
        <v>14</v>
      </c>
      <c r="AK4" s="35" t="s">
        <v>50</v>
      </c>
      <c r="AL4" s="35" t="s">
        <v>49</v>
      </c>
      <c r="AM4" s="35" t="s">
        <v>64</v>
      </c>
      <c r="AN4" s="35" t="s">
        <v>65</v>
      </c>
      <c r="AO4" s="36" t="s">
        <v>13</v>
      </c>
    </row>
    <row r="5" spans="1:41">
      <c r="A5" s="6"/>
      <c r="B5" s="6" t="s">
        <v>17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f>SUM(C5:AF5)</f>
        <v>20</v>
      </c>
      <c r="AH5" s="6"/>
      <c r="AK5" s="45">
        <f>SUMIF($C$3:$AF$3, "CO1", $C5:$AF5)</f>
        <v>14</v>
      </c>
      <c r="AL5" s="37">
        <f>SUMIF($C$3:$AF$3, "CO2", $C5:$AF5)</f>
        <v>0</v>
      </c>
      <c r="AM5" s="37">
        <f>SUMIF($C$3:$AF$3, "CO3", $C5:$AF5)</f>
        <v>2</v>
      </c>
      <c r="AN5" s="37">
        <f>SUMIF($C$3:$AF$3, "CO4", $C5:$AF5)</f>
        <v>4</v>
      </c>
      <c r="AO5" s="37">
        <f>SUM(AK5:AN5)</f>
        <v>20</v>
      </c>
    </row>
    <row r="6" spans="1:41">
      <c r="A6" s="5">
        <f>'Mid Sem'!B6</f>
        <v>500122885</v>
      </c>
      <c r="B6" s="5" t="str">
        <f>Marksheet!A5</f>
        <v>Aniket  Nishant Prakash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6">
        <f t="shared" ref="AG6:AG18" si="0">SUM(C6:AF6)</f>
        <v>0</v>
      </c>
      <c r="AH6" s="2"/>
      <c r="AK6" s="46">
        <f t="shared" ref="AK6:AK17" si="1">SUMIF($C$3:$AF$3, "CO1", $C6:$AF6)</f>
        <v>0</v>
      </c>
      <c r="AL6" s="47">
        <f t="shared" ref="AL6:AL17" si="2">SUMIF($C$3:$AF$3, "CO2", $C6:$AF6)</f>
        <v>0</v>
      </c>
      <c r="AM6" s="47">
        <f t="shared" ref="AM6:AM16" si="3">SUMIF($C$3:$AF$3, "CO3", $C6:$AF6)</f>
        <v>0</v>
      </c>
      <c r="AN6" s="47">
        <f t="shared" ref="AN6:AN17" si="4">SUMIF($C$3:$AF$3, "CO4", $C6:$AF6)</f>
        <v>0</v>
      </c>
      <c r="AO6" s="37">
        <f t="shared" ref="AO6:AO17" si="5">SUM(AK6:AN6)</f>
        <v>0</v>
      </c>
    </row>
    <row r="7" spans="1:41">
      <c r="A7" s="5">
        <f>'Mid Sem'!B7</f>
        <v>500125854</v>
      </c>
      <c r="B7" s="5" t="str">
        <f>Marksheet!A6</f>
        <v>Ashish  Panwar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6">
        <f t="shared" si="0"/>
        <v>0</v>
      </c>
      <c r="AH7" s="2"/>
      <c r="AK7" s="46">
        <f t="shared" si="1"/>
        <v>0</v>
      </c>
      <c r="AL7" s="47">
        <f t="shared" si="2"/>
        <v>0</v>
      </c>
      <c r="AM7" s="47">
        <f t="shared" si="3"/>
        <v>0</v>
      </c>
      <c r="AN7" s="47">
        <f t="shared" si="4"/>
        <v>0</v>
      </c>
      <c r="AO7" s="37">
        <f t="shared" si="5"/>
        <v>0</v>
      </c>
    </row>
    <row r="8" spans="1:41">
      <c r="A8" s="5">
        <f>'Mid Sem'!B8</f>
        <v>500125723</v>
      </c>
      <c r="B8" s="5" t="str">
        <f>Marksheet!A7</f>
        <v>DEBJIT  ADHIKARI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6"/>
      <c r="AH8" s="2"/>
      <c r="AK8" s="46">
        <f t="shared" si="1"/>
        <v>0</v>
      </c>
      <c r="AL8" s="47">
        <f t="shared" si="2"/>
        <v>0</v>
      </c>
      <c r="AM8" s="47">
        <f t="shared" si="3"/>
        <v>0</v>
      </c>
      <c r="AN8" s="47">
        <f t="shared" si="4"/>
        <v>0</v>
      </c>
      <c r="AO8" s="37">
        <f t="shared" si="5"/>
        <v>0</v>
      </c>
    </row>
    <row r="9" spans="1:41">
      <c r="A9" s="5">
        <f>'Mid Sem'!B9</f>
        <v>500117726</v>
      </c>
      <c r="B9" s="5" t="str">
        <f>Marksheet!A8</f>
        <v>Kalpita  Saini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6">
        <f t="shared" si="0"/>
        <v>0</v>
      </c>
      <c r="AH9" s="2"/>
      <c r="AK9" s="46">
        <f t="shared" si="1"/>
        <v>0</v>
      </c>
      <c r="AL9" s="47">
        <f t="shared" si="2"/>
        <v>0</v>
      </c>
      <c r="AM9" s="47">
        <f t="shared" si="3"/>
        <v>0</v>
      </c>
      <c r="AN9" s="47">
        <f t="shared" si="4"/>
        <v>0</v>
      </c>
      <c r="AO9" s="37">
        <f t="shared" si="5"/>
        <v>0</v>
      </c>
    </row>
    <row r="10" spans="1:41">
      <c r="A10" s="5">
        <f>'Mid Sem'!B10</f>
        <v>500125422</v>
      </c>
      <c r="B10" s="5" t="str">
        <f>Marksheet!A9</f>
        <v>Prakhar  Mishra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6">
        <f t="shared" si="0"/>
        <v>0</v>
      </c>
      <c r="AH10" s="2"/>
      <c r="AK10" s="46">
        <f t="shared" si="1"/>
        <v>0</v>
      </c>
      <c r="AL10" s="47">
        <f t="shared" si="2"/>
        <v>0</v>
      </c>
      <c r="AM10" s="47">
        <f t="shared" si="3"/>
        <v>0</v>
      </c>
      <c r="AN10" s="47">
        <f t="shared" si="4"/>
        <v>0</v>
      </c>
      <c r="AO10" s="37">
        <f t="shared" si="5"/>
        <v>0</v>
      </c>
    </row>
    <row r="11" spans="1:41">
      <c r="A11" s="5">
        <f>'Mid Sem'!B11</f>
        <v>500118526</v>
      </c>
      <c r="B11" s="5" t="str">
        <f>Marksheet!A10</f>
        <v>Prayag  S Krishnan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6">
        <f t="shared" si="0"/>
        <v>0</v>
      </c>
      <c r="AH11" s="2"/>
      <c r="AK11" s="46">
        <f t="shared" si="1"/>
        <v>0</v>
      </c>
      <c r="AL11" s="47">
        <f t="shared" si="2"/>
        <v>0</v>
      </c>
      <c r="AM11" s="47">
        <f t="shared" si="3"/>
        <v>0</v>
      </c>
      <c r="AN11" s="47">
        <f t="shared" si="4"/>
        <v>0</v>
      </c>
      <c r="AO11" s="37">
        <f t="shared" si="5"/>
        <v>0</v>
      </c>
    </row>
    <row r="12" spans="1:41">
      <c r="A12" s="5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">
        <f t="shared" si="0"/>
        <v>0</v>
      </c>
      <c r="AH12" s="2"/>
      <c r="AK12" s="46">
        <f t="shared" si="1"/>
        <v>0</v>
      </c>
      <c r="AL12" s="47">
        <f t="shared" si="2"/>
        <v>0</v>
      </c>
      <c r="AM12" s="47">
        <f t="shared" si="3"/>
        <v>0</v>
      </c>
      <c r="AN12" s="47">
        <f t="shared" si="4"/>
        <v>0</v>
      </c>
      <c r="AO12" s="37">
        <f t="shared" si="5"/>
        <v>0</v>
      </c>
    </row>
    <row r="13" spans="1:41">
      <c r="A13" s="5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6">
        <f t="shared" si="0"/>
        <v>0</v>
      </c>
      <c r="AH13" s="2"/>
      <c r="AK13" s="46">
        <f t="shared" si="1"/>
        <v>0</v>
      </c>
      <c r="AL13" s="47">
        <f t="shared" si="2"/>
        <v>0</v>
      </c>
      <c r="AM13" s="47">
        <f t="shared" si="3"/>
        <v>0</v>
      </c>
      <c r="AN13" s="47">
        <f t="shared" si="4"/>
        <v>0</v>
      </c>
      <c r="AO13" s="37">
        <f t="shared" si="5"/>
        <v>0</v>
      </c>
    </row>
    <row r="14" spans="1:41">
      <c r="A14" s="5"/>
      <c r="B14" s="5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6">
        <f t="shared" si="0"/>
        <v>0</v>
      </c>
      <c r="AH14" s="2"/>
      <c r="AK14" s="46">
        <f t="shared" si="1"/>
        <v>0</v>
      </c>
      <c r="AL14" s="47">
        <f t="shared" si="2"/>
        <v>0</v>
      </c>
      <c r="AM14" s="47">
        <f t="shared" si="3"/>
        <v>0</v>
      </c>
      <c r="AN14" s="47">
        <f t="shared" si="4"/>
        <v>0</v>
      </c>
      <c r="AO14" s="37">
        <f t="shared" si="5"/>
        <v>0</v>
      </c>
    </row>
    <row r="15" spans="1:41">
      <c r="A15" s="5"/>
      <c r="B15" s="5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6">
        <f t="shared" si="0"/>
        <v>0</v>
      </c>
      <c r="AH15" s="2"/>
      <c r="AK15" s="46">
        <f t="shared" si="1"/>
        <v>0</v>
      </c>
      <c r="AL15" s="47">
        <f t="shared" si="2"/>
        <v>0</v>
      </c>
      <c r="AM15" s="47">
        <f t="shared" si="3"/>
        <v>0</v>
      </c>
      <c r="AN15" s="47">
        <f t="shared" si="4"/>
        <v>0</v>
      </c>
      <c r="AO15" s="37">
        <f t="shared" si="5"/>
        <v>0</v>
      </c>
    </row>
    <row r="16" spans="1:41">
      <c r="A16" s="5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6">
        <v>0</v>
      </c>
      <c r="AH16" s="2"/>
      <c r="AK16" s="46">
        <f t="shared" si="1"/>
        <v>0</v>
      </c>
      <c r="AL16" s="47">
        <f t="shared" si="2"/>
        <v>0</v>
      </c>
      <c r="AM16" s="47">
        <f t="shared" si="3"/>
        <v>0</v>
      </c>
      <c r="AN16" s="47">
        <f t="shared" si="4"/>
        <v>0</v>
      </c>
      <c r="AO16" s="37">
        <f t="shared" si="5"/>
        <v>0</v>
      </c>
    </row>
    <row r="17" spans="1:41">
      <c r="A17" s="5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6">
        <f t="shared" si="0"/>
        <v>0</v>
      </c>
      <c r="AH17" s="2"/>
      <c r="AK17" s="46">
        <f t="shared" si="1"/>
        <v>0</v>
      </c>
      <c r="AL17" s="47">
        <f t="shared" si="2"/>
        <v>0</v>
      </c>
      <c r="AM17" s="47">
        <f>SUMIF($C$3:$AF$3, "CO3", $C17:$AF17)</f>
        <v>0</v>
      </c>
      <c r="AN17" s="47">
        <f t="shared" si="4"/>
        <v>0</v>
      </c>
      <c r="AO17" s="37">
        <f t="shared" si="5"/>
        <v>0</v>
      </c>
    </row>
    <row r="18" spans="1:41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6">
        <f t="shared" si="0"/>
        <v>0</v>
      </c>
      <c r="AH18" s="2"/>
      <c r="AK18" s="46"/>
      <c r="AL18" s="46"/>
      <c r="AM18" s="46"/>
      <c r="AN18" s="46"/>
      <c r="AO18" s="45"/>
    </row>
    <row r="19" spans="1:41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K19" s="46"/>
      <c r="AL19" s="46"/>
      <c r="AM19" s="46"/>
      <c r="AN19" s="46"/>
      <c r="AO19" s="46"/>
    </row>
    <row r="20" spans="1:41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K20" s="46"/>
      <c r="AL20" s="46"/>
      <c r="AM20" s="46"/>
      <c r="AN20" s="46"/>
      <c r="AO20" s="46"/>
    </row>
    <row r="21" spans="1:41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K21" s="46"/>
      <c r="AL21" s="46"/>
      <c r="AM21" s="46"/>
      <c r="AN21" s="46"/>
      <c r="AO21" s="46"/>
    </row>
  </sheetData>
  <mergeCells count="2">
    <mergeCell ref="A1:AH1"/>
    <mergeCell ref="A2:A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20EC-5887-4CA4-8B00-C82693C60F77}">
  <sheetPr>
    <pageSetUpPr fitToPage="1"/>
  </sheetPr>
  <dimension ref="A1:V55"/>
  <sheetViews>
    <sheetView topLeftCell="A5" workbookViewId="0">
      <selection activeCell="B17" sqref="B17:B19"/>
    </sheetView>
  </sheetViews>
  <sheetFormatPr defaultRowHeight="15"/>
  <cols>
    <col min="1" max="1" width="25" customWidth="1"/>
    <col min="2" max="2" width="24.5703125" style="13" customWidth="1"/>
    <col min="15" max="15" width="13.140625" customWidth="1"/>
  </cols>
  <sheetData>
    <row r="1" spans="1:22" ht="24.75">
      <c r="A1" s="58" t="s">
        <v>66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22" ht="24.75">
      <c r="A2" s="58" t="str">
        <f>Marksheet!A2</f>
        <v>Planetary Science (PHYS8098P)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22">
      <c r="A3" s="2"/>
      <c r="B3" s="14"/>
      <c r="C3" s="3" t="s">
        <v>50</v>
      </c>
      <c r="D3" s="3" t="s">
        <v>49</v>
      </c>
      <c r="E3" s="3" t="s">
        <v>50</v>
      </c>
      <c r="F3" s="3" t="s">
        <v>49</v>
      </c>
      <c r="G3" s="3" t="s">
        <v>65</v>
      </c>
      <c r="H3" s="3" t="s">
        <v>49</v>
      </c>
      <c r="I3" s="3" t="s">
        <v>65</v>
      </c>
      <c r="J3" s="3" t="s">
        <v>49</v>
      </c>
      <c r="K3" s="3" t="s">
        <v>67</v>
      </c>
      <c r="L3" s="3"/>
      <c r="M3" s="3"/>
      <c r="N3" s="2"/>
      <c r="O3" s="2"/>
    </row>
    <row r="4" spans="1:22">
      <c r="A4" s="4" t="s">
        <v>52</v>
      </c>
      <c r="B4" s="15" t="s">
        <v>68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  <c r="J4" s="8" t="s">
        <v>60</v>
      </c>
      <c r="K4" s="8" t="s">
        <v>61</v>
      </c>
      <c r="L4" s="8" t="s">
        <v>62</v>
      </c>
      <c r="M4" s="8" t="s">
        <v>63</v>
      </c>
      <c r="N4" s="8" t="s">
        <v>13</v>
      </c>
      <c r="O4" s="8" t="s">
        <v>14</v>
      </c>
      <c r="R4" s="3" t="s">
        <v>50</v>
      </c>
      <c r="S4" s="3" t="s">
        <v>49</v>
      </c>
      <c r="T4" s="3" t="s">
        <v>64</v>
      </c>
      <c r="U4" s="3" t="s">
        <v>65</v>
      </c>
      <c r="V4" s="4" t="s">
        <v>13</v>
      </c>
    </row>
    <row r="5" spans="1:22">
      <c r="A5" s="6"/>
      <c r="B5" s="9" t="s">
        <v>17</v>
      </c>
      <c r="C5" s="9">
        <v>6</v>
      </c>
      <c r="D5" s="9">
        <v>6</v>
      </c>
      <c r="E5" s="9">
        <v>6</v>
      </c>
      <c r="F5" s="9">
        <v>6</v>
      </c>
      <c r="G5" s="9">
        <v>6</v>
      </c>
      <c r="H5" s="9">
        <v>15</v>
      </c>
      <c r="I5" s="9">
        <v>15</v>
      </c>
      <c r="J5" s="9">
        <v>15</v>
      </c>
      <c r="K5" s="9">
        <v>25</v>
      </c>
      <c r="L5" s="9"/>
      <c r="M5" s="9"/>
      <c r="N5" s="9">
        <f>SUM(C5:K5)</f>
        <v>100</v>
      </c>
      <c r="O5" s="9"/>
      <c r="R5" s="12">
        <f>SUM(C5,E5)</f>
        <v>12</v>
      </c>
      <c r="S5" s="12">
        <f>SUM(D5,F5,H5,J5)</f>
        <v>42</v>
      </c>
      <c r="T5" s="5">
        <f>SUM(K5)*3/5</f>
        <v>15</v>
      </c>
      <c r="U5" s="5">
        <f>G5 + I5 + K5*2/5</f>
        <v>31</v>
      </c>
      <c r="V5">
        <f>SUM(R5:U5)</f>
        <v>100</v>
      </c>
    </row>
    <row r="6" spans="1:22">
      <c r="A6" s="5" t="str">
        <f>Marksheet!A5</f>
        <v>Aniket  Nishant Prakash</v>
      </c>
      <c r="B6" s="14">
        <f>Marksheet!B5</f>
        <v>500122885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2"/>
      <c r="N6" s="9">
        <f>SUM(C6:K6)</f>
        <v>0</v>
      </c>
      <c r="O6" s="2"/>
      <c r="R6" s="12">
        <f t="shared" ref="R6:R21" si="0">SUM(C6,E6)</f>
        <v>0</v>
      </c>
      <c r="S6" s="12">
        <f t="shared" ref="S6:S21" si="1">SUM(D6,F6,H6,J6)</f>
        <v>0</v>
      </c>
      <c r="T6" s="5">
        <f t="shared" ref="T6:T21" si="2">SUM(K6)*3/5</f>
        <v>0</v>
      </c>
      <c r="U6" s="5">
        <f t="shared" ref="U6:U21" si="3">G6 + I6 + K6*2/5</f>
        <v>0</v>
      </c>
      <c r="V6">
        <f t="shared" ref="V6:V21" si="4">SUM(R6:U6)</f>
        <v>0</v>
      </c>
    </row>
    <row r="7" spans="1:22">
      <c r="A7" s="5" t="str">
        <f>Marksheet!A6</f>
        <v>Ashish  Panwar</v>
      </c>
      <c r="B7" s="14">
        <f>Marksheet!B6</f>
        <v>500125854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2"/>
      <c r="N7" s="9">
        <f t="shared" ref="N7:N21" si="5">SUM(C7:H7)</f>
        <v>0</v>
      </c>
      <c r="O7" s="2"/>
      <c r="R7" s="12">
        <f t="shared" si="0"/>
        <v>0</v>
      </c>
      <c r="S7" s="12">
        <f t="shared" si="1"/>
        <v>0</v>
      </c>
      <c r="T7" s="5">
        <f t="shared" si="2"/>
        <v>0</v>
      </c>
      <c r="U7" s="5">
        <f t="shared" si="3"/>
        <v>0</v>
      </c>
      <c r="V7">
        <f t="shared" si="4"/>
        <v>0</v>
      </c>
    </row>
    <row r="8" spans="1:22">
      <c r="A8" s="5" t="str">
        <f>Marksheet!A7</f>
        <v>DEBJIT  ADHIKARI</v>
      </c>
      <c r="B8" s="14">
        <f>Marksheet!B7</f>
        <v>500125723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2"/>
      <c r="N8" s="9">
        <f>SUM(C8:K8)</f>
        <v>0</v>
      </c>
      <c r="O8" s="2"/>
      <c r="R8" s="12">
        <f t="shared" si="0"/>
        <v>0</v>
      </c>
      <c r="S8" s="12">
        <f t="shared" si="1"/>
        <v>0</v>
      </c>
      <c r="T8" s="5">
        <f t="shared" si="2"/>
        <v>0</v>
      </c>
      <c r="U8" s="5">
        <f t="shared" si="3"/>
        <v>0</v>
      </c>
      <c r="V8">
        <f t="shared" si="4"/>
        <v>0</v>
      </c>
    </row>
    <row r="9" spans="1:22">
      <c r="A9" s="5" t="str">
        <f>Marksheet!A8</f>
        <v>Kalpita  Saini</v>
      </c>
      <c r="B9" s="14">
        <f>Marksheet!B8</f>
        <v>500117726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2"/>
      <c r="N9" s="9">
        <f>SUM(C9:K9)</f>
        <v>0</v>
      </c>
      <c r="O9" s="2"/>
      <c r="R9" s="12">
        <f t="shared" si="0"/>
        <v>0</v>
      </c>
      <c r="S9" s="12">
        <f t="shared" si="1"/>
        <v>0</v>
      </c>
      <c r="T9" s="5">
        <f t="shared" si="2"/>
        <v>0</v>
      </c>
      <c r="U9" s="5">
        <f t="shared" si="3"/>
        <v>0</v>
      </c>
      <c r="V9">
        <f t="shared" si="4"/>
        <v>0</v>
      </c>
    </row>
    <row r="10" spans="1:22">
      <c r="A10" s="5" t="str">
        <f>Marksheet!A9</f>
        <v>Prakhar  Mishra</v>
      </c>
      <c r="B10" s="14">
        <f>Marksheet!B9</f>
        <v>500125422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2"/>
      <c r="N10" s="9">
        <f>SUM(C10:K10)</f>
        <v>0</v>
      </c>
      <c r="O10" s="2"/>
      <c r="R10" s="12">
        <f t="shared" si="0"/>
        <v>0</v>
      </c>
      <c r="S10" s="12">
        <f t="shared" si="1"/>
        <v>0</v>
      </c>
      <c r="T10" s="5">
        <f t="shared" si="2"/>
        <v>0</v>
      </c>
      <c r="U10" s="5">
        <f t="shared" si="3"/>
        <v>0</v>
      </c>
      <c r="V10">
        <f t="shared" si="4"/>
        <v>0</v>
      </c>
    </row>
    <row r="11" spans="1:22">
      <c r="A11" s="5" t="str">
        <f>Marksheet!A10</f>
        <v>Prayag  S Krishnan</v>
      </c>
      <c r="B11" s="14">
        <f>Marksheet!B10</f>
        <v>500118526</v>
      </c>
      <c r="C11" s="44"/>
      <c r="D11" s="44"/>
      <c r="E11" s="44"/>
      <c r="F11" s="44"/>
      <c r="G11" s="44"/>
      <c r="H11" s="44"/>
      <c r="I11" s="43"/>
      <c r="J11" s="43"/>
      <c r="K11" s="43"/>
      <c r="L11" s="43"/>
      <c r="M11" s="2"/>
      <c r="N11" s="9">
        <f>SUM(C11:K11)</f>
        <v>0</v>
      </c>
      <c r="O11" s="2"/>
      <c r="R11" s="12">
        <f t="shared" si="0"/>
        <v>0</v>
      </c>
      <c r="S11" s="12">
        <f t="shared" si="1"/>
        <v>0</v>
      </c>
      <c r="T11" s="5">
        <f t="shared" si="2"/>
        <v>0</v>
      </c>
      <c r="U11" s="5">
        <f t="shared" si="3"/>
        <v>0</v>
      </c>
      <c r="V11">
        <f t="shared" si="4"/>
        <v>0</v>
      </c>
    </row>
    <row r="12" spans="1:22">
      <c r="A12" s="5" t="str">
        <f>Marksheet!A11</f>
        <v>Satyansh  Srivastava</v>
      </c>
      <c r="B12" s="14">
        <f>Marksheet!B11</f>
        <v>500123761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2"/>
      <c r="N12" s="9">
        <f>SUM(C12:J12)</f>
        <v>0</v>
      </c>
      <c r="O12" s="2"/>
      <c r="R12" s="12">
        <f t="shared" si="0"/>
        <v>0</v>
      </c>
      <c r="S12" s="12">
        <f t="shared" si="1"/>
        <v>0</v>
      </c>
      <c r="T12" s="5">
        <f t="shared" si="2"/>
        <v>0</v>
      </c>
      <c r="U12" s="5">
        <f t="shared" si="3"/>
        <v>0</v>
      </c>
      <c r="V12">
        <f t="shared" si="4"/>
        <v>0</v>
      </c>
    </row>
    <row r="13" spans="1:22">
      <c r="A13" s="5" t="str">
        <f>Marksheet!A12</f>
        <v>Shagun  Thakur</v>
      </c>
      <c r="B13" s="14">
        <f>Marksheet!B12</f>
        <v>500124014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2"/>
      <c r="N13" s="9">
        <f>SUM(C13:K13)</f>
        <v>0</v>
      </c>
      <c r="O13" s="2"/>
      <c r="R13" s="12">
        <f t="shared" si="0"/>
        <v>0</v>
      </c>
      <c r="S13" s="12">
        <f t="shared" si="1"/>
        <v>0</v>
      </c>
      <c r="T13" s="5">
        <f t="shared" si="2"/>
        <v>0</v>
      </c>
      <c r="U13" s="5">
        <f t="shared" si="3"/>
        <v>0</v>
      </c>
      <c r="V13">
        <f t="shared" si="4"/>
        <v>0</v>
      </c>
    </row>
    <row r="14" spans="1:22">
      <c r="A14" s="5" t="str">
        <f>Marksheet!A13</f>
        <v>Shubhankar  Bhardwaj</v>
      </c>
      <c r="B14" s="14">
        <f>Marksheet!B13</f>
        <v>500122098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2"/>
      <c r="N14" s="9">
        <f>SUM(C14:K14)</f>
        <v>0</v>
      </c>
      <c r="O14" s="2"/>
      <c r="R14" s="12">
        <f t="shared" si="0"/>
        <v>0</v>
      </c>
      <c r="S14" s="12">
        <f t="shared" si="1"/>
        <v>0</v>
      </c>
      <c r="T14" s="5">
        <f t="shared" si="2"/>
        <v>0</v>
      </c>
      <c r="U14" s="5">
        <f t="shared" si="3"/>
        <v>0</v>
      </c>
      <c r="V14">
        <f t="shared" si="4"/>
        <v>0</v>
      </c>
    </row>
    <row r="15" spans="1:22">
      <c r="A15" s="5" t="str">
        <f>Marksheet!A14</f>
        <v>Sri  Sai Senthil</v>
      </c>
      <c r="B15" s="14">
        <f>Marksheet!B14</f>
        <v>500119804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2"/>
      <c r="N15" s="9">
        <f>SUM(C15:K15)</f>
        <v>0</v>
      </c>
      <c r="O15" s="2"/>
      <c r="R15" s="12">
        <f t="shared" si="0"/>
        <v>0</v>
      </c>
      <c r="S15" s="12">
        <f t="shared" si="1"/>
        <v>0</v>
      </c>
      <c r="T15" s="5">
        <f t="shared" si="2"/>
        <v>0</v>
      </c>
      <c r="U15" s="5">
        <f t="shared" si="3"/>
        <v>0</v>
      </c>
      <c r="V15">
        <f t="shared" si="4"/>
        <v>0</v>
      </c>
    </row>
    <row r="16" spans="1:22">
      <c r="A16" s="5" t="str">
        <f>Marksheet!A15</f>
        <v>Swasti  Mathur</v>
      </c>
      <c r="B16" s="14">
        <f>Marksheet!B15</f>
        <v>500124975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2"/>
      <c r="N16" s="9">
        <f>SUM(C16:K16)</f>
        <v>0</v>
      </c>
      <c r="O16" s="2"/>
      <c r="R16" s="12">
        <f t="shared" si="0"/>
        <v>0</v>
      </c>
      <c r="S16" s="12">
        <f t="shared" si="1"/>
        <v>0</v>
      </c>
      <c r="T16" s="5">
        <f t="shared" si="2"/>
        <v>0</v>
      </c>
      <c r="U16" s="5">
        <f t="shared" si="3"/>
        <v>0</v>
      </c>
      <c r="V16">
        <f t="shared" si="4"/>
        <v>0</v>
      </c>
    </row>
    <row r="17" spans="1:22">
      <c r="A17" s="5" t="str">
        <f>Marksheet!A16</f>
        <v>Tasmai  Gaurang Tamboli</v>
      </c>
      <c r="B17" s="14">
        <f>Marksheet!B16</f>
        <v>500123688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2"/>
      <c r="N17" s="9">
        <f>SUM(C17:K17)</f>
        <v>0</v>
      </c>
      <c r="O17" s="2"/>
      <c r="R17" s="12">
        <f t="shared" si="0"/>
        <v>0</v>
      </c>
      <c r="S17" s="12">
        <f t="shared" si="1"/>
        <v>0</v>
      </c>
      <c r="T17" s="5">
        <f t="shared" si="2"/>
        <v>0</v>
      </c>
      <c r="U17" s="5">
        <f t="shared" si="3"/>
        <v>0</v>
      </c>
      <c r="V17">
        <f t="shared" si="4"/>
        <v>0</v>
      </c>
    </row>
    <row r="18" spans="1:22">
      <c r="A18" s="5" t="str">
        <f>Marksheet!A17</f>
        <v>Tigmanshu  Ghanshala</v>
      </c>
      <c r="B18" s="14">
        <f>Marksheet!B17</f>
        <v>500125725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2"/>
      <c r="N18" s="9">
        <f t="shared" si="5"/>
        <v>0</v>
      </c>
      <c r="O18" s="2"/>
      <c r="R18" s="12">
        <f t="shared" si="0"/>
        <v>0</v>
      </c>
      <c r="S18" s="12">
        <f t="shared" si="1"/>
        <v>0</v>
      </c>
      <c r="T18" s="5">
        <f t="shared" si="2"/>
        <v>0</v>
      </c>
      <c r="U18" s="5">
        <f t="shared" si="3"/>
        <v>0</v>
      </c>
      <c r="V18">
        <f t="shared" si="4"/>
        <v>0</v>
      </c>
    </row>
    <row r="19" spans="1:22">
      <c r="A19" s="5" t="str">
        <f>Marksheet!A18</f>
        <v>Vikas  Kumar</v>
      </c>
      <c r="B19" s="14">
        <f>Marksheet!B18</f>
        <v>500126731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2"/>
      <c r="N19" s="9">
        <f t="shared" si="5"/>
        <v>0</v>
      </c>
      <c r="O19" s="2"/>
      <c r="R19" s="12">
        <f t="shared" si="0"/>
        <v>0</v>
      </c>
      <c r="S19" s="12">
        <f t="shared" si="1"/>
        <v>0</v>
      </c>
      <c r="T19" s="5">
        <f t="shared" si="2"/>
        <v>0</v>
      </c>
      <c r="U19" s="5">
        <f t="shared" si="3"/>
        <v>0</v>
      </c>
      <c r="V19">
        <f t="shared" si="4"/>
        <v>0</v>
      </c>
    </row>
    <row r="20" spans="1:22">
      <c r="A20" s="5"/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9">
        <f t="shared" si="5"/>
        <v>0</v>
      </c>
      <c r="O20" s="2"/>
      <c r="R20" s="12">
        <f t="shared" si="0"/>
        <v>0</v>
      </c>
      <c r="S20" s="12">
        <f t="shared" si="1"/>
        <v>0</v>
      </c>
      <c r="T20" s="5">
        <f t="shared" si="2"/>
        <v>0</v>
      </c>
      <c r="U20" s="5">
        <f t="shared" si="3"/>
        <v>0</v>
      </c>
      <c r="V20">
        <f t="shared" si="4"/>
        <v>0</v>
      </c>
    </row>
    <row r="21" spans="1:22">
      <c r="A21" s="5"/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10"/>
      <c r="N21" s="9">
        <f t="shared" si="5"/>
        <v>0</v>
      </c>
      <c r="O21" s="10"/>
      <c r="R21" s="12">
        <f t="shared" si="0"/>
        <v>0</v>
      </c>
      <c r="S21" s="12">
        <f t="shared" si="1"/>
        <v>0</v>
      </c>
      <c r="T21" s="5">
        <f t="shared" si="2"/>
        <v>0</v>
      </c>
      <c r="U21" s="5">
        <f t="shared" si="3"/>
        <v>0</v>
      </c>
      <c r="V21">
        <f t="shared" si="4"/>
        <v>0</v>
      </c>
    </row>
    <row r="22" spans="1:22">
      <c r="M22" s="11"/>
      <c r="N22" s="11"/>
      <c r="O22" s="11"/>
    </row>
    <row r="42" spans="2:2">
      <c r="B42" s="30"/>
    </row>
    <row r="43" spans="2:2">
      <c r="B43" s="30"/>
    </row>
    <row r="44" spans="2:2">
      <c r="B44" s="30"/>
    </row>
    <row r="45" spans="2:2">
      <c r="B45" s="30"/>
    </row>
    <row r="46" spans="2:2">
      <c r="B46" s="30"/>
    </row>
    <row r="47" spans="2:2">
      <c r="B47" s="30"/>
    </row>
    <row r="48" spans="2:2">
      <c r="B48" s="30"/>
    </row>
    <row r="49" spans="2:2">
      <c r="B49" s="30"/>
    </row>
    <row r="50" spans="2:2">
      <c r="B50" s="30"/>
    </row>
    <row r="51" spans="2:2">
      <c r="B51" s="30"/>
    </row>
    <row r="52" spans="2:2">
      <c r="B52" s="30"/>
    </row>
    <row r="53" spans="2:2">
      <c r="B53" s="30"/>
    </row>
    <row r="54" spans="2:2">
      <c r="B54" s="30"/>
    </row>
    <row r="55" spans="2:2">
      <c r="B55" s="30"/>
    </row>
  </sheetData>
  <mergeCells count="2">
    <mergeCell ref="A1:O1"/>
    <mergeCell ref="A2:O2"/>
  </mergeCells>
  <phoneticPr fontId="4" type="noConversion"/>
  <pageMargins left="0.7" right="0.7" top="0.75" bottom="0.75" header="0.3" footer="0.3"/>
  <pageSetup paperSize="9" scale="7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C6E4-73FE-451F-9DA1-2F8671C4541C}">
  <sheetPr>
    <pageSetUpPr fitToPage="1"/>
  </sheetPr>
  <dimension ref="A1:V21"/>
  <sheetViews>
    <sheetView workbookViewId="0">
      <selection activeCell="F17" sqref="F17"/>
    </sheetView>
  </sheetViews>
  <sheetFormatPr defaultRowHeight="15"/>
  <cols>
    <col min="1" max="1" width="10.140625" bestFit="1" customWidth="1"/>
    <col min="2" max="2" width="24.28515625" bestFit="1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22" ht="24.75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22" ht="24.75">
      <c r="A2" s="58" t="str">
        <f>Marksheet!A2</f>
        <v>Planetary Science (PHYS8098P)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22">
      <c r="A3" s="2"/>
      <c r="B3" s="2"/>
      <c r="C3" s="3" t="s">
        <v>49</v>
      </c>
      <c r="D3" s="3" t="s">
        <v>64</v>
      </c>
      <c r="E3" s="3" t="s">
        <v>64</v>
      </c>
      <c r="F3" s="3" t="s">
        <v>65</v>
      </c>
      <c r="G3" s="3" t="s">
        <v>65</v>
      </c>
      <c r="H3" s="3" t="s">
        <v>49</v>
      </c>
      <c r="I3" s="3" t="s">
        <v>64</v>
      </c>
      <c r="J3" s="3" t="s">
        <v>64</v>
      </c>
      <c r="K3" s="3" t="s">
        <v>65</v>
      </c>
      <c r="L3" s="3" t="s">
        <v>65</v>
      </c>
      <c r="M3" s="3"/>
      <c r="N3" s="2"/>
      <c r="O3" s="2"/>
    </row>
    <row r="4" spans="1:22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/>
      <c r="N4" s="4" t="s">
        <v>13</v>
      </c>
      <c r="O4" s="4" t="s">
        <v>14</v>
      </c>
      <c r="R4" s="35" t="s">
        <v>50</v>
      </c>
      <c r="S4" s="35" t="s">
        <v>49</v>
      </c>
      <c r="T4" s="35" t="s">
        <v>64</v>
      </c>
      <c r="U4" s="35" t="s">
        <v>65</v>
      </c>
      <c r="V4" s="36" t="s">
        <v>13</v>
      </c>
    </row>
    <row r="5" spans="1:22">
      <c r="A5" s="6"/>
      <c r="B5" s="6" t="s">
        <v>17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/>
      <c r="N5" s="6">
        <f>SUM(C5:L5)</f>
        <v>30</v>
      </c>
      <c r="O5" s="6"/>
      <c r="R5" s="45">
        <v>0</v>
      </c>
      <c r="S5" s="37">
        <f>SUM(C5,H5)</f>
        <v>6</v>
      </c>
      <c r="T5" s="37">
        <f>SUM(D5,E5,I5,J5)</f>
        <v>12</v>
      </c>
      <c r="U5" s="37">
        <f>SUM(K5,L5,G5,F5)</f>
        <v>12</v>
      </c>
      <c r="V5" s="37">
        <f>SUM(R5:U5)</f>
        <v>30</v>
      </c>
    </row>
    <row r="6" spans="1:22">
      <c r="A6" s="5">
        <f>Marksheet!B5</f>
        <v>500122885</v>
      </c>
      <c r="B6" s="5" t="str">
        <f>Marksheet!A5</f>
        <v>Aniket  Nishant Prakash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">
        <f t="shared" ref="N6:N17" si="0">SUM(C6:L6)</f>
        <v>0</v>
      </c>
      <c r="O6" s="2"/>
      <c r="R6" s="48">
        <v>0</v>
      </c>
      <c r="S6" s="49">
        <f t="shared" ref="S6:S17" si="1">SUM(C6,H6)</f>
        <v>0</v>
      </c>
      <c r="T6" s="49">
        <f t="shared" ref="T6:T17" si="2">SUM(D6,E6,I6,J6)</f>
        <v>0</v>
      </c>
      <c r="U6" s="49">
        <f t="shared" ref="U6:U17" si="3">SUM(K6,L6,G6,F6)</f>
        <v>0</v>
      </c>
      <c r="V6" s="37">
        <f t="shared" ref="V6:V17" si="4">SUM(R6:U6)</f>
        <v>0</v>
      </c>
    </row>
    <row r="7" spans="1:22">
      <c r="A7" s="5">
        <f>Marksheet!B6</f>
        <v>500125854</v>
      </c>
      <c r="B7" s="5" t="str">
        <f>Marksheet!A6</f>
        <v>Ashish  Panwar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>
        <f t="shared" si="0"/>
        <v>0</v>
      </c>
      <c r="O7" s="2"/>
      <c r="R7" s="48">
        <v>0</v>
      </c>
      <c r="S7" s="49">
        <f t="shared" si="1"/>
        <v>0</v>
      </c>
      <c r="T7" s="49">
        <f t="shared" si="2"/>
        <v>0</v>
      </c>
      <c r="U7" s="49">
        <f t="shared" si="3"/>
        <v>0</v>
      </c>
      <c r="V7" s="37">
        <f t="shared" si="4"/>
        <v>0</v>
      </c>
    </row>
    <row r="8" spans="1:22">
      <c r="A8" s="5">
        <f>Marksheet!B7</f>
        <v>500125723</v>
      </c>
      <c r="B8" s="5" t="str">
        <f>Marksheet!A7</f>
        <v>DEBJIT  ADHIKARI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>
        <f t="shared" si="0"/>
        <v>0</v>
      </c>
      <c r="O8" s="2"/>
      <c r="R8" s="48">
        <v>0</v>
      </c>
      <c r="S8" s="49">
        <f t="shared" si="1"/>
        <v>0</v>
      </c>
      <c r="T8" s="49">
        <f t="shared" si="2"/>
        <v>0</v>
      </c>
      <c r="U8" s="49">
        <f t="shared" si="3"/>
        <v>0</v>
      </c>
      <c r="V8" s="37">
        <f t="shared" si="4"/>
        <v>0</v>
      </c>
    </row>
    <row r="9" spans="1:22">
      <c r="A9" s="5">
        <f>Marksheet!B8</f>
        <v>500117726</v>
      </c>
      <c r="B9" s="5" t="str">
        <f>Marksheet!A8</f>
        <v>Kalpita  Saini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>
        <f t="shared" si="0"/>
        <v>0</v>
      </c>
      <c r="O9" s="2"/>
      <c r="R9" s="48">
        <v>0</v>
      </c>
      <c r="S9" s="49">
        <f t="shared" si="1"/>
        <v>0</v>
      </c>
      <c r="T9" s="49">
        <f t="shared" si="2"/>
        <v>0</v>
      </c>
      <c r="U9" s="49">
        <f t="shared" si="3"/>
        <v>0</v>
      </c>
      <c r="V9" s="37">
        <f t="shared" si="4"/>
        <v>0</v>
      </c>
    </row>
    <row r="10" spans="1:22">
      <c r="A10" s="5">
        <f>Marksheet!B9</f>
        <v>500125422</v>
      </c>
      <c r="B10" s="5" t="str">
        <f>Marksheet!A9</f>
        <v>Prakhar  Mishra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>
        <f t="shared" si="0"/>
        <v>0</v>
      </c>
      <c r="O10" s="2"/>
      <c r="R10" s="48">
        <v>0</v>
      </c>
      <c r="S10" s="49">
        <f t="shared" si="1"/>
        <v>0</v>
      </c>
      <c r="T10" s="49">
        <f t="shared" si="2"/>
        <v>0</v>
      </c>
      <c r="U10" s="49">
        <f t="shared" si="3"/>
        <v>0</v>
      </c>
      <c r="V10" s="37">
        <f t="shared" si="4"/>
        <v>0</v>
      </c>
    </row>
    <row r="11" spans="1:22">
      <c r="A11" s="5">
        <f>Marksheet!B10</f>
        <v>500118526</v>
      </c>
      <c r="B11" s="5" t="str">
        <f>Marksheet!A10</f>
        <v>Prayag  S Krishnan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>
        <f t="shared" si="0"/>
        <v>0</v>
      </c>
      <c r="O11" s="2"/>
      <c r="R11" s="48">
        <v>0</v>
      </c>
      <c r="S11" s="49">
        <f t="shared" si="1"/>
        <v>0</v>
      </c>
      <c r="T11" s="49">
        <f t="shared" si="2"/>
        <v>0</v>
      </c>
      <c r="U11" s="49">
        <f t="shared" si="3"/>
        <v>0</v>
      </c>
      <c r="V11" s="37">
        <f t="shared" si="4"/>
        <v>0</v>
      </c>
    </row>
    <row r="12" spans="1:22">
      <c r="A12" s="5">
        <f>Marksheet!B11</f>
        <v>500123761</v>
      </c>
      <c r="B12" s="5" t="str">
        <f>Marksheet!A11</f>
        <v>Satyansh  Srivastava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>
        <f t="shared" si="0"/>
        <v>0</v>
      </c>
      <c r="O12" s="2"/>
      <c r="R12" s="48">
        <v>0</v>
      </c>
      <c r="S12" s="49">
        <f t="shared" si="1"/>
        <v>0</v>
      </c>
      <c r="T12" s="49">
        <f t="shared" si="2"/>
        <v>0</v>
      </c>
      <c r="U12" s="49">
        <f t="shared" si="3"/>
        <v>0</v>
      </c>
      <c r="V12" s="37">
        <f t="shared" si="4"/>
        <v>0</v>
      </c>
    </row>
    <row r="13" spans="1:22">
      <c r="A13" s="5">
        <f>Marksheet!B12</f>
        <v>500124014</v>
      </c>
      <c r="B13" s="5" t="str">
        <f>Marksheet!A12</f>
        <v>Shagun  Thakur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>
        <f t="shared" si="0"/>
        <v>0</v>
      </c>
      <c r="O13" s="2"/>
      <c r="R13" s="48">
        <v>0</v>
      </c>
      <c r="S13" s="49">
        <f t="shared" si="1"/>
        <v>0</v>
      </c>
      <c r="T13" s="49">
        <f t="shared" si="2"/>
        <v>0</v>
      </c>
      <c r="U13" s="49">
        <f t="shared" si="3"/>
        <v>0</v>
      </c>
      <c r="V13" s="37">
        <f t="shared" si="4"/>
        <v>0</v>
      </c>
    </row>
    <row r="14" spans="1:22">
      <c r="A14" s="5">
        <f>Marksheet!B13</f>
        <v>500122098</v>
      </c>
      <c r="B14" s="5" t="str">
        <f>Marksheet!A13</f>
        <v>Shubhankar  Bhardwaj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">
        <f t="shared" si="0"/>
        <v>0</v>
      </c>
      <c r="O14" s="2"/>
      <c r="R14" s="48">
        <v>0</v>
      </c>
      <c r="S14" s="49">
        <f t="shared" si="1"/>
        <v>0</v>
      </c>
      <c r="T14" s="49">
        <f t="shared" si="2"/>
        <v>0</v>
      </c>
      <c r="U14" s="49">
        <f t="shared" si="3"/>
        <v>0</v>
      </c>
      <c r="V14" s="37">
        <f t="shared" si="4"/>
        <v>0</v>
      </c>
    </row>
    <row r="15" spans="1:22">
      <c r="A15" s="5">
        <f>Marksheet!B14</f>
        <v>500119804</v>
      </c>
      <c r="B15" s="5" t="str">
        <f>Marksheet!A14</f>
        <v>Sri  Sai Senthil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">
        <f t="shared" si="0"/>
        <v>0</v>
      </c>
      <c r="O15" s="2"/>
      <c r="R15" s="48">
        <v>0</v>
      </c>
      <c r="S15" s="49">
        <f t="shared" si="1"/>
        <v>0</v>
      </c>
      <c r="T15" s="49">
        <f t="shared" si="2"/>
        <v>0</v>
      </c>
      <c r="U15" s="49">
        <f t="shared" si="3"/>
        <v>0</v>
      </c>
      <c r="V15" s="37">
        <f t="shared" si="4"/>
        <v>0</v>
      </c>
    </row>
    <row r="16" spans="1:22">
      <c r="A16" s="5">
        <f>Marksheet!B15</f>
        <v>500124975</v>
      </c>
      <c r="B16" s="5" t="str">
        <f>Marksheet!A15</f>
        <v>Swasti  Mathur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">
        <f t="shared" si="0"/>
        <v>0</v>
      </c>
      <c r="O16" s="2"/>
      <c r="R16" s="48">
        <v>0</v>
      </c>
      <c r="S16" s="49">
        <f t="shared" si="1"/>
        <v>0</v>
      </c>
      <c r="T16" s="49">
        <f t="shared" si="2"/>
        <v>0</v>
      </c>
      <c r="U16" s="49">
        <f t="shared" si="3"/>
        <v>0</v>
      </c>
      <c r="V16" s="37">
        <f t="shared" si="4"/>
        <v>0</v>
      </c>
    </row>
    <row r="17" spans="1:22">
      <c r="A17" s="5">
        <f>Marksheet!B16</f>
        <v>500123688</v>
      </c>
      <c r="B17" s="5" t="str">
        <f>Marksheet!A16</f>
        <v>Tasmai  Gaurang Tamboli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>
        <f t="shared" si="0"/>
        <v>0</v>
      </c>
      <c r="O17" s="2"/>
      <c r="R17" s="48">
        <v>0</v>
      </c>
      <c r="S17" s="49">
        <f t="shared" si="1"/>
        <v>0</v>
      </c>
      <c r="T17" s="49">
        <f t="shared" si="2"/>
        <v>0</v>
      </c>
      <c r="U17" s="49">
        <f t="shared" si="3"/>
        <v>0</v>
      </c>
      <c r="V17" s="37">
        <f t="shared" si="4"/>
        <v>0</v>
      </c>
    </row>
    <row r="18" spans="1:22">
      <c r="A18" s="5">
        <f>Marksheet!B17</f>
        <v>500125725</v>
      </c>
      <c r="B18" s="5" t="str">
        <f>Marksheet!A17</f>
        <v>Tigmanshu  Ghanshala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/>
      <c r="O18" s="2"/>
      <c r="R18" s="46"/>
      <c r="S18" s="46"/>
      <c r="T18" s="46"/>
      <c r="U18" s="46"/>
      <c r="V18" s="49"/>
    </row>
    <row r="19" spans="1:22">
      <c r="A19" s="5">
        <f>Marksheet!B18</f>
        <v>500126731</v>
      </c>
      <c r="B19" s="5" t="str">
        <f>Marksheet!A18</f>
        <v>Vikas  Kumar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2"/>
      <c r="R19" s="46"/>
      <c r="S19" s="46"/>
      <c r="T19" s="46"/>
      <c r="U19" s="46"/>
      <c r="V19" s="46"/>
    </row>
    <row r="20" spans="1:22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2"/>
      <c r="R20" s="46"/>
      <c r="S20" s="46"/>
      <c r="T20" s="46"/>
      <c r="U20" s="46"/>
      <c r="V20" s="46"/>
    </row>
    <row r="21" spans="1:22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2"/>
      <c r="R21" s="46"/>
      <c r="S21" s="46"/>
      <c r="T21" s="46"/>
      <c r="U21" s="46"/>
      <c r="V21" s="46"/>
    </row>
  </sheetData>
  <mergeCells count="2">
    <mergeCell ref="A1:O1"/>
    <mergeCell ref="A2:O2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9C77-33C1-4CBC-91FC-1994BECB7B48}">
  <sheetPr>
    <pageSetUpPr fitToPage="1"/>
  </sheetPr>
  <dimension ref="A1:U22"/>
  <sheetViews>
    <sheetView topLeftCell="A5" workbookViewId="0">
      <selection activeCell="B11" sqref="B11:B21"/>
    </sheetView>
  </sheetViews>
  <sheetFormatPr defaultRowHeight="15"/>
  <cols>
    <col min="1" max="1" width="20.7109375" style="22" customWidth="1"/>
    <col min="2" max="2" width="24.5703125" customWidth="1"/>
    <col min="15" max="15" width="13.140625" customWidth="1"/>
  </cols>
  <sheetData>
    <row r="1" spans="1:21" ht="24.75">
      <c r="A1" s="58" t="s">
        <v>69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21" ht="24.75">
      <c r="A2" s="58" t="str">
        <f>Marksheet!A2</f>
        <v>Planetary Science (PHYS8098P)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21">
      <c r="A3" s="18"/>
      <c r="B3" s="2"/>
      <c r="C3" s="3" t="s">
        <v>50</v>
      </c>
      <c r="D3" s="3" t="s">
        <v>49</v>
      </c>
      <c r="E3" s="3" t="s">
        <v>64</v>
      </c>
      <c r="F3" s="3" t="s">
        <v>50</v>
      </c>
      <c r="G3" s="3" t="s">
        <v>49</v>
      </c>
      <c r="H3" s="3" t="s">
        <v>50</v>
      </c>
      <c r="I3" s="3" t="s">
        <v>64</v>
      </c>
      <c r="J3" s="3" t="s">
        <v>64</v>
      </c>
      <c r="K3" s="3" t="s">
        <v>65</v>
      </c>
      <c r="L3" s="3" t="s">
        <v>64</v>
      </c>
      <c r="M3" s="3" t="s">
        <v>65</v>
      </c>
      <c r="N3" s="2"/>
      <c r="O3" s="2"/>
    </row>
    <row r="4" spans="1:21">
      <c r="A4" s="19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13</v>
      </c>
      <c r="O4" s="4" t="s">
        <v>14</v>
      </c>
      <c r="Q4" s="35" t="s">
        <v>50</v>
      </c>
      <c r="R4" s="35" t="s">
        <v>49</v>
      </c>
      <c r="S4" s="35" t="s">
        <v>64</v>
      </c>
      <c r="T4" s="35" t="s">
        <v>65</v>
      </c>
      <c r="U4" s="36" t="s">
        <v>13</v>
      </c>
    </row>
    <row r="5" spans="1:21">
      <c r="A5" s="20"/>
      <c r="B5" s="6" t="s">
        <v>17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10</v>
      </c>
      <c r="I5" s="6">
        <v>10</v>
      </c>
      <c r="J5" s="6">
        <v>10</v>
      </c>
      <c r="K5" s="6">
        <v>10</v>
      </c>
      <c r="L5" s="6">
        <v>20</v>
      </c>
      <c r="M5" s="6">
        <v>20</v>
      </c>
      <c r="N5" s="6">
        <f>SUM(C5:M5)</f>
        <v>100</v>
      </c>
      <c r="O5" s="6"/>
      <c r="Q5" s="45">
        <f>C5+F5+H5</f>
        <v>18</v>
      </c>
      <c r="R5" s="37">
        <f>SUM(D5,G5)</f>
        <v>8</v>
      </c>
      <c r="S5" s="37">
        <f>SUM(E5,I5,J5,L5)</f>
        <v>44</v>
      </c>
      <c r="T5" s="37">
        <f>SUM(M5,K5)</f>
        <v>30</v>
      </c>
      <c r="U5" s="37">
        <f>SUM(Q5:T5)</f>
        <v>100</v>
      </c>
    </row>
    <row r="6" spans="1:21">
      <c r="A6" s="21">
        <f>'Mid Sem'!B6</f>
        <v>500122885</v>
      </c>
      <c r="B6" s="5" t="str">
        <f>'Mid Sem'!A6</f>
        <v>Aniket  Nishant Prakash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">
        <f t="shared" ref="N6:N18" si="0">SUM(C6:M6)</f>
        <v>0</v>
      </c>
      <c r="O6" s="2"/>
      <c r="Q6" s="45">
        <f t="shared" ref="Q6:Q18" si="1">C6+F6+H6</f>
        <v>0</v>
      </c>
      <c r="R6" s="37">
        <f t="shared" ref="R6:R18" si="2">SUM(D6,G6)</f>
        <v>0</v>
      </c>
      <c r="S6" s="37">
        <f t="shared" ref="S6:S18" si="3">SUM(E6,I6,J6,L6)</f>
        <v>0</v>
      </c>
      <c r="T6" s="37">
        <f t="shared" ref="T6:T18" si="4">SUM(M6,K6)</f>
        <v>0</v>
      </c>
      <c r="U6" s="37">
        <f t="shared" ref="U6:U17" si="5">SUM(Q6:T6)</f>
        <v>0</v>
      </c>
    </row>
    <row r="7" spans="1:21">
      <c r="A7" s="21">
        <f>'Mid Sem'!B7</f>
        <v>500125854</v>
      </c>
      <c r="B7" s="5" t="str">
        <f>'Mid Sem'!A7</f>
        <v>Ashish  Panwar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>
        <f t="shared" si="0"/>
        <v>0</v>
      </c>
      <c r="O7" s="2"/>
      <c r="Q7" s="45">
        <f t="shared" si="1"/>
        <v>0</v>
      </c>
      <c r="R7" s="37">
        <f t="shared" si="2"/>
        <v>0</v>
      </c>
      <c r="S7" s="37">
        <f t="shared" si="3"/>
        <v>0</v>
      </c>
      <c r="T7" s="37">
        <f t="shared" si="4"/>
        <v>0</v>
      </c>
      <c r="U7" s="37">
        <f t="shared" si="5"/>
        <v>0</v>
      </c>
    </row>
    <row r="8" spans="1:21">
      <c r="A8" s="21">
        <f>'Mid Sem'!B8</f>
        <v>500125723</v>
      </c>
      <c r="B8" s="5" t="str">
        <f>'Mid Sem'!A8</f>
        <v>DEBJIT  ADHIKARI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>
        <f t="shared" si="0"/>
        <v>0</v>
      </c>
      <c r="O8" s="2"/>
      <c r="Q8" s="45">
        <f t="shared" si="1"/>
        <v>0</v>
      </c>
      <c r="R8" s="37">
        <f t="shared" si="2"/>
        <v>0</v>
      </c>
      <c r="S8" s="37">
        <f t="shared" si="3"/>
        <v>0</v>
      </c>
      <c r="T8" s="37">
        <f t="shared" si="4"/>
        <v>0</v>
      </c>
      <c r="U8" s="37">
        <f t="shared" si="5"/>
        <v>0</v>
      </c>
    </row>
    <row r="9" spans="1:21">
      <c r="A9" s="21">
        <f>'Mid Sem'!B9</f>
        <v>500117726</v>
      </c>
      <c r="B9" s="5" t="str">
        <f>'Mid Sem'!A9</f>
        <v>Kalpita  Saini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>
        <f t="shared" si="0"/>
        <v>0</v>
      </c>
      <c r="O9" s="2"/>
      <c r="Q9" s="45">
        <f t="shared" si="1"/>
        <v>0</v>
      </c>
      <c r="R9" s="37">
        <f t="shared" si="2"/>
        <v>0</v>
      </c>
      <c r="S9" s="37">
        <f t="shared" si="3"/>
        <v>0</v>
      </c>
      <c r="T9" s="37">
        <f t="shared" si="4"/>
        <v>0</v>
      </c>
      <c r="U9" s="37">
        <f t="shared" si="5"/>
        <v>0</v>
      </c>
    </row>
    <row r="10" spans="1:21">
      <c r="A10" s="21">
        <f>'Mid Sem'!B10</f>
        <v>500125422</v>
      </c>
      <c r="B10" s="5" t="str">
        <f>'Mid Sem'!A10</f>
        <v>Prakhar  Mishra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>
        <f t="shared" si="0"/>
        <v>0</v>
      </c>
      <c r="O10" s="2"/>
      <c r="Q10" s="45">
        <f t="shared" si="1"/>
        <v>0</v>
      </c>
      <c r="R10" s="37">
        <f t="shared" si="2"/>
        <v>0</v>
      </c>
      <c r="S10" s="37">
        <f t="shared" si="3"/>
        <v>0</v>
      </c>
      <c r="T10" s="37">
        <f t="shared" si="4"/>
        <v>0</v>
      </c>
      <c r="U10" s="37">
        <f t="shared" si="5"/>
        <v>0</v>
      </c>
    </row>
    <row r="11" spans="1:21">
      <c r="A11" s="21">
        <f>'Mid Sem'!B11</f>
        <v>500118526</v>
      </c>
      <c r="B11" s="5" t="str">
        <f>'Mid Sem'!A11</f>
        <v>Prayag  S Krishnan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>
        <f t="shared" si="0"/>
        <v>0</v>
      </c>
      <c r="O11" s="2"/>
      <c r="Q11" s="45">
        <f t="shared" si="1"/>
        <v>0</v>
      </c>
      <c r="R11" s="37">
        <f t="shared" si="2"/>
        <v>0</v>
      </c>
      <c r="S11" s="37">
        <f t="shared" si="3"/>
        <v>0</v>
      </c>
      <c r="T11" s="37">
        <f t="shared" si="4"/>
        <v>0</v>
      </c>
      <c r="U11" s="37">
        <f t="shared" si="5"/>
        <v>0</v>
      </c>
    </row>
    <row r="12" spans="1:21">
      <c r="A12" s="21">
        <f>'Mid Sem'!B12</f>
        <v>500123761</v>
      </c>
      <c r="B12" s="5" t="str">
        <f>'Mid Sem'!A12</f>
        <v>Satyansh  Srivastava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>
        <f t="shared" si="0"/>
        <v>0</v>
      </c>
      <c r="O12" s="2"/>
      <c r="Q12" s="45">
        <f t="shared" si="1"/>
        <v>0</v>
      </c>
      <c r="R12" s="37">
        <f t="shared" si="2"/>
        <v>0</v>
      </c>
      <c r="S12" s="37">
        <f t="shared" si="3"/>
        <v>0</v>
      </c>
      <c r="T12" s="37">
        <f t="shared" si="4"/>
        <v>0</v>
      </c>
      <c r="U12" s="37">
        <f t="shared" si="5"/>
        <v>0</v>
      </c>
    </row>
    <row r="13" spans="1:21">
      <c r="A13" s="21">
        <f>'Mid Sem'!B13</f>
        <v>500124014</v>
      </c>
      <c r="B13" s="5" t="str">
        <f>'Mid Sem'!A13</f>
        <v>Shagun  Thakur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>
        <f t="shared" si="0"/>
        <v>0</v>
      </c>
      <c r="O13" s="2"/>
      <c r="Q13" s="45">
        <f t="shared" si="1"/>
        <v>0</v>
      </c>
      <c r="R13" s="37">
        <f t="shared" si="2"/>
        <v>0</v>
      </c>
      <c r="S13" s="37">
        <f t="shared" si="3"/>
        <v>0</v>
      </c>
      <c r="T13" s="37">
        <f t="shared" si="4"/>
        <v>0</v>
      </c>
      <c r="U13" s="37">
        <f t="shared" si="5"/>
        <v>0</v>
      </c>
    </row>
    <row r="14" spans="1:21">
      <c r="A14" s="21">
        <f>'Mid Sem'!B14</f>
        <v>500122098</v>
      </c>
      <c r="B14" s="5" t="str">
        <f>'Mid Sem'!A14</f>
        <v>Shubhankar  Bhardwaj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">
        <f t="shared" si="0"/>
        <v>0</v>
      </c>
      <c r="O14" s="2"/>
      <c r="Q14" s="45">
        <f t="shared" si="1"/>
        <v>0</v>
      </c>
      <c r="R14" s="37">
        <f t="shared" si="2"/>
        <v>0</v>
      </c>
      <c r="S14" s="37">
        <f t="shared" si="3"/>
        <v>0</v>
      </c>
      <c r="T14" s="37">
        <f t="shared" si="4"/>
        <v>0</v>
      </c>
      <c r="U14" s="37">
        <f t="shared" si="5"/>
        <v>0</v>
      </c>
    </row>
    <row r="15" spans="1:21">
      <c r="A15" s="21">
        <f>'Mid Sem'!B15</f>
        <v>500119804</v>
      </c>
      <c r="B15" s="5" t="str">
        <f>'Mid Sem'!A15</f>
        <v>Sri  Sai Senthil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">
        <f t="shared" si="0"/>
        <v>0</v>
      </c>
      <c r="O15" s="2"/>
      <c r="Q15" s="45">
        <f t="shared" si="1"/>
        <v>0</v>
      </c>
      <c r="R15" s="37">
        <f t="shared" si="2"/>
        <v>0</v>
      </c>
      <c r="S15" s="37">
        <f t="shared" si="3"/>
        <v>0</v>
      </c>
      <c r="T15" s="37">
        <f t="shared" si="4"/>
        <v>0</v>
      </c>
      <c r="U15" s="37">
        <f t="shared" si="5"/>
        <v>0</v>
      </c>
    </row>
    <row r="16" spans="1:21">
      <c r="A16" s="21">
        <f>'Mid Sem'!B16</f>
        <v>500124975</v>
      </c>
      <c r="B16" s="5" t="str">
        <f>'Mid Sem'!A16</f>
        <v>Swasti  Mathur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">
        <f t="shared" si="0"/>
        <v>0</v>
      </c>
      <c r="O16" s="2"/>
      <c r="Q16" s="45">
        <f t="shared" si="1"/>
        <v>0</v>
      </c>
      <c r="R16" s="37">
        <f t="shared" si="2"/>
        <v>0</v>
      </c>
      <c r="S16" s="37">
        <f t="shared" si="3"/>
        <v>0</v>
      </c>
      <c r="T16" s="37">
        <f t="shared" si="4"/>
        <v>0</v>
      </c>
      <c r="U16" s="37">
        <f t="shared" si="5"/>
        <v>0</v>
      </c>
    </row>
    <row r="17" spans="1:21">
      <c r="A17" s="21">
        <f>'Mid Sem'!B17</f>
        <v>500123688</v>
      </c>
      <c r="B17" s="5" t="str">
        <f>'Mid Sem'!A17</f>
        <v>Tasmai  Gaurang Tamboli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>
        <f t="shared" si="0"/>
        <v>0</v>
      </c>
      <c r="O17" s="2"/>
      <c r="Q17" s="45">
        <f t="shared" si="1"/>
        <v>0</v>
      </c>
      <c r="R17" s="37">
        <f t="shared" si="2"/>
        <v>0</v>
      </c>
      <c r="S17" s="37">
        <f t="shared" si="3"/>
        <v>0</v>
      </c>
      <c r="T17" s="37">
        <f t="shared" si="4"/>
        <v>0</v>
      </c>
      <c r="U17" s="37">
        <f t="shared" si="5"/>
        <v>0</v>
      </c>
    </row>
    <row r="18" spans="1:21">
      <c r="A18" s="21">
        <f>'Mid Sem'!B18</f>
        <v>500125725</v>
      </c>
      <c r="B18" s="5" t="str">
        <f>'Mid Sem'!A18</f>
        <v>Tigmanshu  Ghanshala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>
        <f t="shared" si="0"/>
        <v>0</v>
      </c>
      <c r="O18" s="2"/>
      <c r="Q18" s="45">
        <f t="shared" si="1"/>
        <v>0</v>
      </c>
      <c r="R18" s="37">
        <f t="shared" si="2"/>
        <v>0</v>
      </c>
      <c r="S18" s="37">
        <f t="shared" si="3"/>
        <v>0</v>
      </c>
      <c r="T18" s="37">
        <f t="shared" si="4"/>
        <v>0</v>
      </c>
      <c r="U18" s="49"/>
    </row>
    <row r="19" spans="1:21">
      <c r="A19" s="21">
        <f>'Mid Sem'!B19</f>
        <v>500126731</v>
      </c>
      <c r="B19" s="5" t="str">
        <f>'Mid Sem'!A19</f>
        <v>Vikas  Kumar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2"/>
    </row>
    <row r="20" spans="1:21">
      <c r="A20" s="21">
        <f>'Mid Sem'!B20</f>
        <v>0</v>
      </c>
      <c r="B20" s="5">
        <f>'Mid Sem'!A20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2"/>
    </row>
    <row r="21" spans="1:21">
      <c r="A21" s="21">
        <f>'Mid Sem'!B21</f>
        <v>0</v>
      </c>
      <c r="B21" s="5">
        <f>'Mid Sem'!A21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2"/>
    </row>
    <row r="22" spans="1:21">
      <c r="A22" s="18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mergeCells count="2">
    <mergeCell ref="A1:O1"/>
    <mergeCell ref="A2:O2"/>
  </mergeCells>
  <pageMargins left="0.7" right="0.7" top="0.75" bottom="0.75" header="0.3" footer="0.3"/>
  <pageSetup paperSize="9" scale="7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/>
  <cp:revision/>
  <dcterms:created xsi:type="dcterms:W3CDTF">2025-02-05T08:19:31Z</dcterms:created>
  <dcterms:modified xsi:type="dcterms:W3CDTF">2026-10-05T18:04:55Z</dcterms:modified>
  <cp:category/>
  <cp:contentStatus/>
</cp:coreProperties>
</file>