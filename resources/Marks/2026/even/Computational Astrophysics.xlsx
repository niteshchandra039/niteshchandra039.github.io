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sindia01-my.sharepoint.com/personal/nitesh_kumar_ddn_upes_ac_in/Documents/UPES/2026/Jan-May-2026/Computational Astrophysics/Marks/"/>
    </mc:Choice>
  </mc:AlternateContent>
  <xr:revisionPtr revIDLastSave="2502" documentId="11_3FC952BF37FB7C428065D6D94F732ED04C5A5A3E" xr6:coauthVersionLast="47" xr6:coauthVersionMax="47" xr10:uidLastSave="{6C4734DE-42D6-4D4D-B04B-1243B79213FF}"/>
  <bookViews>
    <workbookView xWindow="-120" yWindow="-120" windowWidth="20730" windowHeight="11040" tabRatio="553" xr2:uid="{00000000-000D-0000-FFFF-FFFF00000000}"/>
  </bookViews>
  <sheets>
    <sheet name="Marksheet" sheetId="2" r:id="rId1"/>
    <sheet name="Quiz 1" sheetId="10" r:id="rId2"/>
    <sheet name="Quiz 2" sheetId="13" r:id="rId3"/>
    <sheet name="Class Test 1" sheetId="7" r:id="rId4"/>
    <sheet name="Assignment 1" sheetId="6" r:id="rId5"/>
    <sheet name="Assignment 2" sheetId="12" r:id="rId6"/>
    <sheet name="Mid Sem" sheetId="5" r:id="rId7"/>
    <sheet name="Class Test 2" sheetId="8" r:id="rId8"/>
    <sheet name="End Sem" sheetId="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" l="1"/>
  <c r="O7" i="2" s="1"/>
  <c r="N8" i="2"/>
  <c r="O8" i="2" s="1"/>
  <c r="N4" i="2"/>
  <c r="N6" i="4"/>
  <c r="N5" i="2" s="1"/>
  <c r="O5" i="2" s="1"/>
  <c r="N7" i="4"/>
  <c r="N6" i="2" s="1"/>
  <c r="O6" i="2" s="1"/>
  <c r="N8" i="4"/>
  <c r="N9" i="4"/>
  <c r="N10" i="4"/>
  <c r="N9" i="2" s="1"/>
  <c r="O9" i="2" s="1"/>
  <c r="N11" i="4"/>
  <c r="N10" i="2" s="1"/>
  <c r="O10" i="2" s="1"/>
  <c r="N12" i="4"/>
  <c r="N11" i="2" s="1"/>
  <c r="O11" i="2" s="1"/>
  <c r="N13" i="4"/>
  <c r="N12" i="2" s="1"/>
  <c r="O12" i="2" s="1"/>
  <c r="N14" i="4"/>
  <c r="N13" i="2" s="1"/>
  <c r="O13" i="2" s="1"/>
  <c r="N15" i="4"/>
  <c r="N14" i="2" s="1"/>
  <c r="O14" i="2" s="1"/>
  <c r="N16" i="4"/>
  <c r="N15" i="2" s="1"/>
  <c r="O15" i="2" s="1"/>
  <c r="N17" i="4"/>
  <c r="N16" i="2" s="1"/>
  <c r="O16" i="2" s="1"/>
  <c r="N18" i="4"/>
  <c r="I6" i="2"/>
  <c r="I4" i="2"/>
  <c r="U6" i="8"/>
  <c r="U7" i="8"/>
  <c r="U8" i="8"/>
  <c r="U9" i="8"/>
  <c r="U10" i="8"/>
  <c r="U11" i="8"/>
  <c r="U12" i="8"/>
  <c r="U13" i="8"/>
  <c r="U14" i="8"/>
  <c r="U15" i="8"/>
  <c r="U16" i="8"/>
  <c r="U17" i="8"/>
  <c r="T6" i="8"/>
  <c r="T7" i="8"/>
  <c r="T8" i="8"/>
  <c r="T9" i="8"/>
  <c r="T10" i="8"/>
  <c r="T11" i="8"/>
  <c r="T12" i="8"/>
  <c r="T13" i="8"/>
  <c r="T14" i="8"/>
  <c r="T15" i="8"/>
  <c r="T16" i="8"/>
  <c r="T17" i="8"/>
  <c r="S6" i="8"/>
  <c r="S7" i="8"/>
  <c r="S8" i="8"/>
  <c r="S9" i="8"/>
  <c r="S10" i="8"/>
  <c r="V10" i="8" s="1"/>
  <c r="S11" i="8"/>
  <c r="S12" i="8"/>
  <c r="S13" i="8"/>
  <c r="V13" i="8" s="1"/>
  <c r="S14" i="8"/>
  <c r="S15" i="8"/>
  <c r="V15" i="8" s="1"/>
  <c r="S16" i="8"/>
  <c r="V16" i="8" s="1"/>
  <c r="S17" i="8"/>
  <c r="V17" i="8" s="1"/>
  <c r="V6" i="8"/>
  <c r="V7" i="8"/>
  <c r="V8" i="8"/>
  <c r="V5" i="8"/>
  <c r="U5" i="8"/>
  <c r="T5" i="8"/>
  <c r="S5" i="8"/>
  <c r="N6" i="8"/>
  <c r="I5" i="2" s="1"/>
  <c r="N7" i="8"/>
  <c r="N8" i="8"/>
  <c r="I7" i="2" s="1"/>
  <c r="N9" i="8"/>
  <c r="I8" i="2" s="1"/>
  <c r="N10" i="8"/>
  <c r="I9" i="2" s="1"/>
  <c r="N11" i="8"/>
  <c r="I10" i="2" s="1"/>
  <c r="N12" i="8"/>
  <c r="I11" i="2" s="1"/>
  <c r="N13" i="8"/>
  <c r="I12" i="2" s="1"/>
  <c r="N14" i="8"/>
  <c r="I13" i="2" s="1"/>
  <c r="N15" i="8"/>
  <c r="I14" i="2" s="1"/>
  <c r="N16" i="8"/>
  <c r="I15" i="2" s="1"/>
  <c r="N17" i="8"/>
  <c r="I16" i="2" s="1"/>
  <c r="N5" i="8"/>
  <c r="G7" i="2"/>
  <c r="G8" i="2"/>
  <c r="G9" i="2"/>
  <c r="G10" i="2"/>
  <c r="G11" i="2"/>
  <c r="G12" i="2"/>
  <c r="G13" i="2"/>
  <c r="G14" i="2"/>
  <c r="G15" i="2"/>
  <c r="G16" i="2"/>
  <c r="G5" i="2"/>
  <c r="K6" i="13"/>
  <c r="K7" i="13"/>
  <c r="G6" i="2" s="1"/>
  <c r="G21" i="2" s="1"/>
  <c r="K8" i="13"/>
  <c r="K9" i="13"/>
  <c r="K10" i="13"/>
  <c r="K11" i="13"/>
  <c r="K12" i="13"/>
  <c r="K13" i="13"/>
  <c r="K14" i="13"/>
  <c r="K15" i="13"/>
  <c r="K16" i="13"/>
  <c r="K17" i="13"/>
  <c r="K18" i="13"/>
  <c r="R17" i="13"/>
  <c r="Q17" i="13"/>
  <c r="P17" i="13"/>
  <c r="O17" i="13"/>
  <c r="B17" i="13"/>
  <c r="A17" i="13"/>
  <c r="R16" i="13"/>
  <c r="Q16" i="13"/>
  <c r="P16" i="13"/>
  <c r="O16" i="13"/>
  <c r="B16" i="13"/>
  <c r="A16" i="13"/>
  <c r="R15" i="13"/>
  <c r="Q15" i="13"/>
  <c r="P15" i="13"/>
  <c r="O15" i="13"/>
  <c r="B15" i="13"/>
  <c r="A15" i="13"/>
  <c r="R14" i="13"/>
  <c r="Q14" i="13"/>
  <c r="P14" i="13"/>
  <c r="O14" i="13"/>
  <c r="B14" i="13"/>
  <c r="A14" i="13"/>
  <c r="R13" i="13"/>
  <c r="Q13" i="13"/>
  <c r="P13" i="13"/>
  <c r="O13" i="13"/>
  <c r="B13" i="13"/>
  <c r="A13" i="13"/>
  <c r="R12" i="13"/>
  <c r="Q12" i="13"/>
  <c r="P12" i="13"/>
  <c r="O12" i="13"/>
  <c r="B12" i="13"/>
  <c r="A12" i="13"/>
  <c r="R11" i="13"/>
  <c r="Q11" i="13"/>
  <c r="P11" i="13"/>
  <c r="O11" i="13"/>
  <c r="B11" i="13"/>
  <c r="A11" i="13"/>
  <c r="R10" i="13"/>
  <c r="Q10" i="13"/>
  <c r="P10" i="13"/>
  <c r="O10" i="13"/>
  <c r="B10" i="13"/>
  <c r="A10" i="13"/>
  <c r="R9" i="13"/>
  <c r="Q9" i="13"/>
  <c r="P9" i="13"/>
  <c r="O9" i="13"/>
  <c r="B9" i="13"/>
  <c r="A9" i="13"/>
  <c r="R8" i="13"/>
  <c r="Q8" i="13"/>
  <c r="P8" i="13"/>
  <c r="O8" i="13"/>
  <c r="B8" i="13"/>
  <c r="A8" i="13"/>
  <c r="R7" i="13"/>
  <c r="Q7" i="13"/>
  <c r="P7" i="13"/>
  <c r="O7" i="13"/>
  <c r="B7" i="13"/>
  <c r="A7" i="13"/>
  <c r="R6" i="13"/>
  <c r="Q6" i="13"/>
  <c r="P6" i="13"/>
  <c r="O6" i="13"/>
  <c r="B6" i="13"/>
  <c r="A6" i="13"/>
  <c r="R5" i="13"/>
  <c r="Q5" i="13"/>
  <c r="P5" i="13"/>
  <c r="O5" i="13"/>
  <c r="K5" i="13"/>
  <c r="A2" i="13"/>
  <c r="H5" i="2"/>
  <c r="H20" i="2" s="1"/>
  <c r="H6" i="2"/>
  <c r="H7" i="2"/>
  <c r="H8" i="2"/>
  <c r="H9" i="2"/>
  <c r="H10" i="2"/>
  <c r="H11" i="2"/>
  <c r="H12" i="2"/>
  <c r="H13" i="2"/>
  <c r="H14" i="2"/>
  <c r="H15" i="2"/>
  <c r="H16" i="2"/>
  <c r="H4" i="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N6" i="12"/>
  <c r="AN7" i="12"/>
  <c r="AN8" i="12"/>
  <c r="AN9" i="12"/>
  <c r="AN10" i="12"/>
  <c r="AN11" i="12"/>
  <c r="AN12" i="12"/>
  <c r="AN13" i="12"/>
  <c r="AN14" i="12"/>
  <c r="AN15" i="12"/>
  <c r="AN16" i="12"/>
  <c r="AN17" i="12"/>
  <c r="AM17" i="12"/>
  <c r="AM6" i="12"/>
  <c r="AM7" i="12"/>
  <c r="AM8" i="12"/>
  <c r="AM9" i="12"/>
  <c r="AM10" i="12"/>
  <c r="AM11" i="12"/>
  <c r="AM12" i="12"/>
  <c r="AM13" i="12"/>
  <c r="AM14" i="12"/>
  <c r="AM15" i="12"/>
  <c r="AM16" i="12"/>
  <c r="AL6" i="12"/>
  <c r="AL7" i="12"/>
  <c r="AL8" i="12"/>
  <c r="AL9" i="12"/>
  <c r="AL10" i="12"/>
  <c r="AL11" i="12"/>
  <c r="AL12" i="12"/>
  <c r="AL13" i="12"/>
  <c r="AL14" i="12"/>
  <c r="AL15" i="12"/>
  <c r="AL16" i="12"/>
  <c r="AL17" i="12"/>
  <c r="AG14" i="12"/>
  <c r="AG15" i="12"/>
  <c r="AN5" i="12"/>
  <c r="AM5" i="12"/>
  <c r="AL5" i="12"/>
  <c r="AK5" i="12"/>
  <c r="AG18" i="12"/>
  <c r="AG17" i="12"/>
  <c r="B17" i="12"/>
  <c r="A17" i="12"/>
  <c r="B16" i="12"/>
  <c r="A16" i="12"/>
  <c r="B15" i="12"/>
  <c r="A15" i="12"/>
  <c r="B14" i="12"/>
  <c r="A14" i="12"/>
  <c r="AG13" i="12"/>
  <c r="B13" i="12"/>
  <c r="A13" i="12"/>
  <c r="AG12" i="12"/>
  <c r="B12" i="12"/>
  <c r="A12" i="12"/>
  <c r="AG11" i="12"/>
  <c r="B11" i="12"/>
  <c r="A11" i="12"/>
  <c r="AG10" i="12"/>
  <c r="B10" i="12"/>
  <c r="A10" i="12"/>
  <c r="AG9" i="12"/>
  <c r="B9" i="12"/>
  <c r="A9" i="12"/>
  <c r="B8" i="12"/>
  <c r="A8" i="12"/>
  <c r="AO7" i="12"/>
  <c r="AG7" i="12"/>
  <c r="B7" i="12"/>
  <c r="A7" i="12"/>
  <c r="AO6" i="12"/>
  <c r="AG6" i="12"/>
  <c r="B6" i="12"/>
  <c r="A6" i="12"/>
  <c r="AG5" i="12"/>
  <c r="A2" i="12"/>
  <c r="H22" i="2"/>
  <c r="L22" i="2"/>
  <c r="M22" i="2"/>
  <c r="H21" i="2"/>
  <c r="L21" i="2"/>
  <c r="M21" i="2"/>
  <c r="L20" i="2"/>
  <c r="M20" i="2"/>
  <c r="L5" i="2"/>
  <c r="L6" i="2"/>
  <c r="L7" i="2"/>
  <c r="L8" i="2"/>
  <c r="L9" i="2"/>
  <c r="L10" i="2"/>
  <c r="L11" i="2"/>
  <c r="L12" i="2"/>
  <c r="L13" i="2"/>
  <c r="L14" i="2"/>
  <c r="L15" i="2"/>
  <c r="L16" i="2"/>
  <c r="M6" i="2"/>
  <c r="M7" i="2"/>
  <c r="M8" i="2"/>
  <c r="M9" i="2"/>
  <c r="M10" i="2"/>
  <c r="M11" i="2"/>
  <c r="M12" i="2"/>
  <c r="M13" i="2"/>
  <c r="M14" i="2"/>
  <c r="M15" i="2"/>
  <c r="M16" i="2"/>
  <c r="M5" i="2"/>
  <c r="N14" i="5"/>
  <c r="N13" i="5"/>
  <c r="N9" i="5"/>
  <c r="N16" i="5"/>
  <c r="N17" i="5"/>
  <c r="N15" i="5"/>
  <c r="N11" i="5"/>
  <c r="N8" i="5"/>
  <c r="N10" i="5"/>
  <c r="N12" i="5"/>
  <c r="V11" i="8" l="1"/>
  <c r="V9" i="8"/>
  <c r="V14" i="8"/>
  <c r="G22" i="2"/>
  <c r="V12" i="8"/>
  <c r="I20" i="2"/>
  <c r="N21" i="2"/>
  <c r="N22" i="2"/>
  <c r="O22" i="2"/>
  <c r="O20" i="2"/>
  <c r="O21" i="2"/>
  <c r="N20" i="2"/>
  <c r="I22" i="2"/>
  <c r="I21" i="2"/>
  <c r="G20" i="2"/>
  <c r="S13" i="13"/>
  <c r="S10" i="13"/>
  <c r="S17" i="13"/>
  <c r="S14" i="13"/>
  <c r="S5" i="13"/>
  <c r="S6" i="13"/>
  <c r="S11" i="13"/>
  <c r="S8" i="13"/>
  <c r="S15" i="13"/>
  <c r="S12" i="13"/>
  <c r="S7" i="13"/>
  <c r="S9" i="13"/>
  <c r="S16" i="13"/>
  <c r="AO9" i="12"/>
  <c r="AO10" i="12"/>
  <c r="AO12" i="12"/>
  <c r="AO14" i="12"/>
  <c r="AO17" i="12"/>
  <c r="AO16" i="12"/>
  <c r="AO11" i="12"/>
  <c r="AO8" i="12"/>
  <c r="AO5" i="12"/>
  <c r="AO15" i="12"/>
  <c r="AO13" i="12"/>
  <c r="N6" i="5"/>
  <c r="R6" i="5"/>
  <c r="S6" i="5"/>
  <c r="T6" i="5"/>
  <c r="U6" i="5"/>
  <c r="R7" i="5"/>
  <c r="S7" i="5"/>
  <c r="T7" i="5"/>
  <c r="U7" i="5"/>
  <c r="V7" i="5"/>
  <c r="R8" i="5"/>
  <c r="S8" i="5"/>
  <c r="T8" i="5"/>
  <c r="U8" i="5"/>
  <c r="R9" i="5"/>
  <c r="S9" i="5"/>
  <c r="T9" i="5"/>
  <c r="U9" i="5"/>
  <c r="R10" i="5"/>
  <c r="S10" i="5"/>
  <c r="T10" i="5"/>
  <c r="U10" i="5"/>
  <c r="R11" i="5"/>
  <c r="S11" i="5"/>
  <c r="T11" i="5"/>
  <c r="U11" i="5"/>
  <c r="R12" i="5"/>
  <c r="S12" i="5"/>
  <c r="T12" i="5"/>
  <c r="U12" i="5"/>
  <c r="V12" i="5"/>
  <c r="R13" i="5"/>
  <c r="S13" i="5"/>
  <c r="T13" i="5"/>
  <c r="U13" i="5"/>
  <c r="R14" i="5"/>
  <c r="S14" i="5"/>
  <c r="T14" i="5"/>
  <c r="U14" i="5"/>
  <c r="R15" i="5"/>
  <c r="S15" i="5"/>
  <c r="T15" i="5"/>
  <c r="U15" i="5"/>
  <c r="R16" i="5"/>
  <c r="S16" i="5"/>
  <c r="T16" i="5"/>
  <c r="U16" i="5"/>
  <c r="R17" i="5"/>
  <c r="S17" i="5"/>
  <c r="T17" i="5"/>
  <c r="U17" i="5"/>
  <c r="R18" i="5"/>
  <c r="V18" i="5" s="1"/>
  <c r="S18" i="5"/>
  <c r="T18" i="5"/>
  <c r="U18" i="5"/>
  <c r="R19" i="5"/>
  <c r="S19" i="5"/>
  <c r="T19" i="5"/>
  <c r="U19" i="5"/>
  <c r="V19" i="5"/>
  <c r="R20" i="5"/>
  <c r="S20" i="5"/>
  <c r="T20" i="5"/>
  <c r="U20" i="5"/>
  <c r="V20" i="5"/>
  <c r="R21" i="5"/>
  <c r="V21" i="5" s="1"/>
  <c r="S21" i="5"/>
  <c r="T21" i="5"/>
  <c r="U21" i="5"/>
  <c r="U5" i="5"/>
  <c r="T5" i="5"/>
  <c r="S5" i="5"/>
  <c r="R5" i="5"/>
  <c r="N5" i="5"/>
  <c r="S6" i="7"/>
  <c r="T6" i="7"/>
  <c r="W6" i="7"/>
  <c r="S7" i="7"/>
  <c r="W7" i="7" s="1"/>
  <c r="T7" i="7"/>
  <c r="S8" i="7"/>
  <c r="T8" i="7"/>
  <c r="W8" i="7"/>
  <c r="S9" i="7"/>
  <c r="T9" i="7"/>
  <c r="W9" i="7"/>
  <c r="S10" i="7"/>
  <c r="T10" i="7"/>
  <c r="W10" i="7"/>
  <c r="S11" i="7"/>
  <c r="W11" i="7" s="1"/>
  <c r="T11" i="7"/>
  <c r="S12" i="7"/>
  <c r="T12" i="7"/>
  <c r="W12" i="7"/>
  <c r="S13" i="7"/>
  <c r="T13" i="7"/>
  <c r="W13" i="7"/>
  <c r="S14" i="7"/>
  <c r="T14" i="7"/>
  <c r="W14" i="7"/>
  <c r="S15" i="7"/>
  <c r="W15" i="7" s="1"/>
  <c r="T15" i="7"/>
  <c r="S16" i="7"/>
  <c r="T16" i="7"/>
  <c r="W16" i="7"/>
  <c r="S17" i="7"/>
  <c r="T17" i="7"/>
  <c r="W17" i="7"/>
  <c r="T5" i="7"/>
  <c r="S5" i="7"/>
  <c r="W5" i="7"/>
  <c r="S6" i="10"/>
  <c r="T6" i="10"/>
  <c r="U6" i="10"/>
  <c r="V6" i="10"/>
  <c r="S7" i="10"/>
  <c r="T7" i="10"/>
  <c r="U7" i="10"/>
  <c r="V7" i="10"/>
  <c r="S8" i="10"/>
  <c r="T8" i="10"/>
  <c r="U8" i="10"/>
  <c r="V8" i="10"/>
  <c r="S9" i="10"/>
  <c r="W9" i="10" s="1"/>
  <c r="T9" i="10"/>
  <c r="U9" i="10"/>
  <c r="V9" i="10"/>
  <c r="S10" i="10"/>
  <c r="T10" i="10"/>
  <c r="U10" i="10"/>
  <c r="V10" i="10"/>
  <c r="S11" i="10"/>
  <c r="T11" i="10"/>
  <c r="U11" i="10"/>
  <c r="V11" i="10"/>
  <c r="S12" i="10"/>
  <c r="W12" i="10" s="1"/>
  <c r="T12" i="10"/>
  <c r="U12" i="10"/>
  <c r="V12" i="10"/>
  <c r="S13" i="10"/>
  <c r="T13" i="10"/>
  <c r="U13" i="10"/>
  <c r="V13" i="10"/>
  <c r="S14" i="10"/>
  <c r="T14" i="10"/>
  <c r="U14" i="10"/>
  <c r="V14" i="10"/>
  <c r="S15" i="10"/>
  <c r="T15" i="10"/>
  <c r="U15" i="10"/>
  <c r="V15" i="10"/>
  <c r="S16" i="10"/>
  <c r="T16" i="10"/>
  <c r="U16" i="10"/>
  <c r="V16" i="10"/>
  <c r="S17" i="10"/>
  <c r="T17" i="10"/>
  <c r="U17" i="10"/>
  <c r="V17" i="10"/>
  <c r="W17" i="10"/>
  <c r="S18" i="10"/>
  <c r="T18" i="10"/>
  <c r="U18" i="10"/>
  <c r="V18" i="10"/>
  <c r="V5" i="10"/>
  <c r="U5" i="10"/>
  <c r="T5" i="10"/>
  <c r="S5" i="10"/>
  <c r="D22" i="2"/>
  <c r="D21" i="2"/>
  <c r="D20" i="2"/>
  <c r="V14" i="5" l="1"/>
  <c r="V13" i="5"/>
  <c r="V9" i="5"/>
  <c r="V16" i="5"/>
  <c r="V17" i="5"/>
  <c r="V15" i="5"/>
  <c r="V11" i="5"/>
  <c r="V8" i="5"/>
  <c r="V10" i="5"/>
  <c r="V6" i="5"/>
  <c r="V5" i="5"/>
  <c r="W6" i="10"/>
  <c r="W14" i="10"/>
  <c r="W16" i="10"/>
  <c r="W7" i="10"/>
  <c r="W10" i="10"/>
  <c r="W15" i="10"/>
  <c r="W11" i="10"/>
  <c r="W8" i="10"/>
  <c r="W18" i="10"/>
  <c r="W13" i="10"/>
  <c r="W5" i="10"/>
  <c r="F5" i="2"/>
  <c r="F6" i="2"/>
  <c r="F7" i="2"/>
  <c r="F8" i="2"/>
  <c r="F9" i="2"/>
  <c r="F10" i="2"/>
  <c r="F11" i="2"/>
  <c r="F12" i="2"/>
  <c r="F13" i="2"/>
  <c r="F14" i="2"/>
  <c r="F15" i="2"/>
  <c r="F16" i="2"/>
  <c r="F4" i="2"/>
  <c r="O6" i="7"/>
  <c r="O7" i="7"/>
  <c r="O8" i="7"/>
  <c r="O9" i="7"/>
  <c r="O10" i="7"/>
  <c r="O11" i="7"/>
  <c r="O12" i="7"/>
  <c r="O13" i="7"/>
  <c r="O14" i="7"/>
  <c r="O15" i="7"/>
  <c r="O16" i="7"/>
  <c r="O17" i="7"/>
  <c r="O5" i="7"/>
  <c r="D5" i="2"/>
  <c r="D6" i="2"/>
  <c r="D7" i="2"/>
  <c r="D8" i="2"/>
  <c r="D9" i="2"/>
  <c r="D10" i="2"/>
  <c r="D11" i="2"/>
  <c r="D12" i="2"/>
  <c r="D13" i="2"/>
  <c r="D14" i="2"/>
  <c r="D15" i="2"/>
  <c r="D16" i="2"/>
  <c r="D4" i="2"/>
  <c r="AM8" i="6"/>
  <c r="AM9" i="6"/>
  <c r="AM10" i="6"/>
  <c r="AM11" i="6"/>
  <c r="AM12" i="6"/>
  <c r="AM13" i="6"/>
  <c r="AM14" i="6"/>
  <c r="AM15" i="6"/>
  <c r="AM16" i="6"/>
  <c r="AM17" i="6"/>
  <c r="AK8" i="6"/>
  <c r="AL8" i="6"/>
  <c r="AK9" i="6"/>
  <c r="AL9" i="6"/>
  <c r="AK10" i="6"/>
  <c r="AL10" i="6"/>
  <c r="AK11" i="6"/>
  <c r="AL11" i="6"/>
  <c r="AK12" i="6"/>
  <c r="AL12" i="6"/>
  <c r="AK13" i="6"/>
  <c r="AL13" i="6"/>
  <c r="AK14" i="6"/>
  <c r="AL14" i="6"/>
  <c r="AK15" i="6"/>
  <c r="AL15" i="6"/>
  <c r="AK16" i="6"/>
  <c r="AL16" i="6"/>
  <c r="AK17" i="6"/>
  <c r="AL17" i="6"/>
  <c r="AK6" i="6"/>
  <c r="AL6" i="6"/>
  <c r="AM6" i="6"/>
  <c r="AK7" i="6"/>
  <c r="AL7" i="6"/>
  <c r="AM7" i="6" s="1"/>
  <c r="AM5" i="6"/>
  <c r="AL5" i="6"/>
  <c r="AK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5" i="6"/>
  <c r="N6" i="10"/>
  <c r="E5" i="2" s="1"/>
  <c r="J5" i="2" s="1"/>
  <c r="N7" i="10"/>
  <c r="E6" i="2" s="1"/>
  <c r="J6" i="2" s="1"/>
  <c r="K6" i="2" s="1"/>
  <c r="P6" i="2" s="1"/>
  <c r="N8" i="10"/>
  <c r="E7" i="2" s="1"/>
  <c r="J7" i="2" s="1"/>
  <c r="K7" i="2" s="1"/>
  <c r="P7" i="2" s="1"/>
  <c r="N9" i="10"/>
  <c r="E8" i="2" s="1"/>
  <c r="J8" i="2" s="1"/>
  <c r="K8" i="2" s="1"/>
  <c r="P8" i="2" s="1"/>
  <c r="N10" i="10"/>
  <c r="E9" i="2" s="1"/>
  <c r="J9" i="2" s="1"/>
  <c r="K9" i="2" s="1"/>
  <c r="P9" i="2" s="1"/>
  <c r="N11" i="10"/>
  <c r="E10" i="2" s="1"/>
  <c r="J10" i="2" s="1"/>
  <c r="K10" i="2" s="1"/>
  <c r="P10" i="2" s="1"/>
  <c r="N12" i="10"/>
  <c r="E11" i="2" s="1"/>
  <c r="J11" i="2" s="1"/>
  <c r="K11" i="2" s="1"/>
  <c r="P11" i="2" s="1"/>
  <c r="N13" i="10"/>
  <c r="E12" i="2" s="1"/>
  <c r="N14" i="10"/>
  <c r="E13" i="2" s="1"/>
  <c r="J13" i="2" s="1"/>
  <c r="K13" i="2" s="1"/>
  <c r="P13" i="2" s="1"/>
  <c r="N15" i="10"/>
  <c r="E14" i="2" s="1"/>
  <c r="J14" i="2" s="1"/>
  <c r="K14" i="2" s="1"/>
  <c r="P14" i="2" s="1"/>
  <c r="N16" i="10"/>
  <c r="E15" i="2" s="1"/>
  <c r="J15" i="2" s="1"/>
  <c r="K15" i="2" s="1"/>
  <c r="P15" i="2" s="1"/>
  <c r="N17" i="10"/>
  <c r="E16" i="2" s="1"/>
  <c r="J16" i="2" s="1"/>
  <c r="K16" i="2" s="1"/>
  <c r="P16" i="2" s="1"/>
  <c r="N5" i="10"/>
  <c r="E4" i="2" s="1"/>
  <c r="B17" i="10"/>
  <c r="B16" i="10"/>
  <c r="A2" i="10"/>
  <c r="B7" i="8"/>
  <c r="B8" i="8"/>
  <c r="B9" i="8"/>
  <c r="B10" i="8"/>
  <c r="B11" i="8"/>
  <c r="B12" i="8"/>
  <c r="B13" i="8"/>
  <c r="B14" i="8"/>
  <c r="B15" i="8"/>
  <c r="B16" i="8"/>
  <c r="B17" i="8"/>
  <c r="B6" i="8"/>
  <c r="B7" i="7"/>
  <c r="B8" i="7"/>
  <c r="B9" i="7"/>
  <c r="B10" i="7"/>
  <c r="B11" i="7"/>
  <c r="B12" i="7"/>
  <c r="B13" i="7"/>
  <c r="B14" i="7"/>
  <c r="B15" i="7"/>
  <c r="B16" i="7"/>
  <c r="B17" i="7"/>
  <c r="B6" i="7"/>
  <c r="A7" i="5"/>
  <c r="A8" i="5"/>
  <c r="B8" i="10" s="1"/>
  <c r="A9" i="5"/>
  <c r="A10" i="5"/>
  <c r="B10" i="10" s="1"/>
  <c r="A11" i="5"/>
  <c r="A12" i="5"/>
  <c r="A13" i="5"/>
  <c r="A14" i="5"/>
  <c r="B14" i="10" s="1"/>
  <c r="A15" i="5"/>
  <c r="B15" i="10" s="1"/>
  <c r="A16" i="5"/>
  <c r="A17" i="5"/>
  <c r="A6" i="5"/>
  <c r="K5" i="2" l="1"/>
  <c r="J4" i="2"/>
  <c r="K4" i="2" s="1"/>
  <c r="P4" i="2" s="1"/>
  <c r="E22" i="2"/>
  <c r="E20" i="2"/>
  <c r="E21" i="2"/>
  <c r="J12" i="2"/>
  <c r="K12" i="2" s="1"/>
  <c r="P12" i="2" s="1"/>
  <c r="F20" i="2"/>
  <c r="F22" i="2"/>
  <c r="F21" i="2"/>
  <c r="B9" i="10"/>
  <c r="B13" i="10"/>
  <c r="B11" i="10"/>
  <c r="B6" i="10"/>
  <c r="B12" i="10"/>
  <c r="B7" i="10"/>
  <c r="A7" i="8"/>
  <c r="A8" i="8"/>
  <c r="A9" i="8"/>
  <c r="A10" i="8"/>
  <c r="A11" i="8"/>
  <c r="A12" i="8"/>
  <c r="A13" i="8"/>
  <c r="A14" i="8"/>
  <c r="A15" i="8"/>
  <c r="A16" i="8"/>
  <c r="A17" i="8"/>
  <c r="A6" i="8"/>
  <c r="A7" i="7"/>
  <c r="A8" i="7"/>
  <c r="A9" i="7"/>
  <c r="A10" i="7"/>
  <c r="A11" i="7"/>
  <c r="A12" i="7"/>
  <c r="A13" i="7"/>
  <c r="A14" i="7"/>
  <c r="A15" i="7"/>
  <c r="A16" i="7"/>
  <c r="A17" i="7"/>
  <c r="A6" i="7"/>
  <c r="B7" i="4"/>
  <c r="B7" i="5"/>
  <c r="B8" i="5"/>
  <c r="B9" i="6"/>
  <c r="B9" i="5"/>
  <c r="B10" i="6"/>
  <c r="B10" i="5"/>
  <c r="B11" i="6"/>
  <c r="B11" i="5"/>
  <c r="B12" i="5"/>
  <c r="B13" i="4"/>
  <c r="B13" i="5"/>
  <c r="B14" i="5"/>
  <c r="B15" i="6"/>
  <c r="B15" i="5"/>
  <c r="B16" i="5"/>
  <c r="B17" i="5"/>
  <c r="B6" i="5"/>
  <c r="U17" i="2"/>
  <c r="N5" i="4"/>
  <c r="O4" i="2"/>
  <c r="L4" i="2"/>
  <c r="N7" i="5"/>
  <c r="N18" i="5"/>
  <c r="N19" i="5"/>
  <c r="N20" i="5"/>
  <c r="N21" i="5"/>
  <c r="A2" i="4"/>
  <c r="A2" i="8"/>
  <c r="A2" i="7"/>
  <c r="A2" i="6"/>
  <c r="A2" i="5"/>
  <c r="J21" i="2" l="1"/>
  <c r="J22" i="2"/>
  <c r="J20" i="2"/>
  <c r="P5" i="2"/>
  <c r="K22" i="2"/>
  <c r="K20" i="2"/>
  <c r="K21" i="2"/>
  <c r="A16" i="4"/>
  <c r="A16" i="10"/>
  <c r="A10" i="10"/>
  <c r="A8" i="10"/>
  <c r="A13" i="10"/>
  <c r="A7" i="10"/>
  <c r="A12" i="10"/>
  <c r="A6" i="10"/>
  <c r="A15" i="4"/>
  <c r="A15" i="10"/>
  <c r="A9" i="10"/>
  <c r="A14" i="4"/>
  <c r="A14" i="10"/>
  <c r="A17" i="4"/>
  <c r="A17" i="10"/>
  <c r="A11" i="6"/>
  <c r="A11" i="10"/>
  <c r="B14" i="6"/>
  <c r="B16" i="4"/>
  <c r="B15" i="4"/>
  <c r="B14" i="4"/>
  <c r="A13" i="4"/>
  <c r="B12" i="4"/>
  <c r="A6" i="6"/>
  <c r="A16" i="6"/>
  <c r="A15" i="6"/>
  <c r="A14" i="6"/>
  <c r="A13" i="6"/>
  <c r="A7" i="6"/>
  <c r="A6" i="4"/>
  <c r="B17" i="6"/>
  <c r="B16" i="6"/>
  <c r="B11" i="4"/>
  <c r="B10" i="4"/>
  <c r="B9" i="4"/>
  <c r="B8" i="6"/>
  <c r="B8" i="4"/>
  <c r="A7" i="4"/>
  <c r="B17" i="4"/>
  <c r="A17" i="6"/>
  <c r="B6" i="4"/>
  <c r="A10" i="4"/>
  <c r="A9" i="4"/>
  <c r="A10" i="6"/>
  <c r="A8" i="4"/>
  <c r="A9" i="6"/>
  <c r="A12" i="4"/>
  <c r="A11" i="4"/>
  <c r="B13" i="6"/>
  <c r="A12" i="6"/>
  <c r="B6" i="6"/>
  <c r="B7" i="6"/>
  <c r="A8" i="6"/>
  <c r="B12" i="6"/>
  <c r="P20" i="2" l="1"/>
  <c r="P22" i="2"/>
  <c r="P21" i="2"/>
</calcChain>
</file>

<file path=xl/sharedStrings.xml><?xml version="1.0" encoding="utf-8"?>
<sst xmlns="http://schemas.openxmlformats.org/spreadsheetml/2006/main" count="355" uniqueCount="86">
  <si>
    <t>Final Marks</t>
  </si>
  <si>
    <t xml:space="preserve">Computatioal Astrophysics (PHYS 8202) </t>
  </si>
  <si>
    <t xml:space="preserve">Name </t>
  </si>
  <si>
    <t>SAP ID</t>
  </si>
  <si>
    <t>Assignment 1</t>
  </si>
  <si>
    <t>Quiz 1</t>
  </si>
  <si>
    <t>Class Test 1</t>
  </si>
  <si>
    <t>Quiz 2</t>
  </si>
  <si>
    <t>Assignment 2</t>
  </si>
  <si>
    <t>Class Test 2</t>
  </si>
  <si>
    <t>CIA</t>
  </si>
  <si>
    <t>IA</t>
  </si>
  <si>
    <t>Mid Sem</t>
  </si>
  <si>
    <t>End Sem</t>
  </si>
  <si>
    <t>Total</t>
  </si>
  <si>
    <t>Sign</t>
  </si>
  <si>
    <t>Email Address</t>
  </si>
  <si>
    <t>Roll Number</t>
  </si>
  <si>
    <t>Max Marks</t>
  </si>
  <si>
    <t>Vansh Sharma</t>
  </si>
  <si>
    <t>sharma.10833@stu.upes.ac.in</t>
  </si>
  <si>
    <t>Mokshika Saini</t>
  </si>
  <si>
    <t>saini.10853@stu.upes.ac.in</t>
  </si>
  <si>
    <t>Sakshi Sheshrao Charde</t>
  </si>
  <si>
    <t>sakshi.11314@stu.upes.ac.in</t>
  </si>
  <si>
    <t>Akash Vinodshirke</t>
  </si>
  <si>
    <t>akash.11462@stu.upes.ac.in</t>
  </si>
  <si>
    <t>Deevija Garg</t>
  </si>
  <si>
    <t>deevija.13559@stu.upes.ac.in</t>
  </si>
  <si>
    <t>Chandni Negi</t>
  </si>
  <si>
    <t>chandni.14314@stu.upes.ac.in</t>
  </si>
  <si>
    <t>Divya Krishna</t>
  </si>
  <si>
    <t>divya.16280@stu.upes.ac.in</t>
  </si>
  <si>
    <t>Shubhangee Shukla</t>
  </si>
  <si>
    <t>shubhangee.17181@stu.upes.ac.in</t>
  </si>
  <si>
    <t>Heera Singh</t>
  </si>
  <si>
    <t>heera.17658@stu.upes.ac.in</t>
  </si>
  <si>
    <t>Abhineet Srivastava</t>
  </si>
  <si>
    <t>abhineet.17776@stu.upes.ac.in</t>
  </si>
  <si>
    <t>Tanisha Chanani</t>
  </si>
  <si>
    <t>tanisha.18198@stu.upes.ac.in</t>
  </si>
  <si>
    <t>Rushil Soni</t>
  </si>
  <si>
    <t>rushil.18519@stu.upes.ac.in</t>
  </si>
  <si>
    <t>Max</t>
  </si>
  <si>
    <t>Min</t>
  </si>
  <si>
    <t>Median</t>
  </si>
  <si>
    <t>CO1</t>
  </si>
  <si>
    <t>CO2</t>
  </si>
  <si>
    <t>CO3</t>
  </si>
  <si>
    <t>CO4</t>
  </si>
  <si>
    <t>Student Id</t>
  </si>
  <si>
    <t>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</si>
  <si>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</si>
  <si>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</si>
  <si>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</si>
  <si>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</si>
  <si>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</si>
  <si>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</si>
  <si>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</si>
  <si>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</si>
  <si>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</si>
  <si>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</si>
  <si>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</si>
  <si>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</si>
  <si>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</si>
  <si>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</si>
  <si>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</si>
  <si>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</si>
  <si>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</si>
  <si>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</si>
  <si>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</si>
  <si>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</si>
  <si>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</si>
  <si>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</si>
  <si>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</si>
  <si>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</si>
  <si>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</si>
  <si>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</si>
  <si>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</si>
  <si>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</si>
  <si>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</si>
  <si>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</si>
  <si>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Mid Sem Examination</t>
  </si>
  <si>
    <t>CO3/CO4</t>
  </si>
  <si>
    <t>Student ID</t>
  </si>
  <si>
    <t>End Sem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</si>
</sst>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Baguet Script"/>
    </font>
    <font>
      <sz val="18"/>
      <color theme="1"/>
      <name val="Monotype Corsiva"/>
      <family val="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2" borderId="0" xfId="0" applyFont="1" applyFill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7" fillId="0" borderId="7" xfId="0" applyFont="1" applyBorder="1"/>
    <xf numFmtId="0" fontId="8" fillId="0" borderId="7" xfId="0" applyFont="1" applyBorder="1"/>
    <xf numFmtId="0" fontId="6" fillId="0" borderId="8" xfId="0" applyFont="1" applyBorder="1"/>
    <xf numFmtId="0" fontId="2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6" fillId="0" borderId="10" xfId="0" applyFont="1" applyBorder="1" applyAlignment="1">
      <alignment vertical="top"/>
    </xf>
    <xf numFmtId="0" fontId="6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vertical="top"/>
    </xf>
    <xf numFmtId="0" fontId="6" fillId="0" borderId="11" xfId="0" applyFont="1" applyBorder="1"/>
    <xf numFmtId="0" fontId="3" fillId="3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9" fillId="5" borderId="1" xfId="0" applyFont="1" applyFill="1" applyBorder="1"/>
    <xf numFmtId="0" fontId="10" fillId="7" borderId="1" xfId="0" applyFont="1" applyFill="1" applyBorder="1"/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76A9-80AB-4236-8B1F-676ADE76CB37}">
  <sheetPr>
    <pageSetUpPr fitToPage="1"/>
  </sheetPr>
  <dimension ref="A1:U37"/>
  <sheetViews>
    <sheetView tabSelected="1" zoomScale="78" zoomScaleNormal="100" workbookViewId="0">
      <selection activeCell="P8" sqref="P8"/>
    </sheetView>
  </sheetViews>
  <sheetFormatPr defaultRowHeight="15" x14ac:dyDescent="0.25"/>
  <cols>
    <col min="1" max="1" width="27.140625" customWidth="1"/>
    <col min="2" max="2" width="22.85546875" style="13" customWidth="1"/>
    <col min="3" max="3" width="10.28515625" bestFit="1" customWidth="1"/>
    <col min="4" max="5" width="13.85546875" customWidth="1"/>
    <col min="6" max="7" width="14.42578125" customWidth="1"/>
    <col min="8" max="8" width="16.140625" customWidth="1"/>
    <col min="9" max="9" width="14.28515625" customWidth="1"/>
    <col min="10" max="10" width="11.85546875" style="13" customWidth="1"/>
    <col min="11" max="11" width="11.85546875" customWidth="1"/>
    <col min="12" max="12" width="11.85546875" style="17" customWidth="1"/>
    <col min="13" max="16" width="13.42578125" customWidth="1"/>
    <col min="17" max="17" width="12.5703125" customWidth="1"/>
    <col min="19" max="19" width="28.7109375" customWidth="1"/>
    <col min="20" max="20" width="15.7109375" style="23" customWidth="1"/>
  </cols>
  <sheetData>
    <row r="1" spans="1:20" ht="24.75" x14ac:dyDescent="0.4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  <c r="R1" s="32"/>
    </row>
    <row r="2" spans="1:20" ht="24.75" x14ac:dyDescent="0.4">
      <c r="A2" s="6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  <c r="R2" s="33"/>
    </row>
    <row r="3" spans="1:20" ht="15.75" x14ac:dyDescent="0.25">
      <c r="A3" s="49" t="s">
        <v>2</v>
      </c>
      <c r="B3" s="50" t="s">
        <v>3</v>
      </c>
      <c r="C3" s="49"/>
      <c r="D3" s="50" t="s">
        <v>4</v>
      </c>
      <c r="E3" s="50" t="s">
        <v>5</v>
      </c>
      <c r="F3" s="50" t="s">
        <v>6</v>
      </c>
      <c r="G3" s="50" t="s">
        <v>7</v>
      </c>
      <c r="H3" s="50" t="s">
        <v>8</v>
      </c>
      <c r="I3" s="50" t="s">
        <v>9</v>
      </c>
      <c r="J3" s="50" t="s">
        <v>10</v>
      </c>
      <c r="K3" s="50" t="s">
        <v>11</v>
      </c>
      <c r="L3" s="50" t="s">
        <v>12</v>
      </c>
      <c r="M3" s="50" t="s">
        <v>12</v>
      </c>
      <c r="N3" s="50" t="s">
        <v>13</v>
      </c>
      <c r="O3" s="50" t="s">
        <v>13</v>
      </c>
      <c r="P3" s="51" t="s">
        <v>14</v>
      </c>
      <c r="Q3" s="50" t="s">
        <v>15</v>
      </c>
      <c r="S3" s="1" t="s">
        <v>16</v>
      </c>
      <c r="T3" s="27" t="s">
        <v>17</v>
      </c>
    </row>
    <row r="4" spans="1:20" x14ac:dyDescent="0.25">
      <c r="A4" s="6"/>
      <c r="B4" s="9" t="s">
        <v>18</v>
      </c>
      <c r="C4" s="6"/>
      <c r="D4" s="16">
        <f>'Assignment 1'!AG5/10</f>
        <v>15</v>
      </c>
      <c r="E4" s="16">
        <f>('Quiz 1'!N5/10)*3</f>
        <v>15</v>
      </c>
      <c r="F4" s="16">
        <f>'Class Test 1'!O5/2</f>
        <v>20</v>
      </c>
      <c r="G4" s="16">
        <v>15</v>
      </c>
      <c r="H4" s="16">
        <f>'Assignment 2'!AG5*1.5/32</f>
        <v>15</v>
      </c>
      <c r="I4" s="16">
        <f>'Class Test 2'!N5/2</f>
        <v>20</v>
      </c>
      <c r="J4" s="16">
        <f>SUM(D4:I4)</f>
        <v>100</v>
      </c>
      <c r="K4" s="16">
        <f>J4/2</f>
        <v>50</v>
      </c>
      <c r="L4" s="16">
        <f>M4/5</f>
        <v>20</v>
      </c>
      <c r="M4" s="16">
        <v>100</v>
      </c>
      <c r="N4" s="16">
        <f>'End Sem'!N5</f>
        <v>100</v>
      </c>
      <c r="O4" s="16">
        <f>N4*0.3</f>
        <v>30</v>
      </c>
      <c r="P4" s="6">
        <f>SUM(K4,L4,O4)</f>
        <v>100</v>
      </c>
      <c r="Q4" s="6"/>
      <c r="R4" s="7"/>
    </row>
    <row r="5" spans="1:20" ht="15.75" x14ac:dyDescent="0.25">
      <c r="A5" s="2" t="s">
        <v>19</v>
      </c>
      <c r="B5" s="12">
        <v>590010833</v>
      </c>
      <c r="C5" s="48"/>
      <c r="D5" s="12">
        <f>'Assignment 1'!AG6/10</f>
        <v>14.4</v>
      </c>
      <c r="E5" s="12">
        <f>('Quiz 1'!N6/10)*3</f>
        <v>12</v>
      </c>
      <c r="F5" s="12">
        <f>'Class Test 1'!O6/2</f>
        <v>10</v>
      </c>
      <c r="G5" s="66">
        <f>'Quiz 2'!K6*1.5/5</f>
        <v>15</v>
      </c>
      <c r="H5" s="57">
        <f>'Assignment 2'!AG6*1.5/32</f>
        <v>15</v>
      </c>
      <c r="I5" s="60">
        <f>'Class Test 2'!N6/2</f>
        <v>16.5</v>
      </c>
      <c r="J5" s="12">
        <f t="shared" ref="J5:J16" si="0">SUM(D5:I5)</f>
        <v>82.9</v>
      </c>
      <c r="K5" s="12">
        <f t="shared" ref="K5:K16" si="1">J5/2</f>
        <v>41.45</v>
      </c>
      <c r="L5" s="12">
        <f t="shared" ref="L5:L16" si="2">M5/5</f>
        <v>8.4</v>
      </c>
      <c r="M5" s="12">
        <f>'Mid Sem'!N6</f>
        <v>42</v>
      </c>
      <c r="N5" s="12">
        <f>'End Sem'!N6</f>
        <v>51</v>
      </c>
      <c r="O5" s="12">
        <f>N5*0.3</f>
        <v>15.299999999999999</v>
      </c>
      <c r="P5" s="5">
        <f t="shared" ref="P5:P16" si="3">SUM(K5,L5,O5)</f>
        <v>65.150000000000006</v>
      </c>
      <c r="Q5" s="34"/>
      <c r="S5" s="26" t="s">
        <v>20</v>
      </c>
      <c r="T5" s="23">
        <v>182400159</v>
      </c>
    </row>
    <row r="6" spans="1:20" ht="15.75" x14ac:dyDescent="0.25">
      <c r="A6" s="2" t="s">
        <v>21</v>
      </c>
      <c r="B6" s="12">
        <v>590010853</v>
      </c>
      <c r="C6" s="48"/>
      <c r="D6" s="12">
        <f>'Assignment 1'!AG7/10</f>
        <v>14.3</v>
      </c>
      <c r="E6" s="12">
        <f>('Quiz 1'!N7/10)*3</f>
        <v>0</v>
      </c>
      <c r="F6" s="12">
        <f>'Class Test 1'!O7/2</f>
        <v>16.5</v>
      </c>
      <c r="G6" s="66">
        <f>'Quiz 2'!K7*1.5/5</f>
        <v>6</v>
      </c>
      <c r="H6" s="57">
        <f>'Assignment 2'!AG7*1.5/32</f>
        <v>15</v>
      </c>
      <c r="I6" s="60">
        <f>'Class Test 2'!N7/2</f>
        <v>16.25</v>
      </c>
      <c r="J6" s="12">
        <f t="shared" si="0"/>
        <v>68.05</v>
      </c>
      <c r="K6" s="12">
        <f t="shared" si="1"/>
        <v>34.024999999999999</v>
      </c>
      <c r="L6" s="12">
        <f t="shared" si="2"/>
        <v>0</v>
      </c>
      <c r="M6" s="12">
        <f>'Mid Sem'!N7</f>
        <v>0</v>
      </c>
      <c r="N6" s="12">
        <f>'End Sem'!N7</f>
        <v>31</v>
      </c>
      <c r="O6" s="12">
        <f t="shared" ref="O6:O16" si="4">N6*0.3</f>
        <v>9.2999999999999989</v>
      </c>
      <c r="P6" s="5">
        <f>SUM(K6,L6,O6)</f>
        <v>43.324999999999996</v>
      </c>
      <c r="Q6" s="34"/>
      <c r="S6" s="26" t="s">
        <v>22</v>
      </c>
      <c r="T6" s="23">
        <v>24010310719</v>
      </c>
    </row>
    <row r="7" spans="1:20" ht="15.75" x14ac:dyDescent="0.25">
      <c r="A7" s="2" t="s">
        <v>23</v>
      </c>
      <c r="B7" s="12">
        <v>590011314</v>
      </c>
      <c r="C7" s="48"/>
      <c r="D7" s="12">
        <f>'Assignment 1'!AG8/10</f>
        <v>14.8</v>
      </c>
      <c r="E7" s="12">
        <f>('Quiz 1'!N8/10)*3</f>
        <v>14.100000000000001</v>
      </c>
      <c r="F7" s="12">
        <f>'Class Test 1'!O8/2</f>
        <v>16.5</v>
      </c>
      <c r="G7" s="66">
        <f>'Quiz 2'!K8*1.5/5</f>
        <v>14.7</v>
      </c>
      <c r="H7" s="57">
        <f>'Assignment 2'!AG8*1.5/32</f>
        <v>14.953125</v>
      </c>
      <c r="I7" s="60">
        <f>'Class Test 2'!N8/2</f>
        <v>17.5</v>
      </c>
      <c r="J7" s="12">
        <f t="shared" si="0"/>
        <v>92.553125000000009</v>
      </c>
      <c r="K7" s="12">
        <f t="shared" si="1"/>
        <v>46.276562500000004</v>
      </c>
      <c r="L7" s="12">
        <f t="shared" si="2"/>
        <v>8</v>
      </c>
      <c r="M7" s="12">
        <f>'Mid Sem'!N8</f>
        <v>40</v>
      </c>
      <c r="N7" s="12">
        <f>'End Sem'!N8</f>
        <v>30</v>
      </c>
      <c r="O7" s="12">
        <f t="shared" si="4"/>
        <v>9</v>
      </c>
      <c r="P7" s="5">
        <f t="shared" si="3"/>
        <v>63.276562500000004</v>
      </c>
      <c r="Q7" s="34"/>
      <c r="S7" s="26" t="s">
        <v>24</v>
      </c>
      <c r="T7" s="23">
        <v>24010311286</v>
      </c>
    </row>
    <row r="8" spans="1:20" ht="15.75" x14ac:dyDescent="0.25">
      <c r="A8" s="2" t="s">
        <v>25</v>
      </c>
      <c r="B8" s="12">
        <v>590011462</v>
      </c>
      <c r="C8" s="48"/>
      <c r="D8" s="12">
        <f>'Assignment 1'!AG9/10</f>
        <v>14.7</v>
      </c>
      <c r="E8" s="12">
        <f>('Quiz 1'!N9/10)*3</f>
        <v>14.700000000000001</v>
      </c>
      <c r="F8" s="12">
        <f>'Class Test 1'!O9/2</f>
        <v>19</v>
      </c>
      <c r="G8" s="66">
        <f>'Quiz 2'!K9*1.5/5</f>
        <v>14.4</v>
      </c>
      <c r="H8" s="57">
        <f>'Assignment 2'!AG9*1.5/32</f>
        <v>15</v>
      </c>
      <c r="I8" s="60">
        <f>'Class Test 2'!N9/2</f>
        <v>20</v>
      </c>
      <c r="J8" s="12">
        <f t="shared" si="0"/>
        <v>97.8</v>
      </c>
      <c r="K8" s="12">
        <f t="shared" si="1"/>
        <v>48.9</v>
      </c>
      <c r="L8" s="12">
        <f t="shared" si="2"/>
        <v>18.399999999999999</v>
      </c>
      <c r="M8" s="12">
        <f>'Mid Sem'!N9</f>
        <v>92</v>
      </c>
      <c r="N8" s="12">
        <f>'End Sem'!N9</f>
        <v>94</v>
      </c>
      <c r="O8" s="12">
        <f t="shared" si="4"/>
        <v>28.2</v>
      </c>
      <c r="P8" s="5">
        <f t="shared" si="3"/>
        <v>95.5</v>
      </c>
      <c r="Q8" s="34"/>
      <c r="S8" s="26" t="s">
        <v>26</v>
      </c>
      <c r="T8" s="23">
        <v>182400263</v>
      </c>
    </row>
    <row r="9" spans="1:20" ht="15.75" x14ac:dyDescent="0.25">
      <c r="A9" s="2" t="s">
        <v>27</v>
      </c>
      <c r="B9" s="12">
        <v>590013559</v>
      </c>
      <c r="C9" s="48"/>
      <c r="D9" s="12">
        <f>'Assignment 1'!AG10/10</f>
        <v>14.6</v>
      </c>
      <c r="E9" s="12">
        <f>('Quiz 1'!N10/10)*3</f>
        <v>6</v>
      </c>
      <c r="F9" s="12">
        <f>'Class Test 1'!O10/2</f>
        <v>15.5</v>
      </c>
      <c r="G9" s="66">
        <f>'Quiz 2'!K10*1.5/5</f>
        <v>12.3</v>
      </c>
      <c r="H9" s="57">
        <f>'Assignment 2'!AG10*1.5/32</f>
        <v>15</v>
      </c>
      <c r="I9" s="60">
        <f>'Class Test 2'!N10/2</f>
        <v>15.5</v>
      </c>
      <c r="J9" s="12">
        <f t="shared" si="0"/>
        <v>78.900000000000006</v>
      </c>
      <c r="K9" s="12">
        <f t="shared" si="1"/>
        <v>39.450000000000003</v>
      </c>
      <c r="L9" s="12">
        <f t="shared" si="2"/>
        <v>12.2</v>
      </c>
      <c r="M9" s="12">
        <f>'Mid Sem'!N10</f>
        <v>61</v>
      </c>
      <c r="N9" s="12">
        <f>'End Sem'!N10</f>
        <v>70</v>
      </c>
      <c r="O9" s="12">
        <f t="shared" si="4"/>
        <v>21</v>
      </c>
      <c r="P9" s="5">
        <f t="shared" si="3"/>
        <v>72.650000000000006</v>
      </c>
      <c r="Q9" s="34"/>
      <c r="S9" s="26" t="s">
        <v>28</v>
      </c>
      <c r="T9" s="23">
        <v>24010310736</v>
      </c>
    </row>
    <row r="10" spans="1:20" ht="15.75" x14ac:dyDescent="0.25">
      <c r="A10" s="2" t="s">
        <v>29</v>
      </c>
      <c r="B10" s="12">
        <v>590014314</v>
      </c>
      <c r="C10" s="48"/>
      <c r="D10" s="12">
        <f>'Assignment 1'!AG11/10</f>
        <v>14.3</v>
      </c>
      <c r="E10" s="12">
        <f>('Quiz 1'!N11/10)*3</f>
        <v>13.200000000000001</v>
      </c>
      <c r="F10" s="12">
        <f>'Class Test 1'!O11/2</f>
        <v>19.5</v>
      </c>
      <c r="G10" s="66">
        <f>'Quiz 2'!K11*1.5/5</f>
        <v>15</v>
      </c>
      <c r="H10" s="57">
        <f>'Assignment 2'!AG11*1.5/32</f>
        <v>0</v>
      </c>
      <c r="I10" s="60">
        <f>'Class Test 2'!N11/2</f>
        <v>13</v>
      </c>
      <c r="J10" s="12">
        <f t="shared" si="0"/>
        <v>75</v>
      </c>
      <c r="K10" s="12">
        <f t="shared" si="1"/>
        <v>37.5</v>
      </c>
      <c r="L10" s="12">
        <f t="shared" si="2"/>
        <v>15.2</v>
      </c>
      <c r="M10" s="12">
        <f>'Mid Sem'!N11</f>
        <v>76</v>
      </c>
      <c r="N10" s="12">
        <f>'End Sem'!N11</f>
        <v>66</v>
      </c>
      <c r="O10" s="12">
        <f t="shared" si="4"/>
        <v>19.8</v>
      </c>
      <c r="P10" s="5">
        <f t="shared" si="3"/>
        <v>72.5</v>
      </c>
      <c r="Q10" s="34"/>
      <c r="S10" s="26" t="s">
        <v>30</v>
      </c>
      <c r="T10" s="23">
        <v>24010311148</v>
      </c>
    </row>
    <row r="11" spans="1:20" ht="15.75" x14ac:dyDescent="0.25">
      <c r="A11" s="2" t="s">
        <v>31</v>
      </c>
      <c r="B11" s="12">
        <v>590016280</v>
      </c>
      <c r="C11" s="48"/>
      <c r="D11" s="12">
        <f>'Assignment 1'!AG12/10</f>
        <v>0</v>
      </c>
      <c r="E11" s="12">
        <f>('Quiz 1'!N12/10)*3</f>
        <v>10.5</v>
      </c>
      <c r="F11" s="12">
        <f>'Class Test 1'!O12/2</f>
        <v>0</v>
      </c>
      <c r="G11" s="66">
        <f>'Quiz 2'!K12*1.5/5</f>
        <v>15</v>
      </c>
      <c r="H11" s="57">
        <f>'Assignment 2'!AG12*1.5/32</f>
        <v>15</v>
      </c>
      <c r="I11" s="60">
        <f>'Class Test 2'!N12/2</f>
        <v>16</v>
      </c>
      <c r="J11" s="12">
        <f t="shared" si="0"/>
        <v>56.5</v>
      </c>
      <c r="K11" s="12">
        <f t="shared" si="1"/>
        <v>28.25</v>
      </c>
      <c r="L11" s="12">
        <f t="shared" si="2"/>
        <v>7</v>
      </c>
      <c r="M11" s="12">
        <f>'Mid Sem'!N12</f>
        <v>35</v>
      </c>
      <c r="N11" s="12">
        <f>'End Sem'!N12</f>
        <v>71</v>
      </c>
      <c r="O11" s="12">
        <f t="shared" si="4"/>
        <v>21.3</v>
      </c>
      <c r="P11" s="5">
        <f t="shared" si="3"/>
        <v>56.55</v>
      </c>
      <c r="Q11" s="34"/>
      <c r="S11" s="26" t="s">
        <v>32</v>
      </c>
      <c r="T11" s="23">
        <v>24010310672</v>
      </c>
    </row>
    <row r="12" spans="1:20" ht="15.75" x14ac:dyDescent="0.25">
      <c r="A12" s="2" t="s">
        <v>33</v>
      </c>
      <c r="B12" s="12">
        <v>590017181</v>
      </c>
      <c r="C12" s="48"/>
      <c r="D12" s="12">
        <f>'Assignment 1'!AG13/10</f>
        <v>14.7</v>
      </c>
      <c r="E12" s="12">
        <f>('Quiz 1'!N13/10)*3</f>
        <v>10.5</v>
      </c>
      <c r="F12" s="12">
        <f>'Class Test 1'!O13/2</f>
        <v>0</v>
      </c>
      <c r="G12" s="66">
        <f>'Quiz 2'!K13*1.5/5</f>
        <v>14.1</v>
      </c>
      <c r="H12" s="57">
        <f>'Assignment 2'!AG13*1.5/32</f>
        <v>0</v>
      </c>
      <c r="I12" s="60">
        <f>'Class Test 2'!N13/2</f>
        <v>15</v>
      </c>
      <c r="J12" s="12">
        <f t="shared" si="0"/>
        <v>54.3</v>
      </c>
      <c r="K12" s="12">
        <f t="shared" si="1"/>
        <v>27.15</v>
      </c>
      <c r="L12" s="12">
        <f t="shared" si="2"/>
        <v>6</v>
      </c>
      <c r="M12" s="12">
        <f>'Mid Sem'!N13</f>
        <v>30</v>
      </c>
      <c r="N12" s="12">
        <f>'End Sem'!N13</f>
        <v>41</v>
      </c>
      <c r="O12" s="12">
        <f t="shared" si="4"/>
        <v>12.299999999999999</v>
      </c>
      <c r="P12" s="5">
        <f t="shared" si="3"/>
        <v>45.449999999999996</v>
      </c>
      <c r="Q12" s="34"/>
      <c r="S12" s="26" t="s">
        <v>34</v>
      </c>
      <c r="T12" s="23">
        <v>24010310947</v>
      </c>
    </row>
    <row r="13" spans="1:20" ht="15.75" x14ac:dyDescent="0.25">
      <c r="A13" s="2" t="s">
        <v>35</v>
      </c>
      <c r="B13" s="12">
        <v>590017658</v>
      </c>
      <c r="C13" s="48"/>
      <c r="D13" s="12">
        <f>'Assignment 1'!AG14/10</f>
        <v>13.7</v>
      </c>
      <c r="E13" s="12">
        <f>('Quiz 1'!N14/10)*3</f>
        <v>13.799999999999999</v>
      </c>
      <c r="F13" s="12">
        <f>'Class Test 1'!O14/2</f>
        <v>9</v>
      </c>
      <c r="G13" s="66">
        <f>'Quiz 2'!K14*1.5/5</f>
        <v>15</v>
      </c>
      <c r="H13" s="57">
        <f>'Assignment 2'!AG14*1.5/32</f>
        <v>14.625</v>
      </c>
      <c r="I13" s="60">
        <f>'Class Test 2'!N14/2</f>
        <v>15.5</v>
      </c>
      <c r="J13" s="12">
        <f t="shared" si="0"/>
        <v>81.625</v>
      </c>
      <c r="K13" s="12">
        <f t="shared" si="1"/>
        <v>40.8125</v>
      </c>
      <c r="L13" s="12">
        <f t="shared" si="2"/>
        <v>9.4</v>
      </c>
      <c r="M13" s="12">
        <f>'Mid Sem'!N14</f>
        <v>47</v>
      </c>
      <c r="N13" s="12">
        <f>'End Sem'!N14</f>
        <v>64</v>
      </c>
      <c r="O13" s="12">
        <f t="shared" si="4"/>
        <v>19.2</v>
      </c>
      <c r="P13" s="5">
        <f t="shared" si="3"/>
        <v>69.412499999999994</v>
      </c>
      <c r="Q13" s="34"/>
      <c r="S13" s="26" t="s">
        <v>36</v>
      </c>
      <c r="T13" s="23">
        <v>182400660</v>
      </c>
    </row>
    <row r="14" spans="1:20" ht="15.75" x14ac:dyDescent="0.25">
      <c r="A14" s="2" t="s">
        <v>37</v>
      </c>
      <c r="B14" s="12">
        <v>590017776</v>
      </c>
      <c r="C14" s="48"/>
      <c r="D14" s="12">
        <f>'Assignment 1'!AG15/10</f>
        <v>14.9</v>
      </c>
      <c r="E14" s="12">
        <f>('Quiz 1'!N15/10)*3</f>
        <v>14.700000000000001</v>
      </c>
      <c r="F14" s="12">
        <f>'Class Test 1'!O15/2</f>
        <v>17.75</v>
      </c>
      <c r="G14" s="66">
        <f>'Quiz 2'!K15*1.5/5</f>
        <v>14.7</v>
      </c>
      <c r="H14" s="57">
        <f>'Assignment 2'!AG15*1.5/32</f>
        <v>14.71875</v>
      </c>
      <c r="I14" s="60">
        <f>'Class Test 2'!N15/2</f>
        <v>20</v>
      </c>
      <c r="J14" s="12">
        <f t="shared" si="0"/>
        <v>96.768749999999997</v>
      </c>
      <c r="K14" s="12">
        <f t="shared" si="1"/>
        <v>48.384374999999999</v>
      </c>
      <c r="L14" s="12">
        <f t="shared" si="2"/>
        <v>18.399999999999999</v>
      </c>
      <c r="M14" s="12">
        <f>'Mid Sem'!N15</f>
        <v>92</v>
      </c>
      <c r="N14" s="12">
        <f>'End Sem'!N15</f>
        <v>66</v>
      </c>
      <c r="O14" s="12">
        <f t="shared" si="4"/>
        <v>19.8</v>
      </c>
      <c r="P14" s="5">
        <f t="shared" si="3"/>
        <v>86.584374999999994</v>
      </c>
      <c r="Q14" s="34"/>
      <c r="S14" s="26" t="s">
        <v>38</v>
      </c>
      <c r="T14" s="23">
        <v>182400665</v>
      </c>
    </row>
    <row r="15" spans="1:20" ht="15.75" x14ac:dyDescent="0.25">
      <c r="A15" s="2" t="s">
        <v>39</v>
      </c>
      <c r="B15" s="12">
        <v>590018198</v>
      </c>
      <c r="C15" s="48"/>
      <c r="D15" s="12">
        <f>'Assignment 1'!AG16/10</f>
        <v>14.8</v>
      </c>
      <c r="E15" s="12">
        <f>('Quiz 1'!N16/10)*3</f>
        <v>13.200000000000001</v>
      </c>
      <c r="F15" s="12">
        <f>'Class Test 1'!O16/2</f>
        <v>20</v>
      </c>
      <c r="G15" s="66">
        <f>'Quiz 2'!K16*1.5/5</f>
        <v>15</v>
      </c>
      <c r="H15" s="57">
        <f>'Assignment 2'!AG16*1.5/32</f>
        <v>14.71875</v>
      </c>
      <c r="I15" s="60">
        <f>'Class Test 2'!N16/2</f>
        <v>19</v>
      </c>
      <c r="J15" s="12">
        <f t="shared" si="0"/>
        <v>96.71875</v>
      </c>
      <c r="K15" s="12">
        <f t="shared" si="1"/>
        <v>48.359375</v>
      </c>
      <c r="L15" s="12">
        <f t="shared" si="2"/>
        <v>17.2</v>
      </c>
      <c r="M15" s="12">
        <f>'Mid Sem'!N16</f>
        <v>86</v>
      </c>
      <c r="N15" s="12">
        <f>'End Sem'!N16</f>
        <v>88</v>
      </c>
      <c r="O15" s="12">
        <f t="shared" si="4"/>
        <v>26.4</v>
      </c>
      <c r="P15" s="5">
        <f t="shared" si="3"/>
        <v>91.959374999999994</v>
      </c>
      <c r="Q15" s="34"/>
      <c r="S15" s="26" t="s">
        <v>40</v>
      </c>
      <c r="T15" s="23">
        <v>182400712</v>
      </c>
    </row>
    <row r="16" spans="1:20" ht="15.75" x14ac:dyDescent="0.25">
      <c r="A16" s="2" t="s">
        <v>41</v>
      </c>
      <c r="B16" s="12">
        <v>590018519</v>
      </c>
      <c r="C16" s="48"/>
      <c r="D16" s="12">
        <f>'Assignment 1'!AG17/10</f>
        <v>13.9</v>
      </c>
      <c r="E16" s="12">
        <f>('Quiz 1'!N17/10)*3</f>
        <v>14.100000000000001</v>
      </c>
      <c r="F16" s="12">
        <f>'Class Test 1'!O17/2</f>
        <v>12</v>
      </c>
      <c r="G16" s="66">
        <f>'Quiz 2'!K17*1.5/5</f>
        <v>14.1</v>
      </c>
      <c r="H16" s="57">
        <f>'Assignment 2'!AG17*1.5/32</f>
        <v>15</v>
      </c>
      <c r="I16" s="60">
        <f>'Class Test 2'!N17/2</f>
        <v>16.5</v>
      </c>
      <c r="J16" s="12">
        <f t="shared" si="0"/>
        <v>85.6</v>
      </c>
      <c r="K16" s="12">
        <f t="shared" si="1"/>
        <v>42.8</v>
      </c>
      <c r="L16" s="12">
        <f t="shared" si="2"/>
        <v>6.4</v>
      </c>
      <c r="M16" s="12">
        <f>'Mid Sem'!N17</f>
        <v>32</v>
      </c>
      <c r="N16" s="12">
        <f>'End Sem'!N17</f>
        <v>42</v>
      </c>
      <c r="O16" s="12">
        <f t="shared" si="4"/>
        <v>12.6</v>
      </c>
      <c r="P16" s="5">
        <f t="shared" si="3"/>
        <v>61.8</v>
      </c>
      <c r="Q16" s="34"/>
      <c r="S16" s="26" t="s">
        <v>42</v>
      </c>
      <c r="T16" s="23">
        <v>24010311320</v>
      </c>
    </row>
    <row r="17" spans="1:21" ht="15.75" x14ac:dyDescent="0.25">
      <c r="A17" s="35"/>
      <c r="B17" s="36"/>
      <c r="C17" s="37"/>
      <c r="D17" s="38"/>
      <c r="E17" s="38"/>
      <c r="F17" s="38"/>
      <c r="G17" s="38"/>
      <c r="H17" s="38"/>
      <c r="I17" s="38"/>
      <c r="J17" s="39"/>
      <c r="K17" s="40"/>
      <c r="L17" s="40"/>
      <c r="M17" s="41"/>
      <c r="N17" s="41"/>
      <c r="O17" s="40"/>
      <c r="P17" s="42"/>
      <c r="Q17" s="43"/>
      <c r="U17" t="str">
        <f t="shared" ref="U17" si="5">LOWER(S17)</f>
        <v/>
      </c>
    </row>
    <row r="18" spans="1:21" ht="15.75" x14ac:dyDescent="0.25">
      <c r="A18" s="29"/>
      <c r="C18" s="24"/>
      <c r="D18" s="25"/>
      <c r="E18" s="25"/>
      <c r="F18" s="25"/>
      <c r="G18" s="25"/>
      <c r="H18" s="25"/>
      <c r="I18" s="25"/>
      <c r="J18" s="31"/>
      <c r="K18" s="28"/>
      <c r="L18" s="28"/>
      <c r="M18" s="17"/>
      <c r="N18" s="17"/>
      <c r="O18" s="28"/>
      <c r="P18" s="7"/>
    </row>
    <row r="19" spans="1:21" ht="15.75" x14ac:dyDescent="0.25">
      <c r="A19" s="29"/>
      <c r="B19" s="30"/>
      <c r="C19" s="24"/>
      <c r="D19" s="25"/>
      <c r="E19" s="25"/>
      <c r="F19" s="25"/>
      <c r="G19" s="25"/>
      <c r="H19" s="25"/>
      <c r="I19" s="25"/>
      <c r="J19" s="31"/>
      <c r="K19" s="28"/>
      <c r="L19" s="28"/>
      <c r="M19" s="17"/>
      <c r="N19" s="17"/>
      <c r="O19" s="28"/>
      <c r="P19" s="7"/>
    </row>
    <row r="20" spans="1:21" x14ac:dyDescent="0.25">
      <c r="A20" s="29"/>
      <c r="B20" s="30"/>
      <c r="C20" t="s">
        <v>43</v>
      </c>
      <c r="D20">
        <f>MAX(D5:D16)</f>
        <v>14.9</v>
      </c>
      <c r="E20">
        <f t="shared" ref="E20:Q20" si="6">MAX(E5:E16)</f>
        <v>14.700000000000001</v>
      </c>
      <c r="F20">
        <f t="shared" si="6"/>
        <v>20</v>
      </c>
      <c r="G20">
        <f t="shared" si="6"/>
        <v>15</v>
      </c>
      <c r="H20">
        <f t="shared" si="6"/>
        <v>15</v>
      </c>
      <c r="I20">
        <f t="shared" si="6"/>
        <v>20</v>
      </c>
      <c r="J20">
        <f t="shared" si="6"/>
        <v>97.8</v>
      </c>
      <c r="K20">
        <f t="shared" si="6"/>
        <v>48.9</v>
      </c>
      <c r="L20">
        <f t="shared" si="6"/>
        <v>18.399999999999999</v>
      </c>
      <c r="M20">
        <f t="shared" si="6"/>
        <v>92</v>
      </c>
      <c r="N20">
        <f t="shared" si="6"/>
        <v>94</v>
      </c>
      <c r="O20">
        <f t="shared" si="6"/>
        <v>28.2</v>
      </c>
      <c r="P20">
        <f t="shared" si="6"/>
        <v>95.5</v>
      </c>
    </row>
    <row r="21" spans="1:21" x14ac:dyDescent="0.25">
      <c r="C21" t="s">
        <v>44</v>
      </c>
      <c r="D21">
        <f>_xlfn.MINIFS(D5:D16,D5:D16, "&gt;0")</f>
        <v>13.7</v>
      </c>
      <c r="E21">
        <f t="shared" ref="E21:Q21" si="7">_xlfn.MINIFS(E5:E16,E5:E16, "&gt;0")</f>
        <v>6</v>
      </c>
      <c r="F21">
        <f t="shared" si="7"/>
        <v>9</v>
      </c>
      <c r="G21">
        <f t="shared" si="7"/>
        <v>6</v>
      </c>
      <c r="H21">
        <f t="shared" si="7"/>
        <v>14.625</v>
      </c>
      <c r="I21">
        <f t="shared" si="7"/>
        <v>13</v>
      </c>
      <c r="J21">
        <f t="shared" si="7"/>
        <v>54.3</v>
      </c>
      <c r="K21">
        <f t="shared" si="7"/>
        <v>27.15</v>
      </c>
      <c r="L21">
        <f t="shared" si="7"/>
        <v>6</v>
      </c>
      <c r="M21">
        <f t="shared" si="7"/>
        <v>30</v>
      </c>
      <c r="N21">
        <f t="shared" si="7"/>
        <v>30</v>
      </c>
      <c r="O21">
        <f t="shared" si="7"/>
        <v>9</v>
      </c>
      <c r="P21">
        <f t="shared" si="7"/>
        <v>43.324999999999996</v>
      </c>
    </row>
    <row r="22" spans="1:21" x14ac:dyDescent="0.25">
      <c r="C22" t="s">
        <v>45</v>
      </c>
      <c r="D22">
        <f>MEDIAN(D5:D16)</f>
        <v>14.5</v>
      </c>
      <c r="E22">
        <f t="shared" ref="E22:Q22" si="8">MEDIAN(E5:E16)</f>
        <v>13.200000000000001</v>
      </c>
      <c r="F22">
        <f t="shared" si="8"/>
        <v>16</v>
      </c>
      <c r="G22">
        <f t="shared" si="8"/>
        <v>14.7</v>
      </c>
      <c r="H22">
        <f t="shared" si="8"/>
        <v>14.9765625</v>
      </c>
      <c r="I22">
        <f t="shared" si="8"/>
        <v>16.375</v>
      </c>
      <c r="J22">
        <f t="shared" si="8"/>
        <v>82.262500000000003</v>
      </c>
      <c r="K22">
        <f t="shared" si="8"/>
        <v>41.131250000000001</v>
      </c>
      <c r="L22">
        <f t="shared" si="8"/>
        <v>8.9</v>
      </c>
      <c r="M22">
        <f t="shared" si="8"/>
        <v>44.5</v>
      </c>
      <c r="N22">
        <f t="shared" si="8"/>
        <v>65</v>
      </c>
      <c r="O22">
        <f t="shared" si="8"/>
        <v>19.5</v>
      </c>
      <c r="P22">
        <f t="shared" si="8"/>
        <v>67.28125</v>
      </c>
    </row>
    <row r="23" spans="1:21" x14ac:dyDescent="0.25">
      <c r="B23"/>
      <c r="H23" s="13"/>
      <c r="J23" s="17"/>
      <c r="L23"/>
    </row>
    <row r="24" spans="1:21" x14ac:dyDescent="0.25">
      <c r="B24"/>
      <c r="C24" s="13"/>
      <c r="F24" s="17"/>
      <c r="G24" s="17"/>
      <c r="J24"/>
      <c r="L24"/>
      <c r="Q24" s="23"/>
      <c r="T24"/>
    </row>
    <row r="25" spans="1:21" x14ac:dyDescent="0.25">
      <c r="B25"/>
      <c r="C25" s="13"/>
      <c r="F25" s="17"/>
      <c r="G25" s="17"/>
      <c r="J25"/>
      <c r="L25"/>
      <c r="Q25" s="23"/>
      <c r="T25"/>
    </row>
    <row r="26" spans="1:21" x14ac:dyDescent="0.25">
      <c r="B26"/>
      <c r="C26" s="13"/>
      <c r="F26" s="17"/>
      <c r="G26" s="17"/>
      <c r="J26"/>
      <c r="L26"/>
      <c r="Q26" s="23"/>
      <c r="T26"/>
    </row>
    <row r="27" spans="1:21" x14ac:dyDescent="0.25">
      <c r="B27"/>
      <c r="C27" s="13"/>
      <c r="F27" s="17"/>
      <c r="G27" s="17"/>
      <c r="J27"/>
      <c r="L27"/>
      <c r="Q27" s="23"/>
      <c r="T27"/>
    </row>
    <row r="28" spans="1:21" x14ac:dyDescent="0.25">
      <c r="B28"/>
      <c r="C28" s="13"/>
      <c r="F28" s="17"/>
      <c r="G28" s="17"/>
      <c r="J28"/>
      <c r="L28"/>
      <c r="Q28" s="23"/>
      <c r="T28"/>
    </row>
    <row r="29" spans="1:21" x14ac:dyDescent="0.25">
      <c r="B29"/>
      <c r="C29" s="13"/>
      <c r="F29" s="17"/>
      <c r="G29" s="17"/>
      <c r="J29"/>
      <c r="L29"/>
      <c r="Q29" s="23"/>
      <c r="T29"/>
    </row>
    <row r="30" spans="1:21" x14ac:dyDescent="0.25">
      <c r="B30"/>
      <c r="C30" s="13"/>
      <c r="F30" s="17"/>
      <c r="G30" s="17"/>
      <c r="J30"/>
      <c r="L30"/>
      <c r="Q30" s="23"/>
      <c r="T30"/>
    </row>
    <row r="31" spans="1:21" x14ac:dyDescent="0.25">
      <c r="B31"/>
      <c r="C31" s="13"/>
      <c r="F31" s="17"/>
      <c r="G31" s="17"/>
      <c r="J31"/>
      <c r="L31"/>
      <c r="Q31" s="23"/>
      <c r="T31"/>
    </row>
    <row r="32" spans="1:21" x14ac:dyDescent="0.25">
      <c r="B32"/>
      <c r="C32" s="13"/>
      <c r="F32" s="17"/>
      <c r="G32" s="17"/>
      <c r="J32"/>
      <c r="L32"/>
      <c r="Q32" s="23"/>
      <c r="T32"/>
    </row>
    <row r="33" spans="2:20" x14ac:dyDescent="0.25">
      <c r="B33"/>
      <c r="C33" s="13"/>
      <c r="F33" s="17"/>
      <c r="G33" s="17"/>
      <c r="J33"/>
      <c r="L33"/>
      <c r="Q33" s="23"/>
      <c r="T33"/>
    </row>
    <row r="34" spans="2:20" x14ac:dyDescent="0.25">
      <c r="B34"/>
      <c r="C34" s="13"/>
      <c r="F34" s="17"/>
      <c r="G34" s="17"/>
      <c r="J34"/>
      <c r="L34"/>
      <c r="Q34" s="23"/>
      <c r="T34"/>
    </row>
    <row r="35" spans="2:20" x14ac:dyDescent="0.25">
      <c r="B35"/>
      <c r="C35" s="13"/>
      <c r="F35" s="17"/>
      <c r="G35" s="17"/>
      <c r="J35"/>
      <c r="L35"/>
      <c r="Q35" s="23"/>
      <c r="T35"/>
    </row>
    <row r="36" spans="2:20" x14ac:dyDescent="0.25">
      <c r="B36"/>
      <c r="C36" s="13"/>
      <c r="F36" s="17"/>
      <c r="G36" s="17"/>
      <c r="J36"/>
      <c r="L36"/>
      <c r="Q36" s="23"/>
      <c r="T36"/>
    </row>
    <row r="37" spans="2:20" x14ac:dyDescent="0.25">
      <c r="B37"/>
      <c r="C37" s="13"/>
      <c r="F37" s="17"/>
      <c r="G37" s="17"/>
      <c r="J37"/>
      <c r="L37"/>
      <c r="Q37" s="23"/>
      <c r="T37"/>
    </row>
  </sheetData>
  <mergeCells count="2">
    <mergeCell ref="A1:Q1"/>
    <mergeCell ref="A2:Q2"/>
  </mergeCells>
  <conditionalFormatting sqref="P17:P19">
    <cfRule type="colorScale" priority="2">
      <colorScale>
        <cfvo type="num" val="34"/>
        <cfvo type="num" val="35"/>
        <color rgb="FFFF7128"/>
        <color rgb="FF92D050"/>
      </colorScale>
    </cfRule>
  </conditionalFormatting>
  <conditionalFormatting sqref="P5:P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/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A3AF-2289-4EB8-9907-58DA32095A7D}">
  <dimension ref="A1:W21"/>
  <sheetViews>
    <sheetView topLeftCell="A6" workbookViewId="0">
      <selection activeCell="B22" sqref="B22"/>
    </sheetView>
  </sheetViews>
  <sheetFormatPr defaultRowHeight="15" x14ac:dyDescent="0.25"/>
  <cols>
    <col min="1" max="1" width="10.140625" bestFit="1" customWidth="1"/>
    <col min="2" max="2" width="24.28515625" bestFit="1" customWidth="1"/>
    <col min="3" max="13" width="4.5703125" bestFit="1" customWidth="1"/>
    <col min="14" max="14" width="5.42578125" bestFit="1" customWidth="1"/>
    <col min="15" max="15" width="4.7109375" bestFit="1" customWidth="1"/>
  </cols>
  <sheetData>
    <row r="1" spans="1:23" ht="24.75" x14ac:dyDescent="0.4">
      <c r="A1" s="64" t="s">
        <v>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23" ht="24.75" x14ac:dyDescent="0.4">
      <c r="A2" s="64" t="str">
        <f>Marksheet!A2</f>
        <v xml:space="preserve">Computatioal Astrophysics (PHYS 8202) 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23" x14ac:dyDescent="0.25">
      <c r="A3" s="2"/>
      <c r="B3" s="2"/>
      <c r="C3" s="3" t="s">
        <v>46</v>
      </c>
      <c r="D3" s="3" t="s">
        <v>47</v>
      </c>
      <c r="E3" s="3" t="s">
        <v>48</v>
      </c>
      <c r="F3" s="3" t="s">
        <v>49</v>
      </c>
      <c r="G3" s="3"/>
      <c r="H3" s="3"/>
      <c r="I3" s="3"/>
      <c r="J3" s="3"/>
      <c r="K3" s="3"/>
      <c r="L3" s="3"/>
      <c r="M3" s="3"/>
      <c r="N3" s="2"/>
      <c r="O3" s="2"/>
    </row>
    <row r="4" spans="1:23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/>
      <c r="H4" s="4"/>
      <c r="I4" s="4"/>
      <c r="J4" s="4"/>
      <c r="K4" s="4"/>
      <c r="L4" s="4"/>
      <c r="M4" s="4"/>
      <c r="N4" s="4" t="s">
        <v>14</v>
      </c>
      <c r="O4" s="4" t="s">
        <v>15</v>
      </c>
      <c r="S4" s="3" t="s">
        <v>46</v>
      </c>
      <c r="T4" s="3" t="s">
        <v>47</v>
      </c>
      <c r="U4" s="3" t="s">
        <v>48</v>
      </c>
      <c r="V4" s="3" t="s">
        <v>49</v>
      </c>
      <c r="W4" s="4" t="s">
        <v>14</v>
      </c>
    </row>
    <row r="5" spans="1:23" x14ac:dyDescent="0.25">
      <c r="A5" s="6"/>
      <c r="B5" s="6" t="s">
        <v>18</v>
      </c>
      <c r="C5" s="6">
        <v>10</v>
      </c>
      <c r="D5" s="6">
        <v>10</v>
      </c>
      <c r="E5" s="6">
        <v>15</v>
      </c>
      <c r="F5" s="6">
        <v>15</v>
      </c>
      <c r="G5" s="6"/>
      <c r="H5" s="6"/>
      <c r="I5" s="6"/>
      <c r="J5" s="6"/>
      <c r="K5" s="6"/>
      <c r="L5" s="6"/>
      <c r="M5" s="6"/>
      <c r="N5" s="6">
        <f>SUM(C5:F5)</f>
        <v>50</v>
      </c>
      <c r="O5" s="6"/>
      <c r="S5" s="6">
        <f>C5</f>
        <v>10</v>
      </c>
      <c r="T5" s="6">
        <f>D5</f>
        <v>10</v>
      </c>
      <c r="U5" s="6">
        <f>E5</f>
        <v>15</v>
      </c>
      <c r="V5" s="6">
        <f>F5</f>
        <v>15</v>
      </c>
      <c r="W5">
        <f>SUM(S5:V5)</f>
        <v>50</v>
      </c>
    </row>
    <row r="6" spans="1:23" x14ac:dyDescent="0.25">
      <c r="A6" s="5">
        <f>'Mid Sem'!B6</f>
        <v>590010833</v>
      </c>
      <c r="B6" s="5" t="str">
        <f>'Mid Sem'!A6</f>
        <v>Vansh Sharma</v>
      </c>
      <c r="C6" s="2">
        <v>10</v>
      </c>
      <c r="D6" s="2">
        <v>10</v>
      </c>
      <c r="E6" s="2">
        <v>6</v>
      </c>
      <c r="F6" s="2">
        <v>14</v>
      </c>
      <c r="G6" s="2"/>
      <c r="H6" s="2"/>
      <c r="I6" s="2"/>
      <c r="J6" s="2"/>
      <c r="K6" s="2"/>
      <c r="L6" s="2"/>
      <c r="M6" s="2"/>
      <c r="N6" s="6">
        <f t="shared" ref="N6:N17" si="0">SUM(C6:F6)</f>
        <v>40</v>
      </c>
      <c r="O6" s="2"/>
      <c r="S6" s="6">
        <f t="shared" ref="S6:S18" si="1">C6</f>
        <v>10</v>
      </c>
      <c r="T6" s="6">
        <f t="shared" ref="T6:T18" si="2">D6</f>
        <v>10</v>
      </c>
      <c r="U6" s="6">
        <f t="shared" ref="U6:U18" si="3">E6</f>
        <v>6</v>
      </c>
      <c r="V6" s="6">
        <f t="shared" ref="V6:V18" si="4">F6</f>
        <v>14</v>
      </c>
      <c r="W6">
        <f t="shared" ref="W6:W18" si="5">SUM(S6:V6)</f>
        <v>40</v>
      </c>
    </row>
    <row r="7" spans="1:23" x14ac:dyDescent="0.25">
      <c r="A7" s="5">
        <f>'Mid Sem'!B7</f>
        <v>590010853</v>
      </c>
      <c r="B7" s="5" t="str">
        <f>'Mid Sem'!A7</f>
        <v>Mokshika Saini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6">
        <f t="shared" si="0"/>
        <v>0</v>
      </c>
      <c r="O7" s="2"/>
      <c r="S7" s="6">
        <f t="shared" si="1"/>
        <v>0</v>
      </c>
      <c r="T7" s="6">
        <f t="shared" si="2"/>
        <v>0</v>
      </c>
      <c r="U7" s="6">
        <f t="shared" si="3"/>
        <v>0</v>
      </c>
      <c r="V7" s="6">
        <f t="shared" si="4"/>
        <v>0</v>
      </c>
      <c r="W7">
        <f t="shared" si="5"/>
        <v>0</v>
      </c>
    </row>
    <row r="8" spans="1:23" x14ac:dyDescent="0.25">
      <c r="A8" s="5">
        <f>'Mid Sem'!B8</f>
        <v>590011314</v>
      </c>
      <c r="B8" s="5" t="str">
        <f>'Mid Sem'!A8</f>
        <v>Sakshi Sheshrao Charde</v>
      </c>
      <c r="C8" s="2">
        <v>10</v>
      </c>
      <c r="D8" s="2">
        <v>10</v>
      </c>
      <c r="E8" s="2">
        <v>12</v>
      </c>
      <c r="F8" s="2">
        <v>15</v>
      </c>
      <c r="G8" s="2"/>
      <c r="H8" s="2"/>
      <c r="I8" s="2"/>
      <c r="J8" s="2"/>
      <c r="K8" s="2"/>
      <c r="L8" s="2"/>
      <c r="M8" s="2"/>
      <c r="N8" s="6">
        <f t="shared" si="0"/>
        <v>47</v>
      </c>
      <c r="O8" s="2"/>
      <c r="S8" s="6">
        <f t="shared" si="1"/>
        <v>10</v>
      </c>
      <c r="T8" s="6">
        <f t="shared" si="2"/>
        <v>10</v>
      </c>
      <c r="U8" s="6">
        <f t="shared" si="3"/>
        <v>12</v>
      </c>
      <c r="V8" s="6">
        <f t="shared" si="4"/>
        <v>15</v>
      </c>
      <c r="W8">
        <f t="shared" si="5"/>
        <v>47</v>
      </c>
    </row>
    <row r="9" spans="1:23" x14ac:dyDescent="0.25">
      <c r="A9" s="5">
        <f>'Mid Sem'!B9</f>
        <v>590011462</v>
      </c>
      <c r="B9" s="5" t="str">
        <f>'Mid Sem'!A9</f>
        <v>Akash Vinodshirke</v>
      </c>
      <c r="C9" s="2">
        <v>10</v>
      </c>
      <c r="D9" s="2">
        <v>10</v>
      </c>
      <c r="E9" s="2">
        <v>15</v>
      </c>
      <c r="F9" s="2">
        <v>14</v>
      </c>
      <c r="G9" s="2"/>
      <c r="H9" s="2"/>
      <c r="I9" s="2"/>
      <c r="J9" s="2"/>
      <c r="K9" s="2"/>
      <c r="L9" s="2"/>
      <c r="M9" s="2"/>
      <c r="N9" s="6">
        <f t="shared" si="0"/>
        <v>49</v>
      </c>
      <c r="O9" s="2"/>
      <c r="S9" s="6">
        <f t="shared" si="1"/>
        <v>10</v>
      </c>
      <c r="T9" s="6">
        <f t="shared" si="2"/>
        <v>10</v>
      </c>
      <c r="U9" s="6">
        <f t="shared" si="3"/>
        <v>15</v>
      </c>
      <c r="V9" s="6">
        <f t="shared" si="4"/>
        <v>14</v>
      </c>
      <c r="W9">
        <f t="shared" si="5"/>
        <v>49</v>
      </c>
    </row>
    <row r="10" spans="1:23" x14ac:dyDescent="0.25">
      <c r="A10" s="5">
        <f>'Mid Sem'!B10</f>
        <v>590013559</v>
      </c>
      <c r="B10" s="5" t="str">
        <f>'Mid Sem'!A10</f>
        <v>Deevija Garg</v>
      </c>
      <c r="C10" s="2">
        <v>4</v>
      </c>
      <c r="D10" s="2">
        <v>5</v>
      </c>
      <c r="E10" s="2">
        <v>6</v>
      </c>
      <c r="F10" s="2">
        <v>5</v>
      </c>
      <c r="G10" s="2"/>
      <c r="H10" s="2"/>
      <c r="I10" s="2"/>
      <c r="J10" s="2"/>
      <c r="K10" s="2"/>
      <c r="L10" s="2"/>
      <c r="M10" s="2"/>
      <c r="N10" s="6">
        <f t="shared" si="0"/>
        <v>20</v>
      </c>
      <c r="O10" s="2"/>
      <c r="S10" s="6">
        <f t="shared" si="1"/>
        <v>4</v>
      </c>
      <c r="T10" s="6">
        <f t="shared" si="2"/>
        <v>5</v>
      </c>
      <c r="U10" s="6">
        <f t="shared" si="3"/>
        <v>6</v>
      </c>
      <c r="V10" s="6">
        <f t="shared" si="4"/>
        <v>5</v>
      </c>
      <c r="W10">
        <f t="shared" si="5"/>
        <v>20</v>
      </c>
    </row>
    <row r="11" spans="1:23" x14ac:dyDescent="0.25">
      <c r="A11" s="5">
        <f>'Mid Sem'!B11</f>
        <v>590014314</v>
      </c>
      <c r="B11" s="5" t="str">
        <f>'Mid Sem'!A11</f>
        <v>Chandni Negi</v>
      </c>
      <c r="C11" s="2">
        <v>10</v>
      </c>
      <c r="D11" s="2">
        <v>10</v>
      </c>
      <c r="E11" s="2">
        <v>11</v>
      </c>
      <c r="F11" s="2">
        <v>13</v>
      </c>
      <c r="G11" s="2"/>
      <c r="H11" s="2"/>
      <c r="I11" s="2"/>
      <c r="J11" s="2"/>
      <c r="K11" s="2"/>
      <c r="L11" s="2"/>
      <c r="M11" s="2"/>
      <c r="N11" s="6">
        <f t="shared" si="0"/>
        <v>44</v>
      </c>
      <c r="O11" s="2"/>
      <c r="S11" s="6">
        <f t="shared" si="1"/>
        <v>10</v>
      </c>
      <c r="T11" s="6">
        <f t="shared" si="2"/>
        <v>10</v>
      </c>
      <c r="U11" s="6">
        <f t="shared" si="3"/>
        <v>11</v>
      </c>
      <c r="V11" s="6">
        <f t="shared" si="4"/>
        <v>13</v>
      </c>
      <c r="W11">
        <f t="shared" si="5"/>
        <v>44</v>
      </c>
    </row>
    <row r="12" spans="1:23" x14ac:dyDescent="0.25">
      <c r="A12" s="5">
        <f>'Mid Sem'!B12</f>
        <v>590016280</v>
      </c>
      <c r="B12" s="5" t="str">
        <f>'Mid Sem'!A12</f>
        <v>Divya Krishna</v>
      </c>
      <c r="C12" s="2">
        <v>10</v>
      </c>
      <c r="D12" s="2">
        <v>10</v>
      </c>
      <c r="E12" s="2">
        <v>0</v>
      </c>
      <c r="F12" s="2">
        <v>15</v>
      </c>
      <c r="G12" s="2"/>
      <c r="H12" s="2"/>
      <c r="I12" s="2"/>
      <c r="J12" s="2"/>
      <c r="K12" s="2"/>
      <c r="L12" s="2"/>
      <c r="M12" s="2"/>
      <c r="N12" s="6">
        <f t="shared" si="0"/>
        <v>35</v>
      </c>
      <c r="O12" s="2"/>
      <c r="S12" s="6">
        <f t="shared" si="1"/>
        <v>10</v>
      </c>
      <c r="T12" s="6">
        <f t="shared" si="2"/>
        <v>10</v>
      </c>
      <c r="U12" s="6">
        <f t="shared" si="3"/>
        <v>0</v>
      </c>
      <c r="V12" s="6">
        <f t="shared" si="4"/>
        <v>15</v>
      </c>
      <c r="W12">
        <f t="shared" si="5"/>
        <v>35</v>
      </c>
    </row>
    <row r="13" spans="1:23" x14ac:dyDescent="0.25">
      <c r="A13" s="5">
        <f>'Mid Sem'!B13</f>
        <v>590017181</v>
      </c>
      <c r="B13" s="5" t="str">
        <f>'Mid Sem'!A13</f>
        <v>Shubhangee Shukla</v>
      </c>
      <c r="C13" s="2">
        <v>10</v>
      </c>
      <c r="D13" s="2">
        <v>10</v>
      </c>
      <c r="E13" s="2">
        <v>0</v>
      </c>
      <c r="F13" s="2">
        <v>15</v>
      </c>
      <c r="G13" s="2"/>
      <c r="H13" s="2"/>
      <c r="I13" s="2"/>
      <c r="J13" s="2"/>
      <c r="K13" s="2"/>
      <c r="L13" s="2"/>
      <c r="M13" s="2"/>
      <c r="N13" s="6">
        <f t="shared" si="0"/>
        <v>35</v>
      </c>
      <c r="O13" s="2"/>
      <c r="S13" s="6">
        <f t="shared" si="1"/>
        <v>10</v>
      </c>
      <c r="T13" s="6">
        <f t="shared" si="2"/>
        <v>10</v>
      </c>
      <c r="U13" s="6">
        <f t="shared" si="3"/>
        <v>0</v>
      </c>
      <c r="V13" s="6">
        <f t="shared" si="4"/>
        <v>15</v>
      </c>
      <c r="W13">
        <f t="shared" si="5"/>
        <v>35</v>
      </c>
    </row>
    <row r="14" spans="1:23" x14ac:dyDescent="0.25">
      <c r="A14" s="5">
        <f>'Mid Sem'!B14</f>
        <v>590017658</v>
      </c>
      <c r="B14" s="5" t="str">
        <f>'Mid Sem'!A14</f>
        <v>Heera Singh</v>
      </c>
      <c r="C14" s="2">
        <v>10</v>
      </c>
      <c r="D14" s="2">
        <v>6</v>
      </c>
      <c r="E14" s="2">
        <v>15</v>
      </c>
      <c r="F14" s="2">
        <v>15</v>
      </c>
      <c r="G14" s="2"/>
      <c r="H14" s="2"/>
      <c r="I14" s="2"/>
      <c r="J14" s="2"/>
      <c r="K14" s="2"/>
      <c r="L14" s="2"/>
      <c r="M14" s="2"/>
      <c r="N14" s="6">
        <f t="shared" si="0"/>
        <v>46</v>
      </c>
      <c r="O14" s="2"/>
      <c r="S14" s="6">
        <f t="shared" si="1"/>
        <v>10</v>
      </c>
      <c r="T14" s="6">
        <f t="shared" si="2"/>
        <v>6</v>
      </c>
      <c r="U14" s="6">
        <f t="shared" si="3"/>
        <v>15</v>
      </c>
      <c r="V14" s="6">
        <f t="shared" si="4"/>
        <v>15</v>
      </c>
      <c r="W14">
        <f t="shared" si="5"/>
        <v>46</v>
      </c>
    </row>
    <row r="15" spans="1:23" x14ac:dyDescent="0.25">
      <c r="A15" s="5">
        <f>'Mid Sem'!B15</f>
        <v>590017776</v>
      </c>
      <c r="B15" s="5" t="str">
        <f>'Mid Sem'!A15</f>
        <v>Abhineet Srivastava</v>
      </c>
      <c r="C15" s="2">
        <v>10</v>
      </c>
      <c r="D15" s="2">
        <v>10</v>
      </c>
      <c r="E15" s="2">
        <v>14</v>
      </c>
      <c r="F15" s="2">
        <v>15</v>
      </c>
      <c r="G15" s="2"/>
      <c r="H15" s="2"/>
      <c r="I15" s="2"/>
      <c r="J15" s="2"/>
      <c r="K15" s="2"/>
      <c r="L15" s="2"/>
      <c r="M15" s="2"/>
      <c r="N15" s="6">
        <f t="shared" si="0"/>
        <v>49</v>
      </c>
      <c r="O15" s="2"/>
      <c r="S15" s="6">
        <f t="shared" si="1"/>
        <v>10</v>
      </c>
      <c r="T15" s="6">
        <f t="shared" si="2"/>
        <v>10</v>
      </c>
      <c r="U15" s="6">
        <f t="shared" si="3"/>
        <v>14</v>
      </c>
      <c r="V15" s="6">
        <f t="shared" si="4"/>
        <v>15</v>
      </c>
      <c r="W15">
        <f t="shared" si="5"/>
        <v>49</v>
      </c>
    </row>
    <row r="16" spans="1:23" x14ac:dyDescent="0.25">
      <c r="A16" s="5">
        <f>'Mid Sem'!B16</f>
        <v>590018198</v>
      </c>
      <c r="B16" s="5" t="str">
        <f>'Mid Sem'!A16</f>
        <v>Tanisha Chanani</v>
      </c>
      <c r="C16" s="2">
        <v>9</v>
      </c>
      <c r="D16" s="2">
        <v>8</v>
      </c>
      <c r="E16" s="2">
        <v>13</v>
      </c>
      <c r="F16" s="2">
        <v>14</v>
      </c>
      <c r="G16" s="2"/>
      <c r="H16" s="2"/>
      <c r="I16" s="2"/>
      <c r="J16" s="2"/>
      <c r="K16" s="2"/>
      <c r="L16" s="2"/>
      <c r="M16" s="2"/>
      <c r="N16" s="6">
        <f t="shared" si="0"/>
        <v>44</v>
      </c>
      <c r="O16" s="2"/>
      <c r="S16" s="6">
        <f t="shared" si="1"/>
        <v>9</v>
      </c>
      <c r="T16" s="6">
        <f t="shared" si="2"/>
        <v>8</v>
      </c>
      <c r="U16" s="6">
        <f t="shared" si="3"/>
        <v>13</v>
      </c>
      <c r="V16" s="6">
        <f t="shared" si="4"/>
        <v>14</v>
      </c>
      <c r="W16">
        <f t="shared" si="5"/>
        <v>44</v>
      </c>
    </row>
    <row r="17" spans="1:23" x14ac:dyDescent="0.25">
      <c r="A17" s="5">
        <f>'Mid Sem'!B17</f>
        <v>590018519</v>
      </c>
      <c r="B17" s="5" t="str">
        <f>'Mid Sem'!A17</f>
        <v>Rushil Soni</v>
      </c>
      <c r="C17" s="2">
        <v>10</v>
      </c>
      <c r="D17" s="2">
        <v>10</v>
      </c>
      <c r="E17" s="2">
        <v>12</v>
      </c>
      <c r="F17" s="2">
        <v>15</v>
      </c>
      <c r="G17" s="2"/>
      <c r="H17" s="2"/>
      <c r="I17" s="2"/>
      <c r="J17" s="2"/>
      <c r="K17" s="2"/>
      <c r="L17" s="2"/>
      <c r="M17" s="2"/>
      <c r="N17" s="6">
        <f t="shared" si="0"/>
        <v>47</v>
      </c>
      <c r="O17" s="2"/>
      <c r="S17" s="6">
        <f t="shared" si="1"/>
        <v>10</v>
      </c>
      <c r="T17" s="6">
        <f t="shared" si="2"/>
        <v>10</v>
      </c>
      <c r="U17" s="6">
        <f t="shared" si="3"/>
        <v>12</v>
      </c>
      <c r="V17" s="6">
        <f t="shared" si="4"/>
        <v>15</v>
      </c>
      <c r="W17">
        <f t="shared" si="5"/>
        <v>47</v>
      </c>
    </row>
    <row r="18" spans="1:23" x14ac:dyDescent="0.25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S18" s="6">
        <f t="shared" si="1"/>
        <v>0</v>
      </c>
      <c r="T18" s="6">
        <f t="shared" si="2"/>
        <v>0</v>
      </c>
      <c r="U18" s="6">
        <f t="shared" si="3"/>
        <v>0</v>
      </c>
      <c r="V18" s="6">
        <f t="shared" si="4"/>
        <v>0</v>
      </c>
      <c r="W18">
        <f t="shared" si="5"/>
        <v>0</v>
      </c>
    </row>
    <row r="19" spans="1:23" x14ac:dyDescent="0.25">
      <c r="A19" s="5"/>
      <c r="B19" s="5" t="s">
        <v>44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23" x14ac:dyDescent="0.25">
      <c r="A20" s="5"/>
      <c r="B20" s="5" t="s">
        <v>45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23" x14ac:dyDescent="0.25">
      <c r="A21" s="5"/>
      <c r="B21" s="5" t="s">
        <v>43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2">
    <mergeCell ref="A1:O1"/>
    <mergeCell ref="A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1973-B6A3-4484-A873-9D3A8F19A41F}">
  <dimension ref="A1:S21"/>
  <sheetViews>
    <sheetView zoomScale="90" zoomScaleNormal="90" workbookViewId="0">
      <selection activeCell="G7" sqref="G7"/>
    </sheetView>
  </sheetViews>
  <sheetFormatPr defaultRowHeight="15" x14ac:dyDescent="0.25"/>
  <cols>
    <col min="1" max="1" width="19" customWidth="1"/>
    <col min="2" max="2" width="24.28515625" bestFit="1" customWidth="1"/>
    <col min="3" max="5" width="4.5703125" bestFit="1" customWidth="1"/>
    <col min="6" max="6" width="4" customWidth="1"/>
    <col min="7" max="7" width="4.5703125" bestFit="1" customWidth="1"/>
    <col min="8" max="10" width="4.5703125" customWidth="1"/>
    <col min="11" max="11" width="5.42578125" bestFit="1" customWidth="1"/>
    <col min="12" max="12" width="9.7109375" customWidth="1"/>
  </cols>
  <sheetData>
    <row r="1" spans="1:19" ht="24.75" x14ac:dyDescent="0.4">
      <c r="A1" s="64" t="s">
        <v>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9" ht="24.75" x14ac:dyDescent="0.4">
      <c r="A2" s="64" t="str">
        <f>Marksheet!A2</f>
        <v xml:space="preserve">Computatioal Astrophysics (PHYS 8202) 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9" x14ac:dyDescent="0.25">
      <c r="A3" s="2"/>
      <c r="B3" s="2"/>
      <c r="C3" s="3" t="s">
        <v>46</v>
      </c>
      <c r="D3" s="3" t="s">
        <v>48</v>
      </c>
      <c r="E3" s="3" t="s">
        <v>48</v>
      </c>
      <c r="F3" s="3" t="s">
        <v>49</v>
      </c>
      <c r="G3" s="3"/>
      <c r="H3" s="3"/>
      <c r="I3" s="3"/>
      <c r="J3" s="3"/>
      <c r="K3" s="2"/>
      <c r="L3" s="2"/>
    </row>
    <row r="4" spans="1:19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79</v>
      </c>
      <c r="I4" s="4" t="s">
        <v>80</v>
      </c>
      <c r="J4" s="4" t="s">
        <v>81</v>
      </c>
      <c r="K4" s="4" t="s">
        <v>14</v>
      </c>
      <c r="L4" s="4" t="s">
        <v>15</v>
      </c>
      <c r="O4" s="44" t="s">
        <v>46</v>
      </c>
      <c r="P4" s="44" t="s">
        <v>47</v>
      </c>
      <c r="Q4" s="44" t="s">
        <v>48</v>
      </c>
      <c r="R4" s="44" t="s">
        <v>49</v>
      </c>
      <c r="S4" s="45" t="s">
        <v>14</v>
      </c>
    </row>
    <row r="5" spans="1:19" x14ac:dyDescent="0.25">
      <c r="A5" s="6"/>
      <c r="B5" s="6" t="s">
        <v>18</v>
      </c>
      <c r="C5" s="6">
        <v>10</v>
      </c>
      <c r="D5" s="6">
        <v>10</v>
      </c>
      <c r="E5" s="6">
        <v>15</v>
      </c>
      <c r="F5" s="6">
        <v>15</v>
      </c>
      <c r="G5" s="6"/>
      <c r="H5" s="6"/>
      <c r="I5" s="6"/>
      <c r="J5" s="6"/>
      <c r="K5" s="6">
        <f>SUM(C5:J5)</f>
        <v>50</v>
      </c>
      <c r="L5" s="6"/>
      <c r="O5" s="54">
        <f t="shared" ref="O5:O17" si="0">SUMIF($C$3:$J$3, "CO1", $C5:$J5)</f>
        <v>10</v>
      </c>
      <c r="P5" s="46">
        <f t="shared" ref="P5:P17" si="1">SUMIF($C$3:$J$3, "CO2", $C5:$J5)</f>
        <v>0</v>
      </c>
      <c r="Q5" s="46">
        <f t="shared" ref="Q5:Q17" si="2">SUMIF($C$3:$J$3, "CO3", $C5:$J5)</f>
        <v>25</v>
      </c>
      <c r="R5" s="46">
        <f t="shared" ref="R5:R17" si="3">SUMIF($C$3:$J$3, "CO4", $C5:$J5)</f>
        <v>15</v>
      </c>
      <c r="S5" s="46">
        <f>SUM(O5:R5)</f>
        <v>50</v>
      </c>
    </row>
    <row r="6" spans="1:19" x14ac:dyDescent="0.25">
      <c r="A6" s="5">
        <f>'Mid Sem'!B6</f>
        <v>590010833</v>
      </c>
      <c r="B6" s="5" t="str">
        <f>'Mid Sem'!A6</f>
        <v>Vansh Sharma</v>
      </c>
      <c r="C6" s="2">
        <v>10</v>
      </c>
      <c r="D6" s="2">
        <v>10</v>
      </c>
      <c r="E6" s="2">
        <v>15</v>
      </c>
      <c r="F6" s="2">
        <v>15</v>
      </c>
      <c r="G6" s="2"/>
      <c r="H6" s="2"/>
      <c r="I6" s="2"/>
      <c r="J6" s="2"/>
      <c r="K6" s="6">
        <f t="shared" ref="K6:K18" si="4">SUM(C6:J6)</f>
        <v>50</v>
      </c>
      <c r="L6" s="2"/>
      <c r="O6" s="55">
        <f t="shared" si="0"/>
        <v>10</v>
      </c>
      <c r="P6" s="56">
        <f t="shared" si="1"/>
        <v>0</v>
      </c>
      <c r="Q6" s="56">
        <f t="shared" si="2"/>
        <v>25</v>
      </c>
      <c r="R6" s="56">
        <f t="shared" si="3"/>
        <v>15</v>
      </c>
      <c r="S6" s="46">
        <f t="shared" ref="S6:S17" si="5">SUM(O6:R6)</f>
        <v>50</v>
      </c>
    </row>
    <row r="7" spans="1:19" x14ac:dyDescent="0.25">
      <c r="A7" s="5">
        <f>'Mid Sem'!B7</f>
        <v>590010853</v>
      </c>
      <c r="B7" s="5" t="str">
        <f>'Mid Sem'!A7</f>
        <v>Mokshika Saini</v>
      </c>
      <c r="C7" s="2">
        <v>5</v>
      </c>
      <c r="D7" s="2">
        <v>5</v>
      </c>
      <c r="E7" s="2">
        <v>5</v>
      </c>
      <c r="F7" s="2">
        <v>5</v>
      </c>
      <c r="G7" s="2"/>
      <c r="H7" s="2"/>
      <c r="I7" s="2"/>
      <c r="J7" s="2"/>
      <c r="K7" s="6">
        <f t="shared" si="4"/>
        <v>20</v>
      </c>
      <c r="L7" s="2"/>
      <c r="O7" s="55">
        <f t="shared" si="0"/>
        <v>5</v>
      </c>
      <c r="P7" s="56">
        <f t="shared" si="1"/>
        <v>0</v>
      </c>
      <c r="Q7" s="56">
        <f t="shared" si="2"/>
        <v>10</v>
      </c>
      <c r="R7" s="56">
        <f t="shared" si="3"/>
        <v>5</v>
      </c>
      <c r="S7" s="46">
        <f t="shared" si="5"/>
        <v>20</v>
      </c>
    </row>
    <row r="8" spans="1:19" x14ac:dyDescent="0.25">
      <c r="A8" s="5">
        <f>'Mid Sem'!B8</f>
        <v>590011314</v>
      </c>
      <c r="B8" s="5" t="str">
        <f>'Mid Sem'!A8</f>
        <v>Sakshi Sheshrao Charde</v>
      </c>
      <c r="C8" s="2">
        <v>10</v>
      </c>
      <c r="D8" s="2">
        <v>9</v>
      </c>
      <c r="E8" s="2">
        <v>15</v>
      </c>
      <c r="F8" s="2">
        <v>15</v>
      </c>
      <c r="G8" s="2"/>
      <c r="H8" s="2"/>
      <c r="I8" s="2"/>
      <c r="J8" s="2"/>
      <c r="K8" s="6">
        <f t="shared" si="4"/>
        <v>49</v>
      </c>
      <c r="L8" s="2"/>
      <c r="O8" s="55">
        <f t="shared" si="0"/>
        <v>10</v>
      </c>
      <c r="P8" s="56">
        <f t="shared" si="1"/>
        <v>0</v>
      </c>
      <c r="Q8" s="56">
        <f t="shared" si="2"/>
        <v>24</v>
      </c>
      <c r="R8" s="56">
        <f t="shared" si="3"/>
        <v>15</v>
      </c>
      <c r="S8" s="46">
        <f t="shared" si="5"/>
        <v>49</v>
      </c>
    </row>
    <row r="9" spans="1:19" x14ac:dyDescent="0.25">
      <c r="A9" s="5">
        <f>'Mid Sem'!B9</f>
        <v>590011462</v>
      </c>
      <c r="B9" s="5" t="str">
        <f>'Mid Sem'!A9</f>
        <v>Akash Vinodshirke</v>
      </c>
      <c r="C9" s="2">
        <v>10</v>
      </c>
      <c r="D9" s="2">
        <v>10</v>
      </c>
      <c r="E9" s="2">
        <v>15</v>
      </c>
      <c r="F9" s="2">
        <v>13</v>
      </c>
      <c r="G9" s="2"/>
      <c r="H9" s="2"/>
      <c r="I9" s="2"/>
      <c r="J9" s="2"/>
      <c r="K9" s="6">
        <f t="shared" si="4"/>
        <v>48</v>
      </c>
      <c r="L9" s="2"/>
      <c r="O9" s="55">
        <f t="shared" si="0"/>
        <v>10</v>
      </c>
      <c r="P9" s="56">
        <f t="shared" si="1"/>
        <v>0</v>
      </c>
      <c r="Q9" s="56">
        <f t="shared" si="2"/>
        <v>25</v>
      </c>
      <c r="R9" s="56">
        <f t="shared" si="3"/>
        <v>13</v>
      </c>
      <c r="S9" s="46">
        <f t="shared" si="5"/>
        <v>48</v>
      </c>
    </row>
    <row r="10" spans="1:19" x14ac:dyDescent="0.25">
      <c r="A10" s="5">
        <f>'Mid Sem'!B10</f>
        <v>590013559</v>
      </c>
      <c r="B10" s="5" t="str">
        <f>'Mid Sem'!A10</f>
        <v>Deevija Garg</v>
      </c>
      <c r="C10" s="2">
        <v>10</v>
      </c>
      <c r="D10" s="2">
        <v>7</v>
      </c>
      <c r="E10" s="2">
        <v>12</v>
      </c>
      <c r="F10" s="2">
        <v>12</v>
      </c>
      <c r="G10" s="2"/>
      <c r="H10" s="2"/>
      <c r="I10" s="2"/>
      <c r="J10" s="2"/>
      <c r="K10" s="6">
        <f t="shared" si="4"/>
        <v>41</v>
      </c>
      <c r="L10" s="2"/>
      <c r="O10" s="55">
        <f t="shared" si="0"/>
        <v>10</v>
      </c>
      <c r="P10" s="56">
        <f t="shared" si="1"/>
        <v>0</v>
      </c>
      <c r="Q10" s="56">
        <f t="shared" si="2"/>
        <v>19</v>
      </c>
      <c r="R10" s="56">
        <f t="shared" si="3"/>
        <v>12</v>
      </c>
      <c r="S10" s="46">
        <f t="shared" si="5"/>
        <v>41</v>
      </c>
    </row>
    <row r="11" spans="1:19" x14ac:dyDescent="0.25">
      <c r="A11" s="5">
        <f>'Mid Sem'!B11</f>
        <v>590014314</v>
      </c>
      <c r="B11" s="5" t="str">
        <f>'Mid Sem'!A11</f>
        <v>Chandni Negi</v>
      </c>
      <c r="C11" s="2">
        <v>10</v>
      </c>
      <c r="D11" s="2">
        <v>10</v>
      </c>
      <c r="E11" s="2">
        <v>15</v>
      </c>
      <c r="F11" s="2">
        <v>15</v>
      </c>
      <c r="G11" s="2"/>
      <c r="H11" s="2"/>
      <c r="I11" s="2"/>
      <c r="J11" s="2"/>
      <c r="K11" s="6">
        <f t="shared" si="4"/>
        <v>50</v>
      </c>
      <c r="L11" s="2"/>
      <c r="O11" s="55">
        <f t="shared" si="0"/>
        <v>10</v>
      </c>
      <c r="P11" s="56">
        <f t="shared" si="1"/>
        <v>0</v>
      </c>
      <c r="Q11" s="56">
        <f t="shared" si="2"/>
        <v>25</v>
      </c>
      <c r="R11" s="56">
        <f t="shared" si="3"/>
        <v>15</v>
      </c>
      <c r="S11" s="46">
        <f t="shared" si="5"/>
        <v>50</v>
      </c>
    </row>
    <row r="12" spans="1:19" x14ac:dyDescent="0.25">
      <c r="A12" s="5">
        <f>'Mid Sem'!B12</f>
        <v>590016280</v>
      </c>
      <c r="B12" s="5" t="str">
        <f>'Mid Sem'!A12</f>
        <v>Divya Krishna</v>
      </c>
      <c r="C12" s="2">
        <v>10</v>
      </c>
      <c r="D12" s="2">
        <v>10</v>
      </c>
      <c r="E12" s="2">
        <v>15</v>
      </c>
      <c r="F12" s="2">
        <v>15</v>
      </c>
      <c r="G12" s="2"/>
      <c r="H12" s="2"/>
      <c r="I12" s="2"/>
      <c r="J12" s="2"/>
      <c r="K12" s="6">
        <f t="shared" si="4"/>
        <v>50</v>
      </c>
      <c r="L12" s="2"/>
      <c r="O12" s="55">
        <f t="shared" si="0"/>
        <v>10</v>
      </c>
      <c r="P12" s="56">
        <f t="shared" si="1"/>
        <v>0</v>
      </c>
      <c r="Q12" s="56">
        <f t="shared" si="2"/>
        <v>25</v>
      </c>
      <c r="R12" s="56">
        <f t="shared" si="3"/>
        <v>15</v>
      </c>
      <c r="S12" s="46">
        <f t="shared" si="5"/>
        <v>50</v>
      </c>
    </row>
    <row r="13" spans="1:19" x14ac:dyDescent="0.25">
      <c r="A13" s="5">
        <f>'Mid Sem'!B13</f>
        <v>590017181</v>
      </c>
      <c r="B13" s="5" t="str">
        <f>'Mid Sem'!A13</f>
        <v>Shubhangee Shukla</v>
      </c>
      <c r="C13" s="2">
        <v>10</v>
      </c>
      <c r="D13" s="2">
        <v>10</v>
      </c>
      <c r="E13" s="2">
        <v>12</v>
      </c>
      <c r="F13" s="2">
        <v>15</v>
      </c>
      <c r="G13" s="2"/>
      <c r="H13" s="2"/>
      <c r="I13" s="2"/>
      <c r="J13" s="2"/>
      <c r="K13" s="6">
        <f t="shared" si="4"/>
        <v>47</v>
      </c>
      <c r="L13" s="2"/>
      <c r="O13" s="55">
        <f t="shared" si="0"/>
        <v>10</v>
      </c>
      <c r="P13" s="56">
        <f t="shared" si="1"/>
        <v>0</v>
      </c>
      <c r="Q13" s="56">
        <f t="shared" si="2"/>
        <v>22</v>
      </c>
      <c r="R13" s="56">
        <f t="shared" si="3"/>
        <v>15</v>
      </c>
      <c r="S13" s="46">
        <f t="shared" si="5"/>
        <v>47</v>
      </c>
    </row>
    <row r="14" spans="1:19" x14ac:dyDescent="0.25">
      <c r="A14" s="5">
        <f>'Mid Sem'!B14</f>
        <v>590017658</v>
      </c>
      <c r="B14" s="5" t="str">
        <f>'Mid Sem'!A14</f>
        <v>Heera Singh</v>
      </c>
      <c r="C14" s="2">
        <v>10</v>
      </c>
      <c r="D14" s="2">
        <v>10</v>
      </c>
      <c r="E14" s="2">
        <v>15</v>
      </c>
      <c r="F14" s="2">
        <v>15</v>
      </c>
      <c r="G14" s="47"/>
      <c r="H14" s="47"/>
      <c r="I14" s="47"/>
      <c r="J14" s="47"/>
      <c r="K14" s="6">
        <f t="shared" si="4"/>
        <v>50</v>
      </c>
      <c r="L14" s="2"/>
      <c r="O14" s="55">
        <f t="shared" si="0"/>
        <v>10</v>
      </c>
      <c r="P14" s="56">
        <f t="shared" si="1"/>
        <v>0</v>
      </c>
      <c r="Q14" s="56">
        <f t="shared" si="2"/>
        <v>25</v>
      </c>
      <c r="R14" s="56">
        <f t="shared" si="3"/>
        <v>15</v>
      </c>
      <c r="S14" s="46">
        <f t="shared" si="5"/>
        <v>50</v>
      </c>
    </row>
    <row r="15" spans="1:19" x14ac:dyDescent="0.25">
      <c r="A15" s="5">
        <f>'Mid Sem'!B15</f>
        <v>590017776</v>
      </c>
      <c r="B15" s="5" t="str">
        <f>'Mid Sem'!A15</f>
        <v>Abhineet Srivastava</v>
      </c>
      <c r="C15" s="2">
        <v>10</v>
      </c>
      <c r="D15" s="2">
        <v>9</v>
      </c>
      <c r="E15" s="2">
        <v>15</v>
      </c>
      <c r="F15" s="2">
        <v>15</v>
      </c>
      <c r="G15" s="47"/>
      <c r="H15" s="47"/>
      <c r="I15" s="47"/>
      <c r="J15" s="47"/>
      <c r="K15" s="6">
        <f t="shared" si="4"/>
        <v>49</v>
      </c>
      <c r="L15" s="2"/>
      <c r="O15" s="55">
        <f t="shared" si="0"/>
        <v>10</v>
      </c>
      <c r="P15" s="56">
        <f t="shared" si="1"/>
        <v>0</v>
      </c>
      <c r="Q15" s="56">
        <f t="shared" si="2"/>
        <v>24</v>
      </c>
      <c r="R15" s="56">
        <f t="shared" si="3"/>
        <v>15</v>
      </c>
      <c r="S15" s="46">
        <f t="shared" si="5"/>
        <v>49</v>
      </c>
    </row>
    <row r="16" spans="1:19" x14ac:dyDescent="0.25">
      <c r="A16" s="5">
        <f>'Mid Sem'!B16</f>
        <v>590018198</v>
      </c>
      <c r="B16" s="5" t="str">
        <f>'Mid Sem'!A16</f>
        <v>Tanisha Chanani</v>
      </c>
      <c r="C16" s="2">
        <v>10</v>
      </c>
      <c r="D16" s="2">
        <v>10</v>
      </c>
      <c r="E16" s="2">
        <v>15</v>
      </c>
      <c r="F16" s="2">
        <v>15</v>
      </c>
      <c r="G16" s="2"/>
      <c r="H16" s="2"/>
      <c r="I16" s="2"/>
      <c r="J16" s="2"/>
      <c r="K16" s="6">
        <f t="shared" si="4"/>
        <v>50</v>
      </c>
      <c r="L16" s="2"/>
      <c r="O16" s="55">
        <f t="shared" si="0"/>
        <v>10</v>
      </c>
      <c r="P16" s="56">
        <f t="shared" si="1"/>
        <v>0</v>
      </c>
      <c r="Q16" s="56">
        <f t="shared" si="2"/>
        <v>25</v>
      </c>
      <c r="R16" s="56">
        <f t="shared" si="3"/>
        <v>15</v>
      </c>
      <c r="S16" s="46">
        <f t="shared" si="5"/>
        <v>50</v>
      </c>
    </row>
    <row r="17" spans="1:19" x14ac:dyDescent="0.25">
      <c r="A17" s="5">
        <f>'Mid Sem'!B17</f>
        <v>590018519</v>
      </c>
      <c r="B17" s="5" t="str">
        <f>'Mid Sem'!A17</f>
        <v>Rushil Soni</v>
      </c>
      <c r="C17" s="2">
        <v>10</v>
      </c>
      <c r="D17" s="2">
        <v>10</v>
      </c>
      <c r="E17" s="2">
        <v>12</v>
      </c>
      <c r="F17" s="2">
        <v>15</v>
      </c>
      <c r="G17" s="2"/>
      <c r="H17" s="2"/>
      <c r="I17" s="2"/>
      <c r="J17" s="2"/>
      <c r="K17" s="6">
        <f t="shared" si="4"/>
        <v>47</v>
      </c>
      <c r="L17" s="2"/>
      <c r="O17" s="55">
        <f t="shared" si="0"/>
        <v>10</v>
      </c>
      <c r="P17" s="56">
        <f t="shared" si="1"/>
        <v>0</v>
      </c>
      <c r="Q17" s="56">
        <f t="shared" si="2"/>
        <v>22</v>
      </c>
      <c r="R17" s="56">
        <f t="shared" si="3"/>
        <v>15</v>
      </c>
      <c r="S17" s="46">
        <f t="shared" si="5"/>
        <v>47</v>
      </c>
    </row>
    <row r="18" spans="1:19" x14ac:dyDescent="0.25">
      <c r="A18" s="5"/>
      <c r="B18" s="5"/>
      <c r="C18" s="2"/>
      <c r="D18" s="2"/>
      <c r="E18" s="2"/>
      <c r="F18" s="2"/>
      <c r="G18" s="2"/>
      <c r="H18" s="2"/>
      <c r="I18" s="2"/>
      <c r="J18" s="2"/>
      <c r="K18" s="6">
        <f t="shared" si="4"/>
        <v>0</v>
      </c>
      <c r="L18" s="2"/>
      <c r="O18" s="55"/>
      <c r="P18" s="55"/>
      <c r="Q18" s="55"/>
      <c r="R18" s="55"/>
      <c r="S18" s="54"/>
    </row>
    <row r="19" spans="1:19" x14ac:dyDescent="0.25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O19" s="55"/>
      <c r="P19" s="55"/>
      <c r="Q19" s="55"/>
      <c r="R19" s="55"/>
      <c r="S19" s="55"/>
    </row>
    <row r="20" spans="1:19" x14ac:dyDescent="0.25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O20" s="55"/>
      <c r="P20" s="55"/>
      <c r="Q20" s="55"/>
      <c r="R20" s="55"/>
      <c r="S20" s="55"/>
    </row>
    <row r="21" spans="1:19" x14ac:dyDescent="0.25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O21" s="55"/>
      <c r="P21" s="55"/>
      <c r="Q21" s="55"/>
      <c r="R21" s="55"/>
      <c r="S21" s="55"/>
    </row>
  </sheetData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399B-538A-4326-81D5-F56BB2966D2A}">
  <dimension ref="A1:W21"/>
  <sheetViews>
    <sheetView workbookViewId="0">
      <selection activeCell="S4" sqref="S4:W5"/>
    </sheetView>
  </sheetViews>
  <sheetFormatPr defaultRowHeight="15" x14ac:dyDescent="0.25"/>
  <cols>
    <col min="1" max="1" width="18.7109375" customWidth="1"/>
    <col min="2" max="2" width="24.28515625" bestFit="1" customWidth="1"/>
    <col min="3" max="13" width="4.5703125" bestFit="1" customWidth="1"/>
    <col min="14" max="14" width="4.5703125" customWidth="1"/>
    <col min="15" max="15" width="5.42578125" bestFit="1" customWidth="1"/>
    <col min="16" max="16" width="15.28515625" customWidth="1"/>
  </cols>
  <sheetData>
    <row r="1" spans="1:23" ht="24.75" x14ac:dyDescent="0.4">
      <c r="A1" s="64" t="s">
        <v>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23" ht="24.75" x14ac:dyDescent="0.4">
      <c r="A2" s="64" t="str">
        <f>Marksheet!A2</f>
        <v xml:space="preserve">Computatioal Astrophysics (PHYS 8202) 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23" x14ac:dyDescent="0.25">
      <c r="A3" s="2"/>
      <c r="B3" s="2"/>
      <c r="C3" s="3" t="s">
        <v>46</v>
      </c>
      <c r="D3" s="3" t="s">
        <v>46</v>
      </c>
      <c r="E3" s="3" t="s">
        <v>47</v>
      </c>
      <c r="F3" s="3" t="s">
        <v>47</v>
      </c>
      <c r="G3" s="3" t="s">
        <v>47</v>
      </c>
      <c r="H3" s="3" t="s">
        <v>47</v>
      </c>
      <c r="I3" s="3" t="s">
        <v>46</v>
      </c>
      <c r="J3" s="3" t="s">
        <v>47</v>
      </c>
      <c r="K3" s="3" t="s">
        <v>47</v>
      </c>
      <c r="L3" s="3" t="s">
        <v>46</v>
      </c>
      <c r="M3" s="3"/>
      <c r="N3" s="3"/>
      <c r="O3" s="2"/>
      <c r="P3" s="2"/>
    </row>
    <row r="4" spans="1:23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/>
      <c r="O4" s="4" t="s">
        <v>14</v>
      </c>
      <c r="P4" s="4" t="s">
        <v>15</v>
      </c>
      <c r="S4" s="3" t="s">
        <v>46</v>
      </c>
      <c r="T4" s="3" t="s">
        <v>47</v>
      </c>
      <c r="U4" s="3" t="s">
        <v>48</v>
      </c>
      <c r="V4" s="3" t="s">
        <v>49</v>
      </c>
      <c r="W4" s="4" t="s">
        <v>14</v>
      </c>
    </row>
    <row r="5" spans="1:23" x14ac:dyDescent="0.25">
      <c r="A5" s="6"/>
      <c r="B5" s="6" t="s">
        <v>18</v>
      </c>
      <c r="C5" s="6">
        <v>3</v>
      </c>
      <c r="D5" s="6">
        <v>3</v>
      </c>
      <c r="E5" s="6">
        <v>3</v>
      </c>
      <c r="F5" s="6">
        <v>3</v>
      </c>
      <c r="G5" s="6">
        <v>3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/>
      <c r="N5" s="6"/>
      <c r="O5" s="6">
        <f>SUM(C5:L5)</f>
        <v>40</v>
      </c>
      <c r="P5" s="6"/>
      <c r="S5" s="12">
        <f>SUM(D5,C5,I5,L5)</f>
        <v>16</v>
      </c>
      <c r="T5" s="12">
        <f>SUM(G5,F5,E5,H5,J5,K5)</f>
        <v>24</v>
      </c>
      <c r="U5" s="6"/>
      <c r="V5" s="6"/>
      <c r="W5">
        <f>SUM(S5:V5)</f>
        <v>40</v>
      </c>
    </row>
    <row r="6" spans="1:23" x14ac:dyDescent="0.25">
      <c r="A6" s="5">
        <f>Marksheet!B5</f>
        <v>590010833</v>
      </c>
      <c r="B6" s="5" t="str">
        <f>Marksheet!A5</f>
        <v>Vansh Sharma</v>
      </c>
      <c r="C6" s="2">
        <v>3</v>
      </c>
      <c r="D6" s="2">
        <v>3</v>
      </c>
      <c r="E6" s="2">
        <v>0</v>
      </c>
      <c r="F6" s="2">
        <v>3</v>
      </c>
      <c r="G6" s="2">
        <v>3</v>
      </c>
      <c r="H6" s="2">
        <v>3</v>
      </c>
      <c r="I6" s="2">
        <v>0</v>
      </c>
      <c r="J6" s="2">
        <v>5</v>
      </c>
      <c r="K6" s="2">
        <v>0</v>
      </c>
      <c r="L6" s="2">
        <v>0</v>
      </c>
      <c r="M6" s="2"/>
      <c r="N6" s="2"/>
      <c r="O6" s="6">
        <f t="shared" ref="O6:O17" si="0">SUM(C6:L6)</f>
        <v>20</v>
      </c>
      <c r="P6" s="2"/>
      <c r="S6" s="12">
        <f t="shared" ref="S6:S17" si="1">SUM(D6,C6,I6,L6)</f>
        <v>6</v>
      </c>
      <c r="T6" s="12">
        <f t="shared" ref="T6:T17" si="2">SUM(G6,F6,E6,H6,J6,K6)</f>
        <v>14</v>
      </c>
      <c r="U6" s="6"/>
      <c r="V6" s="6"/>
      <c r="W6">
        <f t="shared" ref="W6:W17" si="3">SUM(S6:V6)</f>
        <v>20</v>
      </c>
    </row>
    <row r="7" spans="1:23" x14ac:dyDescent="0.25">
      <c r="A7" s="5">
        <f>Marksheet!B6</f>
        <v>590010853</v>
      </c>
      <c r="B7" s="5" t="str">
        <f>Marksheet!A6</f>
        <v>Mokshika Saini</v>
      </c>
      <c r="C7" s="2">
        <v>3</v>
      </c>
      <c r="D7" s="2">
        <v>3</v>
      </c>
      <c r="E7" s="2">
        <v>3</v>
      </c>
      <c r="F7" s="2">
        <v>3</v>
      </c>
      <c r="G7" s="2">
        <v>0</v>
      </c>
      <c r="H7" s="2">
        <v>5</v>
      </c>
      <c r="I7" s="2">
        <v>3</v>
      </c>
      <c r="J7" s="2">
        <v>4</v>
      </c>
      <c r="K7" s="2">
        <v>5</v>
      </c>
      <c r="L7" s="2">
        <v>4</v>
      </c>
      <c r="M7" s="2"/>
      <c r="N7" s="2"/>
      <c r="O7" s="6">
        <f t="shared" si="0"/>
        <v>33</v>
      </c>
      <c r="P7" s="2"/>
      <c r="S7" s="12">
        <f t="shared" si="1"/>
        <v>13</v>
      </c>
      <c r="T7" s="12">
        <f t="shared" si="2"/>
        <v>20</v>
      </c>
      <c r="U7" s="6"/>
      <c r="V7" s="6"/>
      <c r="W7">
        <f t="shared" si="3"/>
        <v>33</v>
      </c>
    </row>
    <row r="8" spans="1:23" x14ac:dyDescent="0.25">
      <c r="A8" s="5">
        <f>Marksheet!B7</f>
        <v>590011314</v>
      </c>
      <c r="B8" s="5" t="str">
        <f>Marksheet!A7</f>
        <v>Sakshi Sheshrao Charde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4</v>
      </c>
      <c r="I8" s="2">
        <v>4</v>
      </c>
      <c r="J8" s="2">
        <v>5</v>
      </c>
      <c r="K8" s="2">
        <v>0</v>
      </c>
      <c r="L8" s="2">
        <v>5</v>
      </c>
      <c r="M8" s="2"/>
      <c r="N8" s="2"/>
      <c r="O8" s="6">
        <f t="shared" si="0"/>
        <v>33</v>
      </c>
      <c r="P8" s="2"/>
      <c r="S8" s="12">
        <f t="shared" si="1"/>
        <v>15</v>
      </c>
      <c r="T8" s="12">
        <f t="shared" si="2"/>
        <v>18</v>
      </c>
      <c r="U8" s="6"/>
      <c r="V8" s="6"/>
      <c r="W8">
        <f t="shared" si="3"/>
        <v>33</v>
      </c>
    </row>
    <row r="9" spans="1:23" x14ac:dyDescent="0.25">
      <c r="A9" s="5">
        <f>Marksheet!B8</f>
        <v>590011462</v>
      </c>
      <c r="B9" s="5" t="str">
        <f>Marksheet!A8</f>
        <v>Akash Vinodshirke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5</v>
      </c>
      <c r="I9" s="2">
        <v>5</v>
      </c>
      <c r="J9" s="2">
        <v>5</v>
      </c>
      <c r="K9" s="2">
        <v>3</v>
      </c>
      <c r="L9" s="2">
        <v>5</v>
      </c>
      <c r="M9" s="2"/>
      <c r="N9" s="2"/>
      <c r="O9" s="6">
        <f t="shared" si="0"/>
        <v>38</v>
      </c>
      <c r="P9" s="2"/>
      <c r="S9" s="12">
        <f t="shared" si="1"/>
        <v>16</v>
      </c>
      <c r="T9" s="12">
        <f t="shared" si="2"/>
        <v>22</v>
      </c>
      <c r="U9" s="6"/>
      <c r="V9" s="6"/>
      <c r="W9">
        <f t="shared" si="3"/>
        <v>38</v>
      </c>
    </row>
    <row r="10" spans="1:23" x14ac:dyDescent="0.25">
      <c r="A10" s="5">
        <f>Marksheet!B9</f>
        <v>590013559</v>
      </c>
      <c r="B10" s="5" t="str">
        <f>Marksheet!A9</f>
        <v>Deevija Garg</v>
      </c>
      <c r="C10" s="2">
        <v>3</v>
      </c>
      <c r="D10" s="2">
        <v>3</v>
      </c>
      <c r="E10" s="2">
        <v>0</v>
      </c>
      <c r="F10" s="2">
        <v>3</v>
      </c>
      <c r="G10" s="2">
        <v>3</v>
      </c>
      <c r="H10" s="2">
        <v>5</v>
      </c>
      <c r="I10" s="2">
        <v>5</v>
      </c>
      <c r="J10" s="2">
        <v>4</v>
      </c>
      <c r="K10" s="2">
        <v>1</v>
      </c>
      <c r="L10" s="2">
        <v>4</v>
      </c>
      <c r="M10" s="2"/>
      <c r="N10" s="2"/>
      <c r="O10" s="6">
        <f t="shared" si="0"/>
        <v>31</v>
      </c>
      <c r="P10" s="2"/>
      <c r="S10" s="12">
        <f t="shared" si="1"/>
        <v>15</v>
      </c>
      <c r="T10" s="12">
        <f t="shared" si="2"/>
        <v>16</v>
      </c>
      <c r="U10" s="6"/>
      <c r="V10" s="6"/>
      <c r="W10">
        <f t="shared" si="3"/>
        <v>31</v>
      </c>
    </row>
    <row r="11" spans="1:23" x14ac:dyDescent="0.25">
      <c r="A11" s="5">
        <f>Marksheet!B10</f>
        <v>590014314</v>
      </c>
      <c r="B11" s="5" t="str">
        <f>Marksheet!A10</f>
        <v>Chandni Negi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5</v>
      </c>
      <c r="I11" s="2">
        <v>4</v>
      </c>
      <c r="J11" s="2">
        <v>5</v>
      </c>
      <c r="K11" s="2">
        <v>5</v>
      </c>
      <c r="L11" s="2">
        <v>5</v>
      </c>
      <c r="M11" s="2"/>
      <c r="N11" s="2"/>
      <c r="O11" s="6">
        <f t="shared" si="0"/>
        <v>39</v>
      </c>
      <c r="P11" s="2"/>
      <c r="S11" s="12">
        <f t="shared" si="1"/>
        <v>15</v>
      </c>
      <c r="T11" s="12">
        <f t="shared" si="2"/>
        <v>24</v>
      </c>
      <c r="U11" s="6"/>
      <c r="V11" s="6"/>
      <c r="W11">
        <f t="shared" si="3"/>
        <v>39</v>
      </c>
    </row>
    <row r="12" spans="1:23" x14ac:dyDescent="0.25">
      <c r="A12" s="5">
        <f>Marksheet!B11</f>
        <v>590016280</v>
      </c>
      <c r="B12" s="5" t="str">
        <f>Marksheet!A11</f>
        <v>Divya Krishna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6">
        <f t="shared" si="0"/>
        <v>0</v>
      </c>
      <c r="P12" s="2"/>
      <c r="S12" s="12">
        <f t="shared" si="1"/>
        <v>0</v>
      </c>
      <c r="T12" s="12">
        <f t="shared" si="2"/>
        <v>0</v>
      </c>
      <c r="U12" s="6"/>
      <c r="V12" s="6"/>
      <c r="W12">
        <f t="shared" si="3"/>
        <v>0</v>
      </c>
    </row>
    <row r="13" spans="1:23" x14ac:dyDescent="0.25">
      <c r="A13" s="5">
        <f>Marksheet!B12</f>
        <v>590017181</v>
      </c>
      <c r="B13" s="5" t="str">
        <f>Marksheet!A12</f>
        <v>Shubhangee Shukla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6">
        <f t="shared" si="0"/>
        <v>0</v>
      </c>
      <c r="P13" s="2"/>
      <c r="S13" s="12">
        <f t="shared" si="1"/>
        <v>0</v>
      </c>
      <c r="T13" s="12">
        <f t="shared" si="2"/>
        <v>0</v>
      </c>
      <c r="U13" s="6"/>
      <c r="V13" s="6"/>
      <c r="W13">
        <f t="shared" si="3"/>
        <v>0</v>
      </c>
    </row>
    <row r="14" spans="1:23" x14ac:dyDescent="0.25">
      <c r="A14" s="5">
        <f>Marksheet!B13</f>
        <v>590017658</v>
      </c>
      <c r="B14" s="5" t="str">
        <f>Marksheet!A13</f>
        <v>Heera Singh</v>
      </c>
      <c r="C14" s="2">
        <v>0</v>
      </c>
      <c r="D14" s="2">
        <v>0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2">
        <v>1</v>
      </c>
      <c r="K14" s="2">
        <v>0</v>
      </c>
      <c r="L14" s="2">
        <v>2</v>
      </c>
      <c r="M14" s="2"/>
      <c r="N14" s="2"/>
      <c r="O14" s="6">
        <f t="shared" si="0"/>
        <v>18</v>
      </c>
      <c r="P14" s="2"/>
      <c r="S14" s="12">
        <f t="shared" si="1"/>
        <v>5</v>
      </c>
      <c r="T14" s="12">
        <f t="shared" si="2"/>
        <v>13</v>
      </c>
      <c r="U14" s="6"/>
      <c r="V14" s="6"/>
      <c r="W14">
        <f t="shared" si="3"/>
        <v>18</v>
      </c>
    </row>
    <row r="15" spans="1:23" x14ac:dyDescent="0.25">
      <c r="A15" s="5">
        <f>Marksheet!B14</f>
        <v>590017776</v>
      </c>
      <c r="B15" s="5" t="str">
        <f>Marksheet!A14</f>
        <v>Abhineet Srivastava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5</v>
      </c>
      <c r="I15" s="2">
        <v>3</v>
      </c>
      <c r="J15" s="2">
        <v>4.5</v>
      </c>
      <c r="K15" s="2">
        <v>3</v>
      </c>
      <c r="L15" s="2">
        <v>5</v>
      </c>
      <c r="M15" s="2"/>
      <c r="N15" s="2"/>
      <c r="O15" s="6">
        <f t="shared" si="0"/>
        <v>35.5</v>
      </c>
      <c r="P15" s="2"/>
      <c r="S15" s="12">
        <f t="shared" si="1"/>
        <v>14</v>
      </c>
      <c r="T15" s="12">
        <f t="shared" si="2"/>
        <v>21.5</v>
      </c>
      <c r="U15" s="6"/>
      <c r="V15" s="6"/>
      <c r="W15">
        <f t="shared" si="3"/>
        <v>35.5</v>
      </c>
    </row>
    <row r="16" spans="1:23" x14ac:dyDescent="0.25">
      <c r="A16" s="5">
        <f>Marksheet!B15</f>
        <v>590018198</v>
      </c>
      <c r="B16" s="5" t="str">
        <f>Marksheet!A15</f>
        <v>Tanisha Chanani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/>
      <c r="N16" s="2"/>
      <c r="O16" s="6">
        <f t="shared" si="0"/>
        <v>40</v>
      </c>
      <c r="P16" s="2"/>
      <c r="S16" s="12">
        <f t="shared" si="1"/>
        <v>16</v>
      </c>
      <c r="T16" s="12">
        <f t="shared" si="2"/>
        <v>24</v>
      </c>
      <c r="U16" s="6"/>
      <c r="V16" s="6"/>
      <c r="W16">
        <f t="shared" si="3"/>
        <v>40</v>
      </c>
    </row>
    <row r="17" spans="1:23" x14ac:dyDescent="0.25">
      <c r="A17" s="5">
        <f>Marksheet!B16</f>
        <v>590018519</v>
      </c>
      <c r="B17" s="5" t="str">
        <f>Marksheet!A16</f>
        <v>Rushil Soni</v>
      </c>
      <c r="C17" s="2">
        <v>3</v>
      </c>
      <c r="D17" s="2">
        <v>3</v>
      </c>
      <c r="E17" s="2">
        <v>0</v>
      </c>
      <c r="F17" s="2">
        <v>3</v>
      </c>
      <c r="G17" s="2">
        <v>3</v>
      </c>
      <c r="H17" s="2">
        <v>2</v>
      </c>
      <c r="I17" s="2">
        <v>3</v>
      </c>
      <c r="J17" s="2">
        <v>2</v>
      </c>
      <c r="K17" s="2">
        <v>0</v>
      </c>
      <c r="L17" s="2">
        <v>5</v>
      </c>
      <c r="M17" s="2"/>
      <c r="N17" s="2"/>
      <c r="O17" s="6">
        <f t="shared" si="0"/>
        <v>24</v>
      </c>
      <c r="P17" s="2"/>
      <c r="S17" s="12">
        <f t="shared" si="1"/>
        <v>14</v>
      </c>
      <c r="T17" s="12">
        <f t="shared" si="2"/>
        <v>10</v>
      </c>
      <c r="U17" s="6"/>
      <c r="V17" s="6"/>
      <c r="W17">
        <f t="shared" si="3"/>
        <v>24</v>
      </c>
    </row>
    <row r="18" spans="1:23" x14ac:dyDescent="0.25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23" x14ac:dyDescent="0.25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2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2"/>
      <c r="O20" s="2"/>
      <c r="P20" s="5"/>
    </row>
    <row r="21" spans="1:2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2"/>
      <c r="O21" s="2"/>
      <c r="P21" s="5"/>
    </row>
  </sheetData>
  <mergeCells count="2">
    <mergeCell ref="A1:P1"/>
    <mergeCell ref="A2:P2"/>
  </mergeCells>
  <pageMargins left="0.7" right="0.7" top="0.75" bottom="0.75" header="0.3" footer="0.3"/>
  <pageSetup paperSize="9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2827-4102-4501-99F8-C9B7DD668F03}">
  <dimension ref="A1:AM21"/>
  <sheetViews>
    <sheetView topLeftCell="B1" workbookViewId="0">
      <selection activeCell="D82" sqref="D82"/>
    </sheetView>
  </sheetViews>
  <sheetFormatPr defaultRowHeight="15" x14ac:dyDescent="0.25"/>
  <cols>
    <col min="1" max="1" width="19" customWidth="1"/>
    <col min="2" max="2" width="24.28515625" bestFit="1" customWidth="1"/>
    <col min="3" max="5" width="4.5703125" bestFit="1" customWidth="1"/>
    <col min="6" max="6" width="4" customWidth="1"/>
    <col min="7" max="13" width="4.5703125" bestFit="1" customWidth="1"/>
    <col min="14" max="32" width="4.5703125" customWidth="1"/>
    <col min="33" max="33" width="5.42578125" bestFit="1" customWidth="1"/>
    <col min="34" max="34" width="9.7109375" customWidth="1"/>
  </cols>
  <sheetData>
    <row r="1" spans="1:39" ht="24.75" x14ac:dyDescent="0.4">
      <c r="A1" s="64" t="s">
        <v>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</row>
    <row r="2" spans="1:39" ht="24.75" x14ac:dyDescent="0.4">
      <c r="A2" s="64" t="str">
        <f>Marksheet!A2</f>
        <v xml:space="preserve">Computatioal Astrophysics (PHYS 8202) 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</row>
    <row r="3" spans="1:39" x14ac:dyDescent="0.25">
      <c r="A3" s="2"/>
      <c r="B3" s="2"/>
      <c r="C3" s="3" t="s">
        <v>46</v>
      </c>
      <c r="D3" s="3" t="s">
        <v>46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46</v>
      </c>
      <c r="P3" s="3" t="s">
        <v>46</v>
      </c>
      <c r="Q3" s="3" t="s">
        <v>46</v>
      </c>
      <c r="R3" s="3" t="s">
        <v>46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s="3" t="s">
        <v>47</v>
      </c>
      <c r="Y3" s="3" t="s">
        <v>47</v>
      </c>
      <c r="Z3" s="3" t="s">
        <v>47</v>
      </c>
      <c r="AA3" s="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s="2"/>
      <c r="AH3" s="2"/>
    </row>
    <row r="4" spans="1:39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68</v>
      </c>
      <c r="T4" s="4" t="s">
        <v>69</v>
      </c>
      <c r="U4" s="4" t="s">
        <v>70</v>
      </c>
      <c r="V4" s="4" t="s">
        <v>71</v>
      </c>
      <c r="W4" s="4" t="s">
        <v>72</v>
      </c>
      <c r="X4" s="4" t="s">
        <v>73</v>
      </c>
      <c r="Y4" s="4" t="s">
        <v>74</v>
      </c>
      <c r="Z4" s="4" t="s">
        <v>75</v>
      </c>
      <c r="AA4" s="4" t="s">
        <v>76</v>
      </c>
      <c r="AB4" s="4" t="s">
        <v>77</v>
      </c>
      <c r="AC4" s="4" t="s">
        <v>78</v>
      </c>
      <c r="AD4" s="4" t="s">
        <v>79</v>
      </c>
      <c r="AE4" s="4" t="s">
        <v>80</v>
      </c>
      <c r="AF4" s="4" t="s">
        <v>81</v>
      </c>
      <c r="AG4" s="4" t="s">
        <v>14</v>
      </c>
      <c r="AH4" s="4" t="s">
        <v>15</v>
      </c>
      <c r="AK4" s="44" t="s">
        <v>46</v>
      </c>
      <c r="AL4" s="44" t="s">
        <v>47</v>
      </c>
      <c r="AM4" s="45" t="s">
        <v>14</v>
      </c>
    </row>
    <row r="5" spans="1:39" x14ac:dyDescent="0.25">
      <c r="A5" s="6"/>
      <c r="B5" s="6" t="s">
        <v>18</v>
      </c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f>SUM(C5:AF5)</f>
        <v>150</v>
      </c>
      <c r="AH5" s="6"/>
      <c r="AK5" s="46">
        <f>SUM(C5:R5)</f>
        <v>80</v>
      </c>
      <c r="AL5" s="46">
        <f>SUM(S5:AF5)</f>
        <v>70</v>
      </c>
      <c r="AM5" s="46">
        <f>SUM(AK5:AL5)</f>
        <v>150</v>
      </c>
    </row>
    <row r="6" spans="1:39" x14ac:dyDescent="0.25">
      <c r="A6" s="5">
        <f>'Mid Sem'!B6</f>
        <v>590010833</v>
      </c>
      <c r="B6" s="5" t="str">
        <f>'Mid Sem'!A6</f>
        <v>Vansh Sharma</v>
      </c>
      <c r="C6" s="2">
        <v>5</v>
      </c>
      <c r="D6" s="2">
        <v>4</v>
      </c>
      <c r="E6" s="2">
        <v>5</v>
      </c>
      <c r="F6" s="2">
        <v>5</v>
      </c>
      <c r="G6" s="2">
        <v>3</v>
      </c>
      <c r="H6" s="2">
        <v>5</v>
      </c>
      <c r="I6" s="2">
        <v>4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5</v>
      </c>
      <c r="P6" s="2">
        <v>5</v>
      </c>
      <c r="Q6" s="2">
        <v>3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5</v>
      </c>
      <c r="Y6" s="2">
        <v>5</v>
      </c>
      <c r="Z6" s="2">
        <v>5</v>
      </c>
      <c r="AA6" s="2">
        <v>5</v>
      </c>
      <c r="AB6" s="2">
        <v>5</v>
      </c>
      <c r="AC6" s="2">
        <v>5</v>
      </c>
      <c r="AD6" s="2">
        <v>5</v>
      </c>
      <c r="AE6" s="2">
        <v>5</v>
      </c>
      <c r="AF6" s="2">
        <v>5</v>
      </c>
      <c r="AG6" s="6">
        <f t="shared" ref="AG6:AG18" si="0">SUM(C6:AF6)</f>
        <v>144</v>
      </c>
      <c r="AH6" s="2"/>
      <c r="AK6" s="47">
        <f t="shared" ref="AK6:AK7" si="1">SUM(C6:R6)</f>
        <v>74</v>
      </c>
      <c r="AL6" s="47">
        <f t="shared" ref="AL6:AL7" si="2">SUM(S6:AF6)</f>
        <v>70</v>
      </c>
      <c r="AM6" s="46">
        <f t="shared" ref="AM6:AM17" si="3">SUM(AK6:AL6)</f>
        <v>144</v>
      </c>
    </row>
    <row r="7" spans="1:39" x14ac:dyDescent="0.25">
      <c r="A7" s="5">
        <f>'Mid Sem'!B7</f>
        <v>590010853</v>
      </c>
      <c r="B7" s="5" t="str">
        <f>'Mid Sem'!A7</f>
        <v>Mokshika Saini</v>
      </c>
      <c r="C7" s="2">
        <v>2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4</v>
      </c>
      <c r="J7" s="2">
        <v>3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  <c r="R7" s="2">
        <v>5</v>
      </c>
      <c r="S7" s="2">
        <v>5</v>
      </c>
      <c r="T7" s="2">
        <v>5</v>
      </c>
      <c r="U7" s="2">
        <v>5</v>
      </c>
      <c r="V7" s="2">
        <v>5</v>
      </c>
      <c r="W7" s="2">
        <v>4</v>
      </c>
      <c r="X7" s="2">
        <v>5</v>
      </c>
      <c r="Y7" s="2">
        <v>5</v>
      </c>
      <c r="Z7" s="2">
        <v>5</v>
      </c>
      <c r="AA7" s="2">
        <v>5</v>
      </c>
      <c r="AB7" s="2">
        <v>5</v>
      </c>
      <c r="AC7" s="2">
        <v>5</v>
      </c>
      <c r="AD7" s="2">
        <v>5</v>
      </c>
      <c r="AE7" s="2">
        <v>5</v>
      </c>
      <c r="AF7" s="2">
        <v>5</v>
      </c>
      <c r="AG7" s="6">
        <f t="shared" si="0"/>
        <v>143</v>
      </c>
      <c r="AH7" s="2"/>
      <c r="AK7" s="47">
        <f t="shared" si="1"/>
        <v>74</v>
      </c>
      <c r="AL7" s="47">
        <f t="shared" si="2"/>
        <v>69</v>
      </c>
      <c r="AM7" s="46">
        <f t="shared" si="3"/>
        <v>143</v>
      </c>
    </row>
    <row r="8" spans="1:39" x14ac:dyDescent="0.25">
      <c r="A8" s="5">
        <f>'Mid Sem'!B8</f>
        <v>590011314</v>
      </c>
      <c r="B8" s="5" t="str">
        <f>'Mid Sem'!A8</f>
        <v>Sakshi Sheshrao Charde</v>
      </c>
      <c r="C8" s="2">
        <v>5</v>
      </c>
      <c r="D8" s="2">
        <v>5</v>
      </c>
      <c r="E8" s="2">
        <v>5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5</v>
      </c>
      <c r="S8" s="2">
        <v>5</v>
      </c>
      <c r="T8" s="2">
        <v>5</v>
      </c>
      <c r="U8" s="2">
        <v>5</v>
      </c>
      <c r="V8" s="2">
        <v>5</v>
      </c>
      <c r="W8" s="2">
        <v>5</v>
      </c>
      <c r="X8" s="2">
        <v>3</v>
      </c>
      <c r="Y8" s="2">
        <v>5</v>
      </c>
      <c r="Z8" s="2">
        <v>5</v>
      </c>
      <c r="AA8" s="2">
        <v>5</v>
      </c>
      <c r="AB8" s="2">
        <v>5</v>
      </c>
      <c r="AC8" s="2">
        <v>5</v>
      </c>
      <c r="AD8" s="2">
        <v>5</v>
      </c>
      <c r="AE8" s="2">
        <v>5</v>
      </c>
      <c r="AF8" s="2">
        <v>5</v>
      </c>
      <c r="AG8" s="6">
        <f t="shared" si="0"/>
        <v>148</v>
      </c>
      <c r="AH8" s="2"/>
      <c r="AK8" s="47">
        <f t="shared" ref="AK8:AK17" si="4">SUM(C8:R8)</f>
        <v>80</v>
      </c>
      <c r="AL8" s="47">
        <f t="shared" ref="AL8:AL17" si="5">SUM(S8:AF8)</f>
        <v>68</v>
      </c>
      <c r="AM8" s="46">
        <f t="shared" si="3"/>
        <v>148</v>
      </c>
    </row>
    <row r="9" spans="1:39" x14ac:dyDescent="0.25">
      <c r="A9" s="5">
        <f>'Mid Sem'!B9</f>
        <v>590011462</v>
      </c>
      <c r="B9" s="5" t="str">
        <f>'Mid Sem'!A9</f>
        <v>Akash Vinodshirke</v>
      </c>
      <c r="C9" s="2">
        <v>5</v>
      </c>
      <c r="D9" s="2">
        <v>5</v>
      </c>
      <c r="E9" s="2">
        <v>5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5</v>
      </c>
      <c r="O9" s="2">
        <v>5</v>
      </c>
      <c r="P9" s="2">
        <v>5</v>
      </c>
      <c r="Q9" s="2">
        <v>5</v>
      </c>
      <c r="R9" s="2">
        <v>5</v>
      </c>
      <c r="S9" s="2">
        <v>5</v>
      </c>
      <c r="T9" s="2">
        <v>5</v>
      </c>
      <c r="U9" s="2">
        <v>5</v>
      </c>
      <c r="V9" s="2">
        <v>5</v>
      </c>
      <c r="W9" s="2">
        <v>5</v>
      </c>
      <c r="X9" s="2">
        <v>5</v>
      </c>
      <c r="Y9" s="2">
        <v>5</v>
      </c>
      <c r="Z9" s="2">
        <v>4</v>
      </c>
      <c r="AA9" s="2">
        <v>5</v>
      </c>
      <c r="AB9" s="2">
        <v>5</v>
      </c>
      <c r="AC9" s="2">
        <v>5</v>
      </c>
      <c r="AD9" s="2">
        <v>4</v>
      </c>
      <c r="AE9" s="2">
        <v>5</v>
      </c>
      <c r="AF9" s="2">
        <v>4</v>
      </c>
      <c r="AG9" s="6">
        <f t="shared" si="0"/>
        <v>147</v>
      </c>
      <c r="AH9" s="2"/>
      <c r="AK9" s="47">
        <f t="shared" si="4"/>
        <v>80</v>
      </c>
      <c r="AL9" s="47">
        <f t="shared" si="5"/>
        <v>67</v>
      </c>
      <c r="AM9" s="46">
        <f t="shared" si="3"/>
        <v>147</v>
      </c>
    </row>
    <row r="10" spans="1:39" x14ac:dyDescent="0.25">
      <c r="A10" s="5">
        <f>'Mid Sem'!B10</f>
        <v>590013559</v>
      </c>
      <c r="B10" s="5" t="str">
        <f>'Mid Sem'!A10</f>
        <v>Deevija Garg</v>
      </c>
      <c r="C10" s="2">
        <v>5</v>
      </c>
      <c r="D10" s="2">
        <v>5</v>
      </c>
      <c r="E10" s="2">
        <v>5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  <c r="R10" s="2">
        <v>5</v>
      </c>
      <c r="S10" s="2">
        <v>4</v>
      </c>
      <c r="T10" s="2">
        <v>4</v>
      </c>
      <c r="U10" s="2">
        <v>5</v>
      </c>
      <c r="V10" s="2">
        <v>5</v>
      </c>
      <c r="W10" s="2">
        <v>3</v>
      </c>
      <c r="X10" s="2">
        <v>5</v>
      </c>
      <c r="Y10" s="2">
        <v>5</v>
      </c>
      <c r="Z10" s="2">
        <v>5</v>
      </c>
      <c r="AA10" s="2">
        <v>5</v>
      </c>
      <c r="AB10" s="2">
        <v>5</v>
      </c>
      <c r="AC10" s="2">
        <v>5</v>
      </c>
      <c r="AD10" s="2">
        <v>5</v>
      </c>
      <c r="AE10" s="2">
        <v>5</v>
      </c>
      <c r="AF10" s="2">
        <v>5</v>
      </c>
      <c r="AG10" s="6">
        <f t="shared" si="0"/>
        <v>146</v>
      </c>
      <c r="AH10" s="2"/>
      <c r="AK10" s="47">
        <f t="shared" si="4"/>
        <v>80</v>
      </c>
      <c r="AL10" s="47">
        <f t="shared" si="5"/>
        <v>66</v>
      </c>
      <c r="AM10" s="46">
        <f t="shared" si="3"/>
        <v>146</v>
      </c>
    </row>
    <row r="11" spans="1:39" x14ac:dyDescent="0.25">
      <c r="A11" s="5">
        <f>'Mid Sem'!B11</f>
        <v>590014314</v>
      </c>
      <c r="B11" s="5" t="str">
        <f>'Mid Sem'!A11</f>
        <v>Chandni Negi</v>
      </c>
      <c r="C11" s="2">
        <v>5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>
        <v>4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  <c r="S11" s="2">
        <v>5</v>
      </c>
      <c r="T11" s="2">
        <v>2</v>
      </c>
      <c r="U11" s="2">
        <v>4</v>
      </c>
      <c r="V11" s="2">
        <v>5</v>
      </c>
      <c r="W11" s="2">
        <v>5</v>
      </c>
      <c r="X11" s="2">
        <v>3</v>
      </c>
      <c r="Y11" s="2">
        <v>5</v>
      </c>
      <c r="Z11" s="2">
        <v>5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5</v>
      </c>
      <c r="AG11" s="6">
        <f t="shared" si="0"/>
        <v>143</v>
      </c>
      <c r="AH11" s="2"/>
      <c r="AK11" s="47">
        <f t="shared" si="4"/>
        <v>79</v>
      </c>
      <c r="AL11" s="47">
        <f t="shared" si="5"/>
        <v>64</v>
      </c>
      <c r="AM11" s="46">
        <f t="shared" si="3"/>
        <v>143</v>
      </c>
    </row>
    <row r="12" spans="1:39" x14ac:dyDescent="0.25">
      <c r="A12" s="5">
        <f>'Mid Sem'!B12</f>
        <v>590016280</v>
      </c>
      <c r="B12" s="5" t="str">
        <f>'Mid Sem'!A12</f>
        <v>Divya Krishna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">
        <f t="shared" si="0"/>
        <v>0</v>
      </c>
      <c r="AH12" s="2"/>
      <c r="AK12" s="47">
        <f t="shared" si="4"/>
        <v>0</v>
      </c>
      <c r="AL12" s="47">
        <f t="shared" si="5"/>
        <v>0</v>
      </c>
      <c r="AM12" s="46">
        <f t="shared" si="3"/>
        <v>0</v>
      </c>
    </row>
    <row r="13" spans="1:39" x14ac:dyDescent="0.25">
      <c r="A13" s="5">
        <f>'Mid Sem'!B13</f>
        <v>590017181</v>
      </c>
      <c r="B13" s="5" t="str">
        <f>'Mid Sem'!A13</f>
        <v>Shubhangee Shukla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3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5</v>
      </c>
      <c r="T13" s="2">
        <v>5</v>
      </c>
      <c r="U13" s="2">
        <v>5</v>
      </c>
      <c r="V13" s="2">
        <v>5</v>
      </c>
      <c r="W13" s="2">
        <v>4</v>
      </c>
      <c r="X13" s="2">
        <v>5</v>
      </c>
      <c r="Y13" s="2">
        <v>5</v>
      </c>
      <c r="Z13" s="2">
        <v>5</v>
      </c>
      <c r="AA13" s="2">
        <v>5</v>
      </c>
      <c r="AB13" s="2">
        <v>5</v>
      </c>
      <c r="AC13" s="2">
        <v>5</v>
      </c>
      <c r="AD13" s="2">
        <v>5</v>
      </c>
      <c r="AE13" s="2">
        <v>5</v>
      </c>
      <c r="AF13" s="2">
        <v>5</v>
      </c>
      <c r="AG13" s="6">
        <f t="shared" si="0"/>
        <v>147</v>
      </c>
      <c r="AH13" s="2"/>
      <c r="AK13" s="47">
        <f t="shared" si="4"/>
        <v>78</v>
      </c>
      <c r="AL13" s="47">
        <f t="shared" si="5"/>
        <v>69</v>
      </c>
      <c r="AM13" s="46">
        <f t="shared" si="3"/>
        <v>147</v>
      </c>
    </row>
    <row r="14" spans="1:39" x14ac:dyDescent="0.25">
      <c r="A14" s="5">
        <f>'Mid Sem'!B14</f>
        <v>590017658</v>
      </c>
      <c r="B14" s="5" t="str">
        <f>'Mid Sem'!A14</f>
        <v>Heera Singh</v>
      </c>
      <c r="C14" s="2">
        <v>2</v>
      </c>
      <c r="D14" s="2">
        <v>3</v>
      </c>
      <c r="E14" s="2">
        <v>5</v>
      </c>
      <c r="F14" s="2">
        <v>5</v>
      </c>
      <c r="G14" s="2">
        <v>5</v>
      </c>
      <c r="H14" s="2">
        <v>4</v>
      </c>
      <c r="I14" s="2">
        <v>5</v>
      </c>
      <c r="J14" s="2">
        <v>3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>
        <v>5</v>
      </c>
      <c r="Q14" s="2">
        <v>3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v>2</v>
      </c>
      <c r="X14" s="2">
        <v>5</v>
      </c>
      <c r="Y14" s="2">
        <v>5</v>
      </c>
      <c r="Z14" s="2">
        <v>5</v>
      </c>
      <c r="AA14" s="2">
        <v>5</v>
      </c>
      <c r="AB14" s="2">
        <v>5</v>
      </c>
      <c r="AC14" s="2">
        <v>5</v>
      </c>
      <c r="AD14" s="2">
        <v>5</v>
      </c>
      <c r="AE14" s="2">
        <v>5</v>
      </c>
      <c r="AF14" s="2">
        <v>5</v>
      </c>
      <c r="AG14" s="6">
        <f t="shared" si="0"/>
        <v>137</v>
      </c>
      <c r="AH14" s="2"/>
      <c r="AK14" s="47">
        <f t="shared" si="4"/>
        <v>70</v>
      </c>
      <c r="AL14" s="47">
        <f t="shared" si="5"/>
        <v>67</v>
      </c>
      <c r="AM14" s="46">
        <f t="shared" si="3"/>
        <v>137</v>
      </c>
    </row>
    <row r="15" spans="1:39" x14ac:dyDescent="0.25">
      <c r="A15" s="5">
        <f>'Mid Sem'!B15</f>
        <v>590017776</v>
      </c>
      <c r="B15" s="5" t="str">
        <f>'Mid Sem'!A15</f>
        <v>Abhineet Srivastava</v>
      </c>
      <c r="C15" s="2">
        <v>5</v>
      </c>
      <c r="D15" s="2">
        <v>5</v>
      </c>
      <c r="E15" s="2">
        <v>5</v>
      </c>
      <c r="F15" s="2">
        <v>5</v>
      </c>
      <c r="G15" s="2">
        <v>5</v>
      </c>
      <c r="H15" s="2">
        <v>5</v>
      </c>
      <c r="I15" s="2">
        <v>5</v>
      </c>
      <c r="J15" s="2">
        <v>5</v>
      </c>
      <c r="K15" s="2">
        <v>5</v>
      </c>
      <c r="L15" s="2">
        <v>5</v>
      </c>
      <c r="M15" s="2">
        <v>5</v>
      </c>
      <c r="N15" s="2">
        <v>5</v>
      </c>
      <c r="O15" s="2">
        <v>5</v>
      </c>
      <c r="P15" s="2">
        <v>5</v>
      </c>
      <c r="Q15" s="2">
        <v>4</v>
      </c>
      <c r="R15" s="2">
        <v>5</v>
      </c>
      <c r="S15" s="2">
        <v>5</v>
      </c>
      <c r="T15" s="2">
        <v>5</v>
      </c>
      <c r="U15" s="2">
        <v>5</v>
      </c>
      <c r="V15" s="2">
        <v>5</v>
      </c>
      <c r="W15" s="2">
        <v>5</v>
      </c>
      <c r="X15" s="2">
        <v>5</v>
      </c>
      <c r="Y15" s="2">
        <v>5</v>
      </c>
      <c r="Z15" s="2">
        <v>5</v>
      </c>
      <c r="AA15" s="2">
        <v>5</v>
      </c>
      <c r="AB15" s="2">
        <v>5</v>
      </c>
      <c r="AC15" s="2">
        <v>5</v>
      </c>
      <c r="AD15" s="2">
        <v>5</v>
      </c>
      <c r="AE15" s="2">
        <v>5</v>
      </c>
      <c r="AF15" s="2">
        <v>5</v>
      </c>
      <c r="AG15" s="6">
        <f t="shared" si="0"/>
        <v>149</v>
      </c>
      <c r="AH15" s="2"/>
      <c r="AK15" s="47">
        <f t="shared" si="4"/>
        <v>79</v>
      </c>
      <c r="AL15" s="47">
        <f t="shared" si="5"/>
        <v>70</v>
      </c>
      <c r="AM15" s="46">
        <f t="shared" si="3"/>
        <v>149</v>
      </c>
    </row>
    <row r="16" spans="1:39" x14ac:dyDescent="0.25">
      <c r="A16" s="5">
        <f>'Mid Sem'!B16</f>
        <v>590018198</v>
      </c>
      <c r="B16" s="5" t="str">
        <f>'Mid Sem'!A16</f>
        <v>Tanisha Chanani</v>
      </c>
      <c r="C16" s="2">
        <v>5</v>
      </c>
      <c r="D16" s="2">
        <v>5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5</v>
      </c>
      <c r="V16" s="2">
        <v>5</v>
      </c>
      <c r="W16" s="2">
        <v>3</v>
      </c>
      <c r="X16" s="2">
        <v>5</v>
      </c>
      <c r="Y16" s="2">
        <v>5</v>
      </c>
      <c r="Z16" s="2">
        <v>5</v>
      </c>
      <c r="AA16" s="2">
        <v>5</v>
      </c>
      <c r="AB16" s="2">
        <v>5</v>
      </c>
      <c r="AC16" s="2">
        <v>5</v>
      </c>
      <c r="AD16" s="2">
        <v>5</v>
      </c>
      <c r="AE16" s="2">
        <v>5</v>
      </c>
      <c r="AF16" s="2">
        <v>5</v>
      </c>
      <c r="AG16" s="6">
        <f t="shared" si="0"/>
        <v>148</v>
      </c>
      <c r="AH16" s="2"/>
      <c r="AK16" s="47">
        <f t="shared" si="4"/>
        <v>80</v>
      </c>
      <c r="AL16" s="47">
        <f t="shared" si="5"/>
        <v>68</v>
      </c>
      <c r="AM16" s="46">
        <f t="shared" si="3"/>
        <v>148</v>
      </c>
    </row>
    <row r="17" spans="1:39" x14ac:dyDescent="0.25">
      <c r="A17" s="5">
        <f>'Mid Sem'!B17</f>
        <v>590018519</v>
      </c>
      <c r="B17" s="5" t="str">
        <f>'Mid Sem'!A17</f>
        <v>Rushil Soni</v>
      </c>
      <c r="C17" s="2">
        <v>5</v>
      </c>
      <c r="D17" s="2">
        <v>4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4</v>
      </c>
      <c r="N17" s="2">
        <v>5</v>
      </c>
      <c r="O17" s="2">
        <v>5</v>
      </c>
      <c r="P17" s="2">
        <v>3</v>
      </c>
      <c r="Q17" s="2">
        <v>5</v>
      </c>
      <c r="R17" s="2">
        <v>5</v>
      </c>
      <c r="S17" s="2">
        <v>5</v>
      </c>
      <c r="T17" s="2">
        <v>5</v>
      </c>
      <c r="U17" s="2">
        <v>4</v>
      </c>
      <c r="V17" s="2">
        <v>5</v>
      </c>
      <c r="W17" s="2">
        <v>3</v>
      </c>
      <c r="X17" s="2">
        <v>5</v>
      </c>
      <c r="Y17" s="2">
        <v>4</v>
      </c>
      <c r="Z17" s="2">
        <v>5</v>
      </c>
      <c r="AA17" s="2">
        <v>5</v>
      </c>
      <c r="AB17" s="2">
        <v>5</v>
      </c>
      <c r="AC17" s="2">
        <v>4</v>
      </c>
      <c r="AD17" s="2">
        <v>3</v>
      </c>
      <c r="AE17" s="2">
        <v>5</v>
      </c>
      <c r="AF17" s="2">
        <v>5</v>
      </c>
      <c r="AG17" s="6">
        <f t="shared" si="0"/>
        <v>139</v>
      </c>
      <c r="AH17" s="2"/>
      <c r="AK17" s="47">
        <f t="shared" si="4"/>
        <v>76</v>
      </c>
      <c r="AL17" s="47">
        <f t="shared" si="5"/>
        <v>63</v>
      </c>
      <c r="AM17" s="46">
        <f t="shared" si="3"/>
        <v>139</v>
      </c>
    </row>
    <row r="18" spans="1:39" x14ac:dyDescent="0.25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6">
        <f t="shared" si="0"/>
        <v>0</v>
      </c>
      <c r="AH18" s="2"/>
    </row>
    <row r="19" spans="1:39" x14ac:dyDescent="0.25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9" x14ac:dyDescent="0.25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9" x14ac:dyDescent="0.25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</sheetData>
  <mergeCells count="2">
    <mergeCell ref="A1:AH1"/>
    <mergeCell ref="A2:AH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9D2C-73CD-4AE4-AA1F-0CD30E8A3469}">
  <dimension ref="A1:AO21"/>
  <sheetViews>
    <sheetView topLeftCell="H1" zoomScale="79" workbookViewId="0">
      <selection activeCell="AK4" sqref="AK4:AO21"/>
    </sheetView>
  </sheetViews>
  <sheetFormatPr defaultRowHeight="15" x14ac:dyDescent="0.25"/>
  <cols>
    <col min="1" max="1" width="19" customWidth="1"/>
    <col min="2" max="2" width="24.28515625" bestFit="1" customWidth="1"/>
    <col min="3" max="5" width="4.5703125" bestFit="1" customWidth="1"/>
    <col min="6" max="6" width="4" customWidth="1"/>
    <col min="7" max="13" width="4.5703125" bestFit="1" customWidth="1"/>
    <col min="14" max="32" width="4.5703125" customWidth="1"/>
    <col min="33" max="33" width="5.42578125" bestFit="1" customWidth="1"/>
    <col min="34" max="34" width="9.7109375" customWidth="1"/>
  </cols>
  <sheetData>
    <row r="1" spans="1:41" ht="24.75" x14ac:dyDescent="0.4">
      <c r="A1" s="64" t="s">
        <v>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</row>
    <row r="2" spans="1:41" ht="24.75" x14ac:dyDescent="0.4">
      <c r="A2" s="64" t="str">
        <f>Marksheet!A2</f>
        <v xml:space="preserve">Computatioal Astrophysics (PHYS 8202) 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</row>
    <row r="3" spans="1:41" x14ac:dyDescent="0.25">
      <c r="A3" s="2"/>
      <c r="B3" s="2"/>
      <c r="C3" s="3" t="s">
        <v>46</v>
      </c>
      <c r="D3" s="3" t="s">
        <v>46</v>
      </c>
      <c r="E3" s="3" t="s">
        <v>46</v>
      </c>
      <c r="F3" s="3" t="s">
        <v>49</v>
      </c>
      <c r="G3" s="3" t="s">
        <v>49</v>
      </c>
      <c r="H3" s="3" t="s">
        <v>46</v>
      </c>
      <c r="I3" s="3" t="s">
        <v>46</v>
      </c>
      <c r="J3" s="3" t="s">
        <v>48</v>
      </c>
      <c r="K3" s="3" t="s">
        <v>46</v>
      </c>
      <c r="L3" s="3" t="s">
        <v>46</v>
      </c>
      <c r="M3" s="3" t="s">
        <v>48</v>
      </c>
      <c r="N3" s="3" t="s">
        <v>47</v>
      </c>
      <c r="O3" s="3" t="s">
        <v>47</v>
      </c>
      <c r="P3" s="3" t="s">
        <v>47</v>
      </c>
      <c r="Q3" s="3" t="s">
        <v>47</v>
      </c>
      <c r="R3" s="3" t="s">
        <v>47</v>
      </c>
      <c r="S3" s="3" t="s">
        <v>47</v>
      </c>
      <c r="T3" s="3" t="s">
        <v>48</v>
      </c>
      <c r="U3" s="3" t="s">
        <v>49</v>
      </c>
      <c r="V3" s="3" t="s">
        <v>47</v>
      </c>
      <c r="W3" s="3" t="s">
        <v>48</v>
      </c>
      <c r="X3" s="3" t="s">
        <v>49</v>
      </c>
      <c r="Y3" s="3" t="s">
        <v>47</v>
      </c>
      <c r="Z3" s="3" t="s">
        <v>47</v>
      </c>
      <c r="AA3" s="3" t="s">
        <v>48</v>
      </c>
      <c r="AB3" s="3" t="s">
        <v>47</v>
      </c>
      <c r="AC3" s="3" t="s">
        <v>49</v>
      </c>
      <c r="AD3" s="3" t="s">
        <v>47</v>
      </c>
      <c r="AE3" s="3" t="s">
        <v>49</v>
      </c>
      <c r="AF3" s="3" t="s">
        <v>47</v>
      </c>
      <c r="AG3" s="2"/>
      <c r="AH3" s="2"/>
    </row>
    <row r="4" spans="1:41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68</v>
      </c>
      <c r="T4" s="4" t="s">
        <v>69</v>
      </c>
      <c r="U4" s="4" t="s">
        <v>70</v>
      </c>
      <c r="V4" s="4" t="s">
        <v>71</v>
      </c>
      <c r="W4" s="4" t="s">
        <v>72</v>
      </c>
      <c r="X4" s="4" t="s">
        <v>73</v>
      </c>
      <c r="Y4" s="4" t="s">
        <v>74</v>
      </c>
      <c r="Z4" s="4" t="s">
        <v>75</v>
      </c>
      <c r="AA4" s="4" t="s">
        <v>76</v>
      </c>
      <c r="AB4" s="4" t="s">
        <v>77</v>
      </c>
      <c r="AC4" s="4" t="s">
        <v>78</v>
      </c>
      <c r="AD4" s="4" t="s">
        <v>79</v>
      </c>
      <c r="AE4" s="4" t="s">
        <v>80</v>
      </c>
      <c r="AF4" s="4" t="s">
        <v>81</v>
      </c>
      <c r="AG4" s="4" t="s">
        <v>14</v>
      </c>
      <c r="AH4" s="4" t="s">
        <v>15</v>
      </c>
      <c r="AK4" s="44" t="s">
        <v>46</v>
      </c>
      <c r="AL4" s="44" t="s">
        <v>47</v>
      </c>
      <c r="AM4" s="44" t="s">
        <v>48</v>
      </c>
      <c r="AN4" s="44" t="s">
        <v>49</v>
      </c>
      <c r="AO4" s="45" t="s">
        <v>14</v>
      </c>
    </row>
    <row r="5" spans="1:41" x14ac:dyDescent="0.25">
      <c r="A5" s="6"/>
      <c r="B5" s="6" t="s">
        <v>18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10</v>
      </c>
      <c r="N5" s="6">
        <v>10</v>
      </c>
      <c r="O5" s="6">
        <v>10</v>
      </c>
      <c r="P5" s="6">
        <v>10</v>
      </c>
      <c r="Q5" s="6">
        <v>10</v>
      </c>
      <c r="R5" s="6">
        <v>10</v>
      </c>
      <c r="S5" s="6">
        <v>10</v>
      </c>
      <c r="T5" s="6">
        <v>10</v>
      </c>
      <c r="U5" s="6">
        <v>10</v>
      </c>
      <c r="V5" s="6">
        <v>10</v>
      </c>
      <c r="W5" s="6">
        <v>10</v>
      </c>
      <c r="X5" s="6">
        <v>10</v>
      </c>
      <c r="Y5" s="6">
        <v>20</v>
      </c>
      <c r="Z5" s="6">
        <v>20</v>
      </c>
      <c r="AA5" s="6">
        <v>20</v>
      </c>
      <c r="AB5" s="6">
        <v>20</v>
      </c>
      <c r="AC5" s="6">
        <v>20</v>
      </c>
      <c r="AD5" s="6">
        <v>20</v>
      </c>
      <c r="AE5" s="6">
        <v>20</v>
      </c>
      <c r="AF5" s="6">
        <v>20</v>
      </c>
      <c r="AG5" s="6">
        <f>SUM(C5:AF5)</f>
        <v>320</v>
      </c>
      <c r="AH5" s="6"/>
      <c r="AK5" s="54">
        <f>SUMIF($C$3:$AF$3, "CO1", $C5:$AF5)</f>
        <v>28</v>
      </c>
      <c r="AL5" s="46">
        <f>SUMIF($C$3:$AF$3, "CO2", $C5:$AF5)</f>
        <v>170</v>
      </c>
      <c r="AM5" s="46">
        <f>SUMIF($C$3:$AF$3, "CO3", $C5:$AF5)</f>
        <v>54</v>
      </c>
      <c r="AN5" s="46">
        <f>SUMIF($C$3:$AF$3, "CO4", $C5:$AF5)</f>
        <v>68</v>
      </c>
      <c r="AO5" s="46">
        <f>SUM(AK5:AN5)</f>
        <v>320</v>
      </c>
    </row>
    <row r="6" spans="1:41" x14ac:dyDescent="0.25">
      <c r="A6" s="5">
        <f>'Mid Sem'!B6</f>
        <v>590010833</v>
      </c>
      <c r="B6" s="5" t="str">
        <f>'Mid Sem'!A6</f>
        <v>Vansh Sharma</v>
      </c>
      <c r="C6" s="2">
        <v>4</v>
      </c>
      <c r="D6" s="2">
        <v>4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10</v>
      </c>
      <c r="N6" s="2">
        <v>10</v>
      </c>
      <c r="O6" s="2">
        <v>10</v>
      </c>
      <c r="P6" s="2">
        <v>10</v>
      </c>
      <c r="Q6" s="2">
        <v>10</v>
      </c>
      <c r="R6" s="2">
        <v>10</v>
      </c>
      <c r="S6" s="2">
        <v>10</v>
      </c>
      <c r="T6" s="2">
        <v>10</v>
      </c>
      <c r="U6" s="2">
        <v>10</v>
      </c>
      <c r="V6" s="2">
        <v>10</v>
      </c>
      <c r="W6" s="2">
        <v>10</v>
      </c>
      <c r="X6" s="2">
        <v>10</v>
      </c>
      <c r="Y6" s="2">
        <v>20</v>
      </c>
      <c r="Z6" s="2">
        <v>20</v>
      </c>
      <c r="AA6" s="2">
        <v>20</v>
      </c>
      <c r="AB6" s="2">
        <v>20</v>
      </c>
      <c r="AC6" s="2">
        <v>20</v>
      </c>
      <c r="AD6" s="2">
        <v>20</v>
      </c>
      <c r="AE6" s="2">
        <v>20</v>
      </c>
      <c r="AF6" s="2">
        <v>20</v>
      </c>
      <c r="AG6" s="6">
        <f t="shared" ref="AG6:AG18" si="0">SUM(C6:AF6)</f>
        <v>320</v>
      </c>
      <c r="AH6" s="2"/>
      <c r="AK6" s="55">
        <f t="shared" ref="AK6:AK17" si="1">SUMIF($C$3:$AF$3, "CO1", $C6:$AF6)</f>
        <v>28</v>
      </c>
      <c r="AL6" s="56">
        <f t="shared" ref="AL6:AL17" si="2">SUMIF($C$3:$AF$3, "CO2", $C6:$AF6)</f>
        <v>170</v>
      </c>
      <c r="AM6" s="56">
        <f t="shared" ref="AM6:AM16" si="3">SUMIF($C$3:$AF$3, "CO3", $C6:$AF6)</f>
        <v>54</v>
      </c>
      <c r="AN6" s="56">
        <f t="shared" ref="AN6:AN17" si="4">SUMIF($C$3:$AF$3, "CO4", $C6:$AF6)</f>
        <v>68</v>
      </c>
      <c r="AO6" s="46">
        <f t="shared" ref="AO6:AO17" si="5">SUM(AK6:AN6)</f>
        <v>320</v>
      </c>
    </row>
    <row r="7" spans="1:41" x14ac:dyDescent="0.25">
      <c r="A7" s="5">
        <f>'Mid Sem'!B7</f>
        <v>590010853</v>
      </c>
      <c r="B7" s="5" t="str">
        <f>'Mid Sem'!A7</f>
        <v>Mokshika Saini</v>
      </c>
      <c r="C7" s="2">
        <v>4</v>
      </c>
      <c r="D7" s="2">
        <v>4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10</v>
      </c>
      <c r="N7" s="2">
        <v>10</v>
      </c>
      <c r="O7" s="2">
        <v>10</v>
      </c>
      <c r="P7" s="2">
        <v>10</v>
      </c>
      <c r="Q7" s="2">
        <v>10</v>
      </c>
      <c r="R7" s="2">
        <v>10</v>
      </c>
      <c r="S7" s="2">
        <v>10</v>
      </c>
      <c r="T7" s="2">
        <v>10</v>
      </c>
      <c r="U7" s="2">
        <v>10</v>
      </c>
      <c r="V7" s="2">
        <v>10</v>
      </c>
      <c r="W7" s="2">
        <v>10</v>
      </c>
      <c r="X7" s="2">
        <v>10</v>
      </c>
      <c r="Y7" s="2">
        <v>20</v>
      </c>
      <c r="Z7" s="2">
        <v>20</v>
      </c>
      <c r="AA7" s="2">
        <v>20</v>
      </c>
      <c r="AB7" s="2">
        <v>20</v>
      </c>
      <c r="AC7" s="2">
        <v>20</v>
      </c>
      <c r="AD7" s="2">
        <v>20</v>
      </c>
      <c r="AE7" s="2">
        <v>20</v>
      </c>
      <c r="AF7" s="2">
        <v>20</v>
      </c>
      <c r="AG7" s="6">
        <f t="shared" si="0"/>
        <v>320</v>
      </c>
      <c r="AH7" s="2"/>
      <c r="AK7" s="55">
        <f t="shared" si="1"/>
        <v>28</v>
      </c>
      <c r="AL7" s="56">
        <f t="shared" si="2"/>
        <v>170</v>
      </c>
      <c r="AM7" s="56">
        <f t="shared" si="3"/>
        <v>54</v>
      </c>
      <c r="AN7" s="56">
        <f t="shared" si="4"/>
        <v>68</v>
      </c>
      <c r="AO7" s="46">
        <f t="shared" si="5"/>
        <v>320</v>
      </c>
    </row>
    <row r="8" spans="1:41" x14ac:dyDescent="0.25">
      <c r="A8" s="5">
        <f>'Mid Sem'!B8</f>
        <v>590011314</v>
      </c>
      <c r="B8" s="5" t="str">
        <f>'Mid Sem'!A8</f>
        <v>Sakshi Sheshrao Charde</v>
      </c>
      <c r="C8" s="2">
        <v>4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>
        <v>10</v>
      </c>
      <c r="N8" s="2">
        <v>10</v>
      </c>
      <c r="O8" s="2">
        <v>10</v>
      </c>
      <c r="P8" s="2">
        <v>10</v>
      </c>
      <c r="Q8" s="2">
        <v>10</v>
      </c>
      <c r="R8" s="2">
        <v>9</v>
      </c>
      <c r="S8" s="2">
        <v>10</v>
      </c>
      <c r="T8" s="2">
        <v>10</v>
      </c>
      <c r="U8" s="2">
        <v>10</v>
      </c>
      <c r="V8" s="2">
        <v>10</v>
      </c>
      <c r="W8" s="2">
        <v>10</v>
      </c>
      <c r="X8" s="2">
        <v>10</v>
      </c>
      <c r="Y8" s="2">
        <v>20</v>
      </c>
      <c r="Z8" s="2">
        <v>20</v>
      </c>
      <c r="AA8" s="2">
        <v>20</v>
      </c>
      <c r="AB8" s="2">
        <v>20</v>
      </c>
      <c r="AC8" s="2">
        <v>20</v>
      </c>
      <c r="AD8" s="2">
        <v>20</v>
      </c>
      <c r="AE8" s="2">
        <v>20</v>
      </c>
      <c r="AF8" s="2">
        <v>20</v>
      </c>
      <c r="AG8" s="6">
        <v>319</v>
      </c>
      <c r="AH8" s="2"/>
      <c r="AK8" s="55">
        <f t="shared" si="1"/>
        <v>28</v>
      </c>
      <c r="AL8" s="56">
        <f t="shared" si="2"/>
        <v>169</v>
      </c>
      <c r="AM8" s="56">
        <f t="shared" si="3"/>
        <v>54</v>
      </c>
      <c r="AN8" s="56">
        <f t="shared" si="4"/>
        <v>68</v>
      </c>
      <c r="AO8" s="46">
        <f t="shared" si="5"/>
        <v>319</v>
      </c>
    </row>
    <row r="9" spans="1:41" x14ac:dyDescent="0.25">
      <c r="A9" s="5">
        <f>'Mid Sem'!B9</f>
        <v>590011462</v>
      </c>
      <c r="B9" s="5" t="str">
        <f>'Mid Sem'!A9</f>
        <v>Akash Vinodshirke</v>
      </c>
      <c r="C9" s="2">
        <v>4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4</v>
      </c>
      <c r="M9" s="2">
        <v>10</v>
      </c>
      <c r="N9" s="2">
        <v>10</v>
      </c>
      <c r="O9" s="2">
        <v>10</v>
      </c>
      <c r="P9" s="2">
        <v>10</v>
      </c>
      <c r="Q9" s="2">
        <v>10</v>
      </c>
      <c r="R9" s="2">
        <v>10</v>
      </c>
      <c r="S9" s="2">
        <v>10</v>
      </c>
      <c r="T9" s="2">
        <v>10</v>
      </c>
      <c r="U9" s="2">
        <v>10</v>
      </c>
      <c r="V9" s="2">
        <v>10</v>
      </c>
      <c r="W9" s="2">
        <v>10</v>
      </c>
      <c r="X9" s="2">
        <v>10</v>
      </c>
      <c r="Y9" s="2">
        <v>20</v>
      </c>
      <c r="Z9" s="2">
        <v>20</v>
      </c>
      <c r="AA9" s="2">
        <v>20</v>
      </c>
      <c r="AB9" s="2">
        <v>20</v>
      </c>
      <c r="AC9" s="2">
        <v>20</v>
      </c>
      <c r="AD9" s="2">
        <v>20</v>
      </c>
      <c r="AE9" s="2">
        <v>20</v>
      </c>
      <c r="AF9" s="2">
        <v>20</v>
      </c>
      <c r="AG9" s="6">
        <f t="shared" si="0"/>
        <v>320</v>
      </c>
      <c r="AH9" s="2"/>
      <c r="AK9" s="55">
        <f t="shared" si="1"/>
        <v>28</v>
      </c>
      <c r="AL9" s="56">
        <f t="shared" si="2"/>
        <v>170</v>
      </c>
      <c r="AM9" s="56">
        <f t="shared" si="3"/>
        <v>54</v>
      </c>
      <c r="AN9" s="56">
        <f t="shared" si="4"/>
        <v>68</v>
      </c>
      <c r="AO9" s="46">
        <f t="shared" si="5"/>
        <v>320</v>
      </c>
    </row>
    <row r="10" spans="1:41" x14ac:dyDescent="0.25">
      <c r="A10" s="5">
        <f>'Mid Sem'!B10</f>
        <v>590013559</v>
      </c>
      <c r="B10" s="5" t="str">
        <f>'Mid Sem'!A10</f>
        <v>Deevija Garg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10</v>
      </c>
      <c r="N10" s="2">
        <v>10</v>
      </c>
      <c r="O10" s="2">
        <v>10</v>
      </c>
      <c r="P10" s="2">
        <v>10</v>
      </c>
      <c r="Q10" s="2">
        <v>10</v>
      </c>
      <c r="R10" s="2">
        <v>10</v>
      </c>
      <c r="S10" s="2">
        <v>10</v>
      </c>
      <c r="T10" s="2">
        <v>10</v>
      </c>
      <c r="U10" s="2">
        <v>10</v>
      </c>
      <c r="V10" s="2">
        <v>10</v>
      </c>
      <c r="W10" s="2">
        <v>10</v>
      </c>
      <c r="X10" s="2">
        <v>10</v>
      </c>
      <c r="Y10" s="2">
        <v>20</v>
      </c>
      <c r="Z10" s="2">
        <v>20</v>
      </c>
      <c r="AA10" s="2">
        <v>20</v>
      </c>
      <c r="AB10" s="2">
        <v>20</v>
      </c>
      <c r="AC10" s="2">
        <v>20</v>
      </c>
      <c r="AD10" s="2">
        <v>20</v>
      </c>
      <c r="AE10" s="2">
        <v>20</v>
      </c>
      <c r="AF10" s="2">
        <v>20</v>
      </c>
      <c r="AG10" s="6">
        <f t="shared" si="0"/>
        <v>320</v>
      </c>
      <c r="AH10" s="2"/>
      <c r="AK10" s="55">
        <f t="shared" si="1"/>
        <v>28</v>
      </c>
      <c r="AL10" s="56">
        <f t="shared" si="2"/>
        <v>170</v>
      </c>
      <c r="AM10" s="56">
        <f t="shared" si="3"/>
        <v>54</v>
      </c>
      <c r="AN10" s="56">
        <f t="shared" si="4"/>
        <v>68</v>
      </c>
      <c r="AO10" s="46">
        <f t="shared" si="5"/>
        <v>320</v>
      </c>
    </row>
    <row r="11" spans="1:41" x14ac:dyDescent="0.25">
      <c r="A11" s="5">
        <f>'Mid Sem'!B11</f>
        <v>590014314</v>
      </c>
      <c r="B11" s="5" t="str">
        <f>'Mid Sem'!A11</f>
        <v>Chandni Negi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6">
        <f t="shared" si="0"/>
        <v>0</v>
      </c>
      <c r="AH11" s="2"/>
      <c r="AK11" s="55">
        <f t="shared" si="1"/>
        <v>0</v>
      </c>
      <c r="AL11" s="56">
        <f t="shared" si="2"/>
        <v>0</v>
      </c>
      <c r="AM11" s="56">
        <f t="shared" si="3"/>
        <v>0</v>
      </c>
      <c r="AN11" s="56">
        <f t="shared" si="4"/>
        <v>0</v>
      </c>
      <c r="AO11" s="46">
        <f t="shared" si="5"/>
        <v>0</v>
      </c>
    </row>
    <row r="12" spans="1:41" x14ac:dyDescent="0.25">
      <c r="A12" s="5">
        <f>'Mid Sem'!B12</f>
        <v>590016280</v>
      </c>
      <c r="B12" s="5" t="str">
        <f>'Mid Sem'!A12</f>
        <v>Divya Krishna</v>
      </c>
      <c r="C12" s="2">
        <v>4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10</v>
      </c>
      <c r="N12" s="2">
        <v>10</v>
      </c>
      <c r="O12" s="2">
        <v>10</v>
      </c>
      <c r="P12" s="2">
        <v>10</v>
      </c>
      <c r="Q12" s="2">
        <v>10</v>
      </c>
      <c r="R12" s="2">
        <v>10</v>
      </c>
      <c r="S12" s="2">
        <v>10</v>
      </c>
      <c r="T12" s="2">
        <v>10</v>
      </c>
      <c r="U12" s="2">
        <v>10</v>
      </c>
      <c r="V12" s="2">
        <v>10</v>
      </c>
      <c r="W12" s="2">
        <v>10</v>
      </c>
      <c r="X12" s="2">
        <v>10</v>
      </c>
      <c r="Y12" s="2">
        <v>20</v>
      </c>
      <c r="Z12" s="2">
        <v>20</v>
      </c>
      <c r="AA12" s="2">
        <v>20</v>
      </c>
      <c r="AB12" s="2">
        <v>20</v>
      </c>
      <c r="AC12" s="2">
        <v>20</v>
      </c>
      <c r="AD12" s="2">
        <v>20</v>
      </c>
      <c r="AE12" s="2">
        <v>20</v>
      </c>
      <c r="AF12" s="2">
        <v>20</v>
      </c>
      <c r="AG12" s="6">
        <f t="shared" si="0"/>
        <v>320</v>
      </c>
      <c r="AH12" s="2"/>
      <c r="AK12" s="55">
        <f t="shared" si="1"/>
        <v>28</v>
      </c>
      <c r="AL12" s="56">
        <f t="shared" si="2"/>
        <v>170</v>
      </c>
      <c r="AM12" s="56">
        <f t="shared" si="3"/>
        <v>54</v>
      </c>
      <c r="AN12" s="56">
        <f t="shared" si="4"/>
        <v>68</v>
      </c>
      <c r="AO12" s="46">
        <f t="shared" si="5"/>
        <v>320</v>
      </c>
    </row>
    <row r="13" spans="1:41" x14ac:dyDescent="0.25">
      <c r="A13" s="5">
        <f>'Mid Sem'!B13</f>
        <v>590017181</v>
      </c>
      <c r="B13" s="5" t="str">
        <f>'Mid Sem'!A13</f>
        <v>Shubhangee Shukla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6">
        <f t="shared" si="0"/>
        <v>0</v>
      </c>
      <c r="AH13" s="2"/>
      <c r="AK13" s="55">
        <f t="shared" si="1"/>
        <v>0</v>
      </c>
      <c r="AL13" s="56">
        <f t="shared" si="2"/>
        <v>0</v>
      </c>
      <c r="AM13" s="56">
        <f t="shared" si="3"/>
        <v>0</v>
      </c>
      <c r="AN13" s="56">
        <f t="shared" si="4"/>
        <v>0</v>
      </c>
      <c r="AO13" s="46">
        <f t="shared" si="5"/>
        <v>0</v>
      </c>
    </row>
    <row r="14" spans="1:41" x14ac:dyDescent="0.25">
      <c r="A14" s="5">
        <f>'Mid Sem'!B14</f>
        <v>590017658</v>
      </c>
      <c r="B14" s="5" t="str">
        <f>'Mid Sem'!A14</f>
        <v>Heera Singh</v>
      </c>
      <c r="C14" s="47">
        <v>4</v>
      </c>
      <c r="D14" s="47">
        <v>4</v>
      </c>
      <c r="E14" s="47">
        <v>4</v>
      </c>
      <c r="F14" s="47">
        <v>4</v>
      </c>
      <c r="G14" s="47">
        <v>4</v>
      </c>
      <c r="H14" s="47">
        <v>4</v>
      </c>
      <c r="I14" s="47">
        <v>4</v>
      </c>
      <c r="J14" s="47">
        <v>4</v>
      </c>
      <c r="K14" s="47">
        <v>4</v>
      </c>
      <c r="L14" s="47">
        <v>4</v>
      </c>
      <c r="M14" s="47">
        <v>10</v>
      </c>
      <c r="N14" s="47">
        <v>8</v>
      </c>
      <c r="O14" s="47">
        <v>10</v>
      </c>
      <c r="P14" s="47">
        <v>10</v>
      </c>
      <c r="Q14" s="47">
        <v>10</v>
      </c>
      <c r="R14" s="47">
        <v>9</v>
      </c>
      <c r="S14" s="47">
        <v>10</v>
      </c>
      <c r="T14" s="47">
        <v>10</v>
      </c>
      <c r="U14" s="47">
        <v>9</v>
      </c>
      <c r="V14" s="47">
        <v>10</v>
      </c>
      <c r="W14" s="47">
        <v>10</v>
      </c>
      <c r="X14" s="47">
        <v>10</v>
      </c>
      <c r="Y14" s="47">
        <v>20</v>
      </c>
      <c r="Z14" s="47">
        <v>18</v>
      </c>
      <c r="AA14" s="47">
        <v>20</v>
      </c>
      <c r="AB14" s="47">
        <v>20</v>
      </c>
      <c r="AC14" s="47">
        <v>18</v>
      </c>
      <c r="AD14" s="47">
        <v>20</v>
      </c>
      <c r="AE14" s="47">
        <v>20</v>
      </c>
      <c r="AF14" s="47">
        <v>20</v>
      </c>
      <c r="AG14" s="6">
        <f t="shared" si="0"/>
        <v>312</v>
      </c>
      <c r="AH14" s="2"/>
      <c r="AK14" s="55">
        <f t="shared" si="1"/>
        <v>28</v>
      </c>
      <c r="AL14" s="56">
        <f t="shared" si="2"/>
        <v>165</v>
      </c>
      <c r="AM14" s="56">
        <f t="shared" si="3"/>
        <v>54</v>
      </c>
      <c r="AN14" s="56">
        <f t="shared" si="4"/>
        <v>65</v>
      </c>
      <c r="AO14" s="46">
        <f t="shared" si="5"/>
        <v>312</v>
      </c>
    </row>
    <row r="15" spans="1:41" x14ac:dyDescent="0.25">
      <c r="A15" s="5">
        <f>'Mid Sem'!B15</f>
        <v>590017776</v>
      </c>
      <c r="B15" s="5" t="str">
        <f>'Mid Sem'!A15</f>
        <v>Abhineet Srivastava</v>
      </c>
      <c r="C15" s="47">
        <v>4</v>
      </c>
      <c r="D15" s="47">
        <v>4</v>
      </c>
      <c r="E15" s="47">
        <v>4</v>
      </c>
      <c r="F15" s="47">
        <v>4</v>
      </c>
      <c r="G15" s="47">
        <v>4</v>
      </c>
      <c r="H15" s="47">
        <v>4</v>
      </c>
      <c r="I15" s="47">
        <v>4</v>
      </c>
      <c r="J15" s="47">
        <v>4</v>
      </c>
      <c r="K15" s="47">
        <v>4</v>
      </c>
      <c r="L15" s="47">
        <v>4</v>
      </c>
      <c r="M15" s="47">
        <v>8</v>
      </c>
      <c r="N15" s="47">
        <v>6</v>
      </c>
      <c r="O15" s="47">
        <v>10</v>
      </c>
      <c r="P15" s="47">
        <v>10</v>
      </c>
      <c r="Q15" s="47">
        <v>10</v>
      </c>
      <c r="R15" s="47">
        <v>10</v>
      </c>
      <c r="S15" s="47">
        <v>10</v>
      </c>
      <c r="T15" s="47">
        <v>10</v>
      </c>
      <c r="U15" s="47">
        <v>10</v>
      </c>
      <c r="V15" s="47">
        <v>10</v>
      </c>
      <c r="W15" s="47">
        <v>10</v>
      </c>
      <c r="X15" s="47">
        <v>10</v>
      </c>
      <c r="Y15" s="47">
        <v>20</v>
      </c>
      <c r="Z15" s="47">
        <v>20</v>
      </c>
      <c r="AA15" s="47">
        <v>20</v>
      </c>
      <c r="AB15" s="47">
        <v>20</v>
      </c>
      <c r="AC15" s="47">
        <v>20</v>
      </c>
      <c r="AD15" s="47">
        <v>20</v>
      </c>
      <c r="AE15" s="47">
        <v>20</v>
      </c>
      <c r="AF15" s="47">
        <v>20</v>
      </c>
      <c r="AG15" s="6">
        <f t="shared" si="0"/>
        <v>314</v>
      </c>
      <c r="AH15" s="2"/>
      <c r="AK15" s="55">
        <f t="shared" si="1"/>
        <v>28</v>
      </c>
      <c r="AL15" s="56">
        <f t="shared" si="2"/>
        <v>166</v>
      </c>
      <c r="AM15" s="56">
        <f t="shared" si="3"/>
        <v>52</v>
      </c>
      <c r="AN15" s="56">
        <f t="shared" si="4"/>
        <v>68</v>
      </c>
      <c r="AO15" s="46">
        <f t="shared" si="5"/>
        <v>314</v>
      </c>
    </row>
    <row r="16" spans="1:41" x14ac:dyDescent="0.25">
      <c r="A16" s="5">
        <f>'Mid Sem'!B16</f>
        <v>590018198</v>
      </c>
      <c r="B16" s="5" t="str">
        <f>'Mid Sem'!A16</f>
        <v>Tanisha Chanani</v>
      </c>
      <c r="C16" s="2">
        <v>4</v>
      </c>
      <c r="D16" s="2">
        <v>4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4</v>
      </c>
      <c r="M16" s="2">
        <v>7</v>
      </c>
      <c r="N16" s="2">
        <v>7</v>
      </c>
      <c r="O16" s="2">
        <v>10</v>
      </c>
      <c r="P16" s="2">
        <v>10</v>
      </c>
      <c r="Q16" s="2">
        <v>10</v>
      </c>
      <c r="R16" s="2">
        <v>10</v>
      </c>
      <c r="S16" s="2">
        <v>10</v>
      </c>
      <c r="T16" s="2">
        <v>10</v>
      </c>
      <c r="U16" s="2">
        <v>10</v>
      </c>
      <c r="V16" s="2">
        <v>10</v>
      </c>
      <c r="W16" s="2">
        <v>10</v>
      </c>
      <c r="X16" s="2">
        <v>10</v>
      </c>
      <c r="Y16" s="2">
        <v>20</v>
      </c>
      <c r="Z16" s="2">
        <v>20</v>
      </c>
      <c r="AA16" s="2">
        <v>20</v>
      </c>
      <c r="AB16" s="2">
        <v>20</v>
      </c>
      <c r="AC16" s="2">
        <v>20</v>
      </c>
      <c r="AD16" s="2">
        <v>20</v>
      </c>
      <c r="AE16" s="2">
        <v>20</v>
      </c>
      <c r="AF16" s="2">
        <v>20</v>
      </c>
      <c r="AG16" s="6">
        <v>314</v>
      </c>
      <c r="AH16" s="2"/>
      <c r="AK16" s="55">
        <f t="shared" si="1"/>
        <v>28</v>
      </c>
      <c r="AL16" s="56">
        <f t="shared" si="2"/>
        <v>167</v>
      </c>
      <c r="AM16" s="56">
        <f t="shared" si="3"/>
        <v>51</v>
      </c>
      <c r="AN16" s="56">
        <f t="shared" si="4"/>
        <v>68</v>
      </c>
      <c r="AO16" s="46">
        <f t="shared" si="5"/>
        <v>314</v>
      </c>
    </row>
    <row r="17" spans="1:41" x14ac:dyDescent="0.25">
      <c r="A17" s="5">
        <f>'Mid Sem'!B17</f>
        <v>590018519</v>
      </c>
      <c r="B17" s="5" t="str">
        <f>'Mid Sem'!A17</f>
        <v>Rushil Soni</v>
      </c>
      <c r="C17" s="2">
        <v>4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4</v>
      </c>
      <c r="K17" s="2">
        <v>4</v>
      </c>
      <c r="L17" s="2">
        <v>4</v>
      </c>
      <c r="M17" s="2">
        <v>10</v>
      </c>
      <c r="N17" s="2">
        <v>10</v>
      </c>
      <c r="O17" s="2">
        <v>10</v>
      </c>
      <c r="P17" s="2">
        <v>10</v>
      </c>
      <c r="Q17" s="2">
        <v>10</v>
      </c>
      <c r="R17" s="2">
        <v>10</v>
      </c>
      <c r="S17" s="2">
        <v>10</v>
      </c>
      <c r="T17" s="2">
        <v>10</v>
      </c>
      <c r="U17" s="2">
        <v>10</v>
      </c>
      <c r="V17" s="2">
        <v>10</v>
      </c>
      <c r="W17" s="2">
        <v>10</v>
      </c>
      <c r="X17" s="2">
        <v>10</v>
      </c>
      <c r="Y17" s="2">
        <v>20</v>
      </c>
      <c r="Z17" s="2">
        <v>20</v>
      </c>
      <c r="AA17" s="2">
        <v>20</v>
      </c>
      <c r="AB17" s="2">
        <v>20</v>
      </c>
      <c r="AC17" s="2">
        <v>20</v>
      </c>
      <c r="AD17" s="2">
        <v>20</v>
      </c>
      <c r="AE17" s="2">
        <v>20</v>
      </c>
      <c r="AF17" s="2">
        <v>20</v>
      </c>
      <c r="AG17" s="6">
        <f t="shared" si="0"/>
        <v>320</v>
      </c>
      <c r="AH17" s="2"/>
      <c r="AK17" s="55">
        <f t="shared" si="1"/>
        <v>28</v>
      </c>
      <c r="AL17" s="56">
        <f t="shared" si="2"/>
        <v>170</v>
      </c>
      <c r="AM17" s="56">
        <f>SUMIF($C$3:$AF$3, "CO3", $C17:$AF17)</f>
        <v>54</v>
      </c>
      <c r="AN17" s="56">
        <f t="shared" si="4"/>
        <v>68</v>
      </c>
      <c r="AO17" s="46">
        <f t="shared" si="5"/>
        <v>320</v>
      </c>
    </row>
    <row r="18" spans="1:41" x14ac:dyDescent="0.25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6">
        <f t="shared" si="0"/>
        <v>0</v>
      </c>
      <c r="AH18" s="2"/>
      <c r="AK18" s="55"/>
      <c r="AL18" s="55"/>
      <c r="AM18" s="55"/>
      <c r="AN18" s="55"/>
      <c r="AO18" s="54"/>
    </row>
    <row r="19" spans="1:41" x14ac:dyDescent="0.25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K19" s="55"/>
      <c r="AL19" s="55"/>
      <c r="AM19" s="55"/>
      <c r="AN19" s="55"/>
      <c r="AO19" s="55"/>
    </row>
    <row r="20" spans="1:41" x14ac:dyDescent="0.25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K20" s="55"/>
      <c r="AL20" s="55"/>
      <c r="AM20" s="55"/>
      <c r="AN20" s="55"/>
      <c r="AO20" s="55"/>
    </row>
    <row r="21" spans="1:41" x14ac:dyDescent="0.25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K21" s="55"/>
      <c r="AL21" s="55"/>
      <c r="AM21" s="55"/>
      <c r="AN21" s="55"/>
      <c r="AO21" s="55"/>
    </row>
  </sheetData>
  <mergeCells count="2">
    <mergeCell ref="A1:AH1"/>
    <mergeCell ref="A2:A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20EC-5887-4CA4-8B00-C82693C60F77}">
  <sheetPr>
    <pageSetUpPr fitToPage="1"/>
  </sheetPr>
  <dimension ref="A1:V55"/>
  <sheetViews>
    <sheetView workbookViewId="0">
      <selection activeCell="L13" sqref="L13"/>
    </sheetView>
  </sheetViews>
  <sheetFormatPr defaultRowHeight="15" x14ac:dyDescent="0.25"/>
  <cols>
    <col min="1" max="1" width="25" customWidth="1"/>
    <col min="2" max="2" width="24.5703125" style="13" customWidth="1"/>
    <col min="15" max="15" width="13.140625" customWidth="1"/>
  </cols>
  <sheetData>
    <row r="1" spans="1:22" ht="24.75" x14ac:dyDescent="0.4">
      <c r="A1" s="64" t="s">
        <v>82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22" ht="24.75" x14ac:dyDescent="0.4">
      <c r="A2" s="64" t="str">
        <f>Marksheet!A2</f>
        <v xml:space="preserve">Computatioal Astrophysics (PHYS 8202) 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22" x14ac:dyDescent="0.25">
      <c r="A3" s="2"/>
      <c r="B3" s="14"/>
      <c r="C3" s="3" t="s">
        <v>46</v>
      </c>
      <c r="D3" s="3" t="s">
        <v>47</v>
      </c>
      <c r="E3" s="3" t="s">
        <v>46</v>
      </c>
      <c r="F3" s="3" t="s">
        <v>47</v>
      </c>
      <c r="G3" s="3" t="s">
        <v>49</v>
      </c>
      <c r="H3" s="3" t="s">
        <v>47</v>
      </c>
      <c r="I3" s="3" t="s">
        <v>49</v>
      </c>
      <c r="J3" s="3" t="s">
        <v>47</v>
      </c>
      <c r="K3" s="3" t="s">
        <v>83</v>
      </c>
      <c r="L3" s="3"/>
      <c r="M3" s="3"/>
      <c r="N3" s="2"/>
      <c r="O3" s="2"/>
    </row>
    <row r="4" spans="1:22" x14ac:dyDescent="0.25">
      <c r="A4" s="4" t="s">
        <v>51</v>
      </c>
      <c r="B4" s="15" t="s">
        <v>84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58</v>
      </c>
      <c r="J4" s="8" t="s">
        <v>59</v>
      </c>
      <c r="K4" s="8" t="s">
        <v>60</v>
      </c>
      <c r="L4" s="8" t="s">
        <v>61</v>
      </c>
      <c r="M4" s="8" t="s">
        <v>62</v>
      </c>
      <c r="N4" s="8" t="s">
        <v>14</v>
      </c>
      <c r="O4" s="8" t="s">
        <v>15</v>
      </c>
      <c r="R4" s="3" t="s">
        <v>46</v>
      </c>
      <c r="S4" s="3" t="s">
        <v>47</v>
      </c>
      <c r="T4" s="3" t="s">
        <v>48</v>
      </c>
      <c r="U4" s="3" t="s">
        <v>49</v>
      </c>
      <c r="V4" s="4" t="s">
        <v>14</v>
      </c>
    </row>
    <row r="5" spans="1:22" x14ac:dyDescent="0.25">
      <c r="A5" s="6"/>
      <c r="B5" s="9" t="s">
        <v>18</v>
      </c>
      <c r="C5" s="9">
        <v>6</v>
      </c>
      <c r="D5" s="9">
        <v>6</v>
      </c>
      <c r="E5" s="9">
        <v>6</v>
      </c>
      <c r="F5" s="9">
        <v>6</v>
      </c>
      <c r="G5" s="9">
        <v>6</v>
      </c>
      <c r="H5" s="9">
        <v>15</v>
      </c>
      <c r="I5" s="9">
        <v>15</v>
      </c>
      <c r="J5" s="9">
        <v>15</v>
      </c>
      <c r="K5" s="9">
        <v>25</v>
      </c>
      <c r="L5" s="9"/>
      <c r="M5" s="9"/>
      <c r="N5" s="9">
        <f>SUM(C5:K5)</f>
        <v>100</v>
      </c>
      <c r="O5" s="9"/>
      <c r="R5" s="12">
        <f>SUM(C5,E5)</f>
        <v>12</v>
      </c>
      <c r="S5" s="12">
        <f>SUM(D5,F5,H5,J5)</f>
        <v>42</v>
      </c>
      <c r="T5" s="5">
        <f>SUM(K5)*3/5</f>
        <v>15</v>
      </c>
      <c r="U5" s="5">
        <f>G5 + I5 + K5*2/5</f>
        <v>31</v>
      </c>
      <c r="V5">
        <f>SUM(R5:U5)</f>
        <v>100</v>
      </c>
    </row>
    <row r="6" spans="1:22" x14ac:dyDescent="0.25">
      <c r="A6" s="5" t="str">
        <f>Marksheet!A5</f>
        <v>Vansh Sharma</v>
      </c>
      <c r="B6" s="14">
        <f>Marksheet!B5</f>
        <v>590010833</v>
      </c>
      <c r="C6" s="52">
        <v>4</v>
      </c>
      <c r="D6" s="52">
        <v>3</v>
      </c>
      <c r="E6" s="52">
        <v>6</v>
      </c>
      <c r="F6" s="52">
        <v>2</v>
      </c>
      <c r="G6" s="52">
        <v>2</v>
      </c>
      <c r="H6" s="52">
        <v>4</v>
      </c>
      <c r="I6" s="52">
        <v>4</v>
      </c>
      <c r="J6" s="52">
        <v>7</v>
      </c>
      <c r="K6" s="52">
        <v>10</v>
      </c>
      <c r="L6" s="52"/>
      <c r="M6" s="2"/>
      <c r="N6" s="9">
        <f>SUM(C6:K6)</f>
        <v>42</v>
      </c>
      <c r="O6" s="2"/>
      <c r="R6" s="12">
        <f t="shared" ref="R6:R21" si="0">SUM(C6,E6)</f>
        <v>10</v>
      </c>
      <c r="S6" s="12">
        <f t="shared" ref="S6:S21" si="1">SUM(D6,F6,H6,J6)</f>
        <v>16</v>
      </c>
      <c r="T6" s="5">
        <f t="shared" ref="T6:T21" si="2">SUM(K6)*3/5</f>
        <v>6</v>
      </c>
      <c r="U6" s="5">
        <f t="shared" ref="U6:U21" si="3">G6 + I6 + K6*2/5</f>
        <v>10</v>
      </c>
      <c r="V6">
        <f t="shared" ref="V6:V21" si="4">SUM(R6:U6)</f>
        <v>42</v>
      </c>
    </row>
    <row r="7" spans="1:22" x14ac:dyDescent="0.25">
      <c r="A7" s="5" t="str">
        <f>Marksheet!A6</f>
        <v>Mokshika Saini</v>
      </c>
      <c r="B7" s="14">
        <f>Marksheet!B6</f>
        <v>590010853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2"/>
      <c r="N7" s="9">
        <f t="shared" ref="N7:N21" si="5">SUM(C7:H7)</f>
        <v>0</v>
      </c>
      <c r="O7" s="2"/>
      <c r="R7" s="12">
        <f t="shared" si="0"/>
        <v>0</v>
      </c>
      <c r="S7" s="12">
        <f t="shared" si="1"/>
        <v>0</v>
      </c>
      <c r="T7" s="5">
        <f t="shared" si="2"/>
        <v>0</v>
      </c>
      <c r="U7" s="5">
        <f t="shared" si="3"/>
        <v>0</v>
      </c>
      <c r="V7">
        <f t="shared" si="4"/>
        <v>0</v>
      </c>
    </row>
    <row r="8" spans="1:22" x14ac:dyDescent="0.25">
      <c r="A8" s="5" t="str">
        <f>Marksheet!A7</f>
        <v>Sakshi Sheshrao Charde</v>
      </c>
      <c r="B8" s="14">
        <f>Marksheet!B7</f>
        <v>590011314</v>
      </c>
      <c r="C8" s="52">
        <v>4</v>
      </c>
      <c r="D8" s="52">
        <v>4</v>
      </c>
      <c r="E8" s="52">
        <v>6</v>
      </c>
      <c r="F8" s="52">
        <v>4</v>
      </c>
      <c r="G8" s="52">
        <v>6</v>
      </c>
      <c r="H8" s="52">
        <v>9</v>
      </c>
      <c r="I8" s="52">
        <v>2</v>
      </c>
      <c r="J8" s="52">
        <v>5</v>
      </c>
      <c r="K8" s="52">
        <v>0</v>
      </c>
      <c r="L8" s="52"/>
      <c r="M8" s="2"/>
      <c r="N8" s="9">
        <f>SUM(C8:K8)</f>
        <v>40</v>
      </c>
      <c r="O8" s="2"/>
      <c r="R8" s="12">
        <f t="shared" si="0"/>
        <v>10</v>
      </c>
      <c r="S8" s="12">
        <f t="shared" si="1"/>
        <v>22</v>
      </c>
      <c r="T8" s="5">
        <f t="shared" si="2"/>
        <v>0</v>
      </c>
      <c r="U8" s="5">
        <f t="shared" si="3"/>
        <v>8</v>
      </c>
      <c r="V8">
        <f t="shared" si="4"/>
        <v>40</v>
      </c>
    </row>
    <row r="9" spans="1:22" x14ac:dyDescent="0.25">
      <c r="A9" s="5" t="str">
        <f>Marksheet!A8</f>
        <v>Akash Vinodshirke</v>
      </c>
      <c r="B9" s="14">
        <f>Marksheet!B8</f>
        <v>590011462</v>
      </c>
      <c r="C9" s="52">
        <v>6</v>
      </c>
      <c r="D9" s="52">
        <v>6</v>
      </c>
      <c r="E9" s="52">
        <v>6</v>
      </c>
      <c r="F9" s="52">
        <v>6</v>
      </c>
      <c r="G9" s="52">
        <v>6</v>
      </c>
      <c r="H9" s="52">
        <v>15</v>
      </c>
      <c r="I9" s="52">
        <v>12</v>
      </c>
      <c r="J9" s="52">
        <v>15</v>
      </c>
      <c r="K9" s="52">
        <v>20</v>
      </c>
      <c r="L9" s="52"/>
      <c r="M9" s="2"/>
      <c r="N9" s="9">
        <f>SUM(C9:K9)</f>
        <v>92</v>
      </c>
      <c r="O9" s="2"/>
      <c r="R9" s="12">
        <f t="shared" si="0"/>
        <v>12</v>
      </c>
      <c r="S9" s="12">
        <f t="shared" si="1"/>
        <v>42</v>
      </c>
      <c r="T9" s="5">
        <f t="shared" si="2"/>
        <v>12</v>
      </c>
      <c r="U9" s="5">
        <f t="shared" si="3"/>
        <v>26</v>
      </c>
      <c r="V9">
        <f t="shared" si="4"/>
        <v>92</v>
      </c>
    </row>
    <row r="10" spans="1:22" x14ac:dyDescent="0.25">
      <c r="A10" s="5" t="str">
        <f>Marksheet!A9</f>
        <v>Deevija Garg</v>
      </c>
      <c r="B10" s="14">
        <f>Marksheet!B9</f>
        <v>590013559</v>
      </c>
      <c r="C10" s="52">
        <v>6</v>
      </c>
      <c r="D10" s="52">
        <v>5</v>
      </c>
      <c r="E10" s="52">
        <v>5</v>
      </c>
      <c r="F10" s="52">
        <v>6</v>
      </c>
      <c r="G10" s="52">
        <v>6</v>
      </c>
      <c r="H10" s="52">
        <v>13</v>
      </c>
      <c r="I10" s="52">
        <v>3</v>
      </c>
      <c r="J10" s="52">
        <v>12</v>
      </c>
      <c r="K10" s="52">
        <v>5</v>
      </c>
      <c r="L10" s="52"/>
      <c r="M10" s="2"/>
      <c r="N10" s="9">
        <f>SUM(C10:K10)</f>
        <v>61</v>
      </c>
      <c r="O10" s="2"/>
      <c r="R10" s="12">
        <f t="shared" si="0"/>
        <v>11</v>
      </c>
      <c r="S10" s="12">
        <f t="shared" si="1"/>
        <v>36</v>
      </c>
      <c r="T10" s="5">
        <f t="shared" si="2"/>
        <v>3</v>
      </c>
      <c r="U10" s="5">
        <f t="shared" si="3"/>
        <v>11</v>
      </c>
      <c r="V10">
        <f t="shared" si="4"/>
        <v>61</v>
      </c>
    </row>
    <row r="11" spans="1:22" x14ac:dyDescent="0.25">
      <c r="A11" s="5" t="str">
        <f>Marksheet!A10</f>
        <v>Chandni Negi</v>
      </c>
      <c r="B11" s="14">
        <f>Marksheet!B10</f>
        <v>590014314</v>
      </c>
      <c r="C11" s="53">
        <v>6</v>
      </c>
      <c r="D11" s="53">
        <v>6</v>
      </c>
      <c r="E11" s="53">
        <v>6</v>
      </c>
      <c r="F11" s="53">
        <v>4</v>
      </c>
      <c r="G11" s="53">
        <v>4</v>
      </c>
      <c r="H11" s="53">
        <v>15</v>
      </c>
      <c r="I11" s="52">
        <v>15</v>
      </c>
      <c r="J11" s="52">
        <v>10</v>
      </c>
      <c r="K11" s="52">
        <v>10</v>
      </c>
      <c r="L11" s="52"/>
      <c r="M11" s="2"/>
      <c r="N11" s="9">
        <f>SUM(C11:K11)</f>
        <v>76</v>
      </c>
      <c r="O11" s="2"/>
      <c r="R11" s="12">
        <f t="shared" si="0"/>
        <v>12</v>
      </c>
      <c r="S11" s="12">
        <f t="shared" si="1"/>
        <v>35</v>
      </c>
      <c r="T11" s="5">
        <f t="shared" si="2"/>
        <v>6</v>
      </c>
      <c r="U11" s="5">
        <f t="shared" si="3"/>
        <v>23</v>
      </c>
      <c r="V11">
        <f t="shared" si="4"/>
        <v>76</v>
      </c>
    </row>
    <row r="12" spans="1:22" x14ac:dyDescent="0.25">
      <c r="A12" s="5" t="str">
        <f>Marksheet!A11</f>
        <v>Divya Krishna</v>
      </c>
      <c r="B12" s="14">
        <f>Marksheet!B11</f>
        <v>590016280</v>
      </c>
      <c r="C12" s="52">
        <v>6</v>
      </c>
      <c r="D12" s="52">
        <v>6</v>
      </c>
      <c r="E12" s="52">
        <v>4</v>
      </c>
      <c r="F12" s="52"/>
      <c r="G12" s="52">
        <v>6</v>
      </c>
      <c r="H12" s="52"/>
      <c r="I12" s="52">
        <v>7</v>
      </c>
      <c r="J12" s="52">
        <v>6</v>
      </c>
      <c r="K12" s="52"/>
      <c r="L12" s="52"/>
      <c r="M12" s="2"/>
      <c r="N12" s="9">
        <f>SUM(C12:J12)</f>
        <v>35</v>
      </c>
      <c r="O12" s="2"/>
      <c r="R12" s="12">
        <f t="shared" si="0"/>
        <v>10</v>
      </c>
      <c r="S12" s="12">
        <f t="shared" si="1"/>
        <v>12</v>
      </c>
      <c r="T12" s="5">
        <f t="shared" si="2"/>
        <v>0</v>
      </c>
      <c r="U12" s="5">
        <f t="shared" si="3"/>
        <v>13</v>
      </c>
      <c r="V12">
        <f t="shared" si="4"/>
        <v>35</v>
      </c>
    </row>
    <row r="13" spans="1:22" x14ac:dyDescent="0.25">
      <c r="A13" s="5" t="str">
        <f>Marksheet!A12</f>
        <v>Shubhangee Shukla</v>
      </c>
      <c r="B13" s="14">
        <f>Marksheet!B12</f>
        <v>590017181</v>
      </c>
      <c r="C13" s="52">
        <v>6</v>
      </c>
      <c r="D13" s="52">
        <v>3</v>
      </c>
      <c r="E13" s="52">
        <v>5</v>
      </c>
      <c r="F13" s="52">
        <v>3</v>
      </c>
      <c r="G13" s="52">
        <v>4</v>
      </c>
      <c r="H13" s="52">
        <v>5</v>
      </c>
      <c r="I13" s="52">
        <v>0</v>
      </c>
      <c r="J13" s="52">
        <v>4</v>
      </c>
      <c r="K13" s="52">
        <v>0</v>
      </c>
      <c r="L13" s="52"/>
      <c r="M13" s="2"/>
      <c r="N13" s="9">
        <f>SUM(C13:K13)</f>
        <v>30</v>
      </c>
      <c r="O13" s="2"/>
      <c r="R13" s="12">
        <f t="shared" si="0"/>
        <v>11</v>
      </c>
      <c r="S13" s="12">
        <f t="shared" si="1"/>
        <v>15</v>
      </c>
      <c r="T13" s="5">
        <f t="shared" si="2"/>
        <v>0</v>
      </c>
      <c r="U13" s="5">
        <f t="shared" si="3"/>
        <v>4</v>
      </c>
      <c r="V13">
        <f t="shared" si="4"/>
        <v>30</v>
      </c>
    </row>
    <row r="14" spans="1:22" x14ac:dyDescent="0.25">
      <c r="A14" s="5" t="str">
        <f>Marksheet!A13</f>
        <v>Heera Singh</v>
      </c>
      <c r="B14" s="14">
        <f>Marksheet!B13</f>
        <v>590017658</v>
      </c>
      <c r="C14" s="52">
        <v>6</v>
      </c>
      <c r="D14" s="52">
        <v>5</v>
      </c>
      <c r="E14" s="52">
        <v>6</v>
      </c>
      <c r="F14" s="52">
        <v>4</v>
      </c>
      <c r="G14" s="52">
        <v>4</v>
      </c>
      <c r="H14" s="52">
        <v>10</v>
      </c>
      <c r="I14" s="52">
        <v>5</v>
      </c>
      <c r="J14" s="52">
        <v>7</v>
      </c>
      <c r="K14" s="52">
        <v>0</v>
      </c>
      <c r="L14" s="52"/>
      <c r="M14" s="2"/>
      <c r="N14" s="9">
        <f>SUM(C14:K14)</f>
        <v>47</v>
      </c>
      <c r="O14" s="2"/>
      <c r="R14" s="12">
        <f t="shared" si="0"/>
        <v>12</v>
      </c>
      <c r="S14" s="12">
        <f t="shared" si="1"/>
        <v>26</v>
      </c>
      <c r="T14" s="5">
        <f t="shared" si="2"/>
        <v>0</v>
      </c>
      <c r="U14" s="5">
        <f t="shared" si="3"/>
        <v>9</v>
      </c>
      <c r="V14">
        <f t="shared" si="4"/>
        <v>47</v>
      </c>
    </row>
    <row r="15" spans="1:22" x14ac:dyDescent="0.25">
      <c r="A15" s="5" t="str">
        <f>Marksheet!A14</f>
        <v>Abhineet Srivastava</v>
      </c>
      <c r="B15" s="14">
        <f>Marksheet!B14</f>
        <v>590017776</v>
      </c>
      <c r="C15" s="52">
        <v>6</v>
      </c>
      <c r="D15" s="52">
        <v>6</v>
      </c>
      <c r="E15" s="52">
        <v>6</v>
      </c>
      <c r="F15" s="52">
        <v>5</v>
      </c>
      <c r="G15" s="52">
        <v>6</v>
      </c>
      <c r="H15" s="52">
        <v>13</v>
      </c>
      <c r="I15" s="52">
        <v>15</v>
      </c>
      <c r="J15" s="52">
        <v>15</v>
      </c>
      <c r="K15" s="52">
        <v>20</v>
      </c>
      <c r="L15" s="52"/>
      <c r="M15" s="2"/>
      <c r="N15" s="9">
        <f>SUM(C15:K15)</f>
        <v>92</v>
      </c>
      <c r="O15" s="2"/>
      <c r="R15" s="12">
        <f t="shared" si="0"/>
        <v>12</v>
      </c>
      <c r="S15" s="12">
        <f t="shared" si="1"/>
        <v>39</v>
      </c>
      <c r="T15" s="5">
        <f t="shared" si="2"/>
        <v>12</v>
      </c>
      <c r="U15" s="5">
        <f t="shared" si="3"/>
        <v>29</v>
      </c>
      <c r="V15">
        <f t="shared" si="4"/>
        <v>92</v>
      </c>
    </row>
    <row r="16" spans="1:22" x14ac:dyDescent="0.25">
      <c r="A16" s="5" t="str">
        <f>Marksheet!A15</f>
        <v>Tanisha Chanani</v>
      </c>
      <c r="B16" s="14">
        <f>Marksheet!B15</f>
        <v>590018198</v>
      </c>
      <c r="C16" s="52">
        <v>6</v>
      </c>
      <c r="D16" s="52">
        <v>5</v>
      </c>
      <c r="E16" s="52">
        <v>6</v>
      </c>
      <c r="F16" s="52">
        <v>6</v>
      </c>
      <c r="G16" s="52">
        <v>4</v>
      </c>
      <c r="H16" s="52">
        <v>14</v>
      </c>
      <c r="I16" s="52">
        <v>15</v>
      </c>
      <c r="J16" s="52">
        <v>15</v>
      </c>
      <c r="K16" s="52">
        <v>15</v>
      </c>
      <c r="L16" s="52"/>
      <c r="M16" s="2"/>
      <c r="N16" s="9">
        <f>SUM(C16:K16)</f>
        <v>86</v>
      </c>
      <c r="O16" s="2"/>
      <c r="R16" s="12">
        <f t="shared" si="0"/>
        <v>12</v>
      </c>
      <c r="S16" s="12">
        <f t="shared" si="1"/>
        <v>40</v>
      </c>
      <c r="T16" s="5">
        <f t="shared" si="2"/>
        <v>9</v>
      </c>
      <c r="U16" s="5">
        <f t="shared" si="3"/>
        <v>25</v>
      </c>
      <c r="V16">
        <f t="shared" si="4"/>
        <v>86</v>
      </c>
    </row>
    <row r="17" spans="1:22" x14ac:dyDescent="0.25">
      <c r="A17" s="5" t="str">
        <f>Marksheet!A16</f>
        <v>Rushil Soni</v>
      </c>
      <c r="B17" s="14">
        <f>Marksheet!B16</f>
        <v>590018519</v>
      </c>
      <c r="C17" s="52">
        <v>5</v>
      </c>
      <c r="D17" s="52">
        <v>4</v>
      </c>
      <c r="E17" s="52">
        <v>3</v>
      </c>
      <c r="F17" s="52">
        <v>1</v>
      </c>
      <c r="G17" s="52">
        <v>4</v>
      </c>
      <c r="H17" s="52">
        <v>2</v>
      </c>
      <c r="I17" s="52">
        <v>4</v>
      </c>
      <c r="J17" s="52">
        <v>4</v>
      </c>
      <c r="K17" s="52">
        <v>5</v>
      </c>
      <c r="L17" s="52"/>
      <c r="M17" s="2"/>
      <c r="N17" s="9">
        <f>SUM(C17:K17)</f>
        <v>32</v>
      </c>
      <c r="O17" s="2"/>
      <c r="R17" s="12">
        <f t="shared" si="0"/>
        <v>8</v>
      </c>
      <c r="S17" s="12">
        <f t="shared" si="1"/>
        <v>11</v>
      </c>
      <c r="T17" s="5">
        <f t="shared" si="2"/>
        <v>3</v>
      </c>
      <c r="U17" s="5">
        <f t="shared" si="3"/>
        <v>10</v>
      </c>
      <c r="V17">
        <f t="shared" si="4"/>
        <v>32</v>
      </c>
    </row>
    <row r="18" spans="1:22" x14ac:dyDescent="0.25">
      <c r="A18" s="5"/>
      <c r="B18" s="14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2"/>
      <c r="N18" s="9">
        <f t="shared" si="5"/>
        <v>0</v>
      </c>
      <c r="O18" s="2"/>
      <c r="R18" s="12">
        <f t="shared" si="0"/>
        <v>0</v>
      </c>
      <c r="S18" s="12">
        <f t="shared" si="1"/>
        <v>0</v>
      </c>
      <c r="T18" s="5">
        <f t="shared" si="2"/>
        <v>0</v>
      </c>
      <c r="U18" s="5">
        <f t="shared" si="3"/>
        <v>0</v>
      </c>
      <c r="V18">
        <f t="shared" si="4"/>
        <v>0</v>
      </c>
    </row>
    <row r="19" spans="1:22" x14ac:dyDescent="0.25">
      <c r="A19" s="5"/>
      <c r="B19" s="14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2"/>
      <c r="N19" s="9">
        <f t="shared" si="5"/>
        <v>0</v>
      </c>
      <c r="O19" s="2"/>
      <c r="R19" s="12">
        <f t="shared" si="0"/>
        <v>0</v>
      </c>
      <c r="S19" s="12">
        <f t="shared" si="1"/>
        <v>0</v>
      </c>
      <c r="T19" s="5">
        <f t="shared" si="2"/>
        <v>0</v>
      </c>
      <c r="U19" s="5">
        <f t="shared" si="3"/>
        <v>0</v>
      </c>
      <c r="V19">
        <f t="shared" si="4"/>
        <v>0</v>
      </c>
    </row>
    <row r="20" spans="1:22" x14ac:dyDescent="0.25">
      <c r="A20" s="5"/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9">
        <f t="shared" si="5"/>
        <v>0</v>
      </c>
      <c r="O20" s="2"/>
      <c r="R20" s="12">
        <f t="shared" si="0"/>
        <v>0</v>
      </c>
      <c r="S20" s="12">
        <f t="shared" si="1"/>
        <v>0</v>
      </c>
      <c r="T20" s="5">
        <f t="shared" si="2"/>
        <v>0</v>
      </c>
      <c r="U20" s="5">
        <f t="shared" si="3"/>
        <v>0</v>
      </c>
      <c r="V20">
        <f t="shared" si="4"/>
        <v>0</v>
      </c>
    </row>
    <row r="21" spans="1:22" x14ac:dyDescent="0.25">
      <c r="A21" s="5"/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10"/>
      <c r="N21" s="9">
        <f t="shared" si="5"/>
        <v>0</v>
      </c>
      <c r="O21" s="10"/>
      <c r="R21" s="12">
        <f t="shared" si="0"/>
        <v>0</v>
      </c>
      <c r="S21" s="12">
        <f t="shared" si="1"/>
        <v>0</v>
      </c>
      <c r="T21" s="5">
        <f t="shared" si="2"/>
        <v>0</v>
      </c>
      <c r="U21" s="5">
        <f t="shared" si="3"/>
        <v>0</v>
      </c>
      <c r="V21">
        <f t="shared" si="4"/>
        <v>0</v>
      </c>
    </row>
    <row r="22" spans="1:22" x14ac:dyDescent="0.25">
      <c r="M22" s="11"/>
      <c r="N22" s="11"/>
      <c r="O22" s="11"/>
    </row>
    <row r="42" spans="2:2" x14ac:dyDescent="0.25">
      <c r="B42" s="30"/>
    </row>
    <row r="43" spans="2:2" x14ac:dyDescent="0.25">
      <c r="B43" s="30"/>
    </row>
    <row r="44" spans="2:2" x14ac:dyDescent="0.25">
      <c r="B44" s="30"/>
    </row>
    <row r="45" spans="2:2" x14ac:dyDescent="0.25">
      <c r="B45" s="30"/>
    </row>
    <row r="46" spans="2:2" x14ac:dyDescent="0.25">
      <c r="B46" s="30"/>
    </row>
    <row r="47" spans="2:2" x14ac:dyDescent="0.25">
      <c r="B47" s="30"/>
    </row>
    <row r="48" spans="2:2" x14ac:dyDescent="0.25">
      <c r="B48" s="30"/>
    </row>
    <row r="49" spans="2:2" x14ac:dyDescent="0.25">
      <c r="B49" s="30"/>
    </row>
    <row r="50" spans="2:2" x14ac:dyDescent="0.25">
      <c r="B50" s="30"/>
    </row>
    <row r="51" spans="2:2" x14ac:dyDescent="0.25">
      <c r="B51" s="30"/>
    </row>
    <row r="52" spans="2:2" x14ac:dyDescent="0.25">
      <c r="B52" s="30"/>
    </row>
    <row r="53" spans="2:2" x14ac:dyDescent="0.25">
      <c r="B53" s="30"/>
    </row>
    <row r="54" spans="2:2" x14ac:dyDescent="0.25">
      <c r="B54" s="30"/>
    </row>
    <row r="55" spans="2:2" x14ac:dyDescent="0.25">
      <c r="B55" s="30"/>
    </row>
  </sheetData>
  <mergeCells count="2">
    <mergeCell ref="A1:O1"/>
    <mergeCell ref="A2:O2"/>
  </mergeCells>
  <phoneticPr fontId="4" type="noConversion"/>
  <pageMargins left="0.7" right="0.7" top="0.75" bottom="0.75" header="0.3" footer="0.3"/>
  <pageSetup paperSize="9" scale="7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C6E4-73FE-451F-9DA1-2F8671C4541C}">
  <sheetPr>
    <pageSetUpPr fitToPage="1"/>
  </sheetPr>
  <dimension ref="A1:V21"/>
  <sheetViews>
    <sheetView workbookViewId="0">
      <selection activeCell="J15" sqref="J15"/>
    </sheetView>
  </sheetViews>
  <sheetFormatPr defaultRowHeight="15" x14ac:dyDescent="0.25"/>
  <cols>
    <col min="1" max="1" width="10.140625" bestFit="1" customWidth="1"/>
    <col min="2" max="2" width="24.28515625" bestFit="1" customWidth="1"/>
    <col min="3" max="13" width="4.5703125" bestFit="1" customWidth="1"/>
    <col min="14" max="14" width="5.42578125" bestFit="1" customWidth="1"/>
    <col min="15" max="15" width="4.7109375" bestFit="1" customWidth="1"/>
  </cols>
  <sheetData>
    <row r="1" spans="1:22" ht="24.75" x14ac:dyDescent="0.4">
      <c r="A1" s="64" t="s">
        <v>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22" ht="24.75" x14ac:dyDescent="0.4">
      <c r="A2" s="64" t="str">
        <f>Marksheet!A2</f>
        <v xml:space="preserve">Computatioal Astrophysics (PHYS 8202) 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22" x14ac:dyDescent="0.25">
      <c r="A3" s="2"/>
      <c r="B3" s="2"/>
      <c r="C3" s="3" t="s">
        <v>47</v>
      </c>
      <c r="D3" s="3" t="s">
        <v>48</v>
      </c>
      <c r="E3" s="3" t="s">
        <v>48</v>
      </c>
      <c r="F3" s="3" t="s">
        <v>49</v>
      </c>
      <c r="G3" s="3" t="s">
        <v>49</v>
      </c>
      <c r="H3" s="3" t="s">
        <v>47</v>
      </c>
      <c r="I3" s="3" t="s">
        <v>48</v>
      </c>
      <c r="J3" s="3" t="s">
        <v>48</v>
      </c>
      <c r="K3" s="3" t="s">
        <v>49</v>
      </c>
      <c r="L3" s="3" t="s">
        <v>49</v>
      </c>
      <c r="M3" s="3"/>
      <c r="N3" s="2"/>
      <c r="O3" s="2"/>
    </row>
    <row r="4" spans="1:22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/>
      <c r="N4" s="4" t="s">
        <v>14</v>
      </c>
      <c r="O4" s="4" t="s">
        <v>15</v>
      </c>
      <c r="R4" s="44" t="s">
        <v>46</v>
      </c>
      <c r="S4" s="44" t="s">
        <v>47</v>
      </c>
      <c r="T4" s="44" t="s">
        <v>48</v>
      </c>
      <c r="U4" s="44" t="s">
        <v>49</v>
      </c>
      <c r="V4" s="45" t="s">
        <v>14</v>
      </c>
    </row>
    <row r="5" spans="1:22" x14ac:dyDescent="0.25">
      <c r="A5" s="6"/>
      <c r="B5" s="6" t="s">
        <v>18</v>
      </c>
      <c r="C5" s="6">
        <v>3</v>
      </c>
      <c r="D5" s="6">
        <v>3</v>
      </c>
      <c r="E5" s="6">
        <v>3</v>
      </c>
      <c r="F5" s="6">
        <v>3</v>
      </c>
      <c r="G5" s="6">
        <v>3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/>
      <c r="N5" s="6">
        <f>SUM(C5:L5)</f>
        <v>40</v>
      </c>
      <c r="O5" s="6"/>
      <c r="R5" s="54">
        <v>0</v>
      </c>
      <c r="S5" s="46">
        <f>SUM(C5,H5)</f>
        <v>8</v>
      </c>
      <c r="T5" s="46">
        <f>SUM(D5,E5,I5,J5)</f>
        <v>16</v>
      </c>
      <c r="U5" s="46">
        <f>SUM(K5,L5,G5,F5)</f>
        <v>16</v>
      </c>
      <c r="V5" s="46">
        <f>SUM(R5:U5)</f>
        <v>40</v>
      </c>
    </row>
    <row r="6" spans="1:22" x14ac:dyDescent="0.25">
      <c r="A6" s="5">
        <f>Marksheet!B5</f>
        <v>590010833</v>
      </c>
      <c r="B6" s="5" t="str">
        <f>Marksheet!A5</f>
        <v>Vansh Sharma</v>
      </c>
      <c r="C6" s="2">
        <v>3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5</v>
      </c>
      <c r="J6" s="2">
        <v>2</v>
      </c>
      <c r="K6" s="2">
        <v>4</v>
      </c>
      <c r="L6" s="2">
        <v>4</v>
      </c>
      <c r="M6" s="2"/>
      <c r="N6" s="6">
        <f t="shared" ref="N6:N17" si="0">SUM(C6:L6)</f>
        <v>33</v>
      </c>
      <c r="O6" s="2"/>
      <c r="R6" s="58">
        <v>0</v>
      </c>
      <c r="S6" s="59">
        <f t="shared" ref="S6:S17" si="1">SUM(C6,H6)</f>
        <v>6</v>
      </c>
      <c r="T6" s="59">
        <f t="shared" ref="T6:T17" si="2">SUM(D6,E6,I6,J6)</f>
        <v>13</v>
      </c>
      <c r="U6" s="59">
        <f t="shared" ref="U6:U17" si="3">SUM(K6,L6,G6,F6)</f>
        <v>14</v>
      </c>
      <c r="V6" s="46">
        <f t="shared" ref="V6:V17" si="4">SUM(R6:U6)</f>
        <v>33</v>
      </c>
    </row>
    <row r="7" spans="1:22" x14ac:dyDescent="0.25">
      <c r="A7" s="5">
        <f>Marksheet!B6</f>
        <v>590010853</v>
      </c>
      <c r="B7" s="5" t="str">
        <f>Marksheet!A6</f>
        <v>Mokshika Saini</v>
      </c>
      <c r="C7" s="2">
        <v>3</v>
      </c>
      <c r="D7" s="2">
        <v>3</v>
      </c>
      <c r="E7" s="2">
        <v>3</v>
      </c>
      <c r="F7" s="2">
        <v>3</v>
      </c>
      <c r="G7" s="2">
        <v>3</v>
      </c>
      <c r="H7" s="2">
        <v>4.5</v>
      </c>
      <c r="I7" s="2">
        <v>4</v>
      </c>
      <c r="J7" s="2">
        <v>3</v>
      </c>
      <c r="K7" s="2">
        <v>3</v>
      </c>
      <c r="L7" s="2">
        <v>3</v>
      </c>
      <c r="M7" s="2"/>
      <c r="N7" s="6">
        <f t="shared" si="0"/>
        <v>32.5</v>
      </c>
      <c r="O7" s="2"/>
      <c r="R7" s="58">
        <v>0</v>
      </c>
      <c r="S7" s="59">
        <f t="shared" si="1"/>
        <v>7.5</v>
      </c>
      <c r="T7" s="59">
        <f t="shared" si="2"/>
        <v>13</v>
      </c>
      <c r="U7" s="59">
        <f t="shared" si="3"/>
        <v>12</v>
      </c>
      <c r="V7" s="46">
        <f t="shared" si="4"/>
        <v>32.5</v>
      </c>
    </row>
    <row r="8" spans="1:22" x14ac:dyDescent="0.25">
      <c r="A8" s="5">
        <f>Marksheet!B7</f>
        <v>590011314</v>
      </c>
      <c r="B8" s="5" t="str">
        <f>Marksheet!A7</f>
        <v>Sakshi Sheshrao Charde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5</v>
      </c>
      <c r="I8" s="2">
        <v>5</v>
      </c>
      <c r="J8" s="2">
        <v>4</v>
      </c>
      <c r="K8" s="2">
        <v>2</v>
      </c>
      <c r="L8" s="2">
        <v>4</v>
      </c>
      <c r="M8" s="2"/>
      <c r="N8" s="6">
        <f t="shared" si="0"/>
        <v>35</v>
      </c>
      <c r="O8" s="2"/>
      <c r="R8" s="58">
        <v>0</v>
      </c>
      <c r="S8" s="59">
        <f t="shared" si="1"/>
        <v>8</v>
      </c>
      <c r="T8" s="59">
        <f t="shared" si="2"/>
        <v>15</v>
      </c>
      <c r="U8" s="59">
        <f t="shared" si="3"/>
        <v>12</v>
      </c>
      <c r="V8" s="46">
        <f t="shared" si="4"/>
        <v>35</v>
      </c>
    </row>
    <row r="9" spans="1:22" x14ac:dyDescent="0.25">
      <c r="A9" s="5">
        <f>Marksheet!B8</f>
        <v>590011462</v>
      </c>
      <c r="B9" s="5" t="str">
        <f>Marksheet!A8</f>
        <v>Akash Vinodshirke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5</v>
      </c>
      <c r="I9" s="2">
        <v>5</v>
      </c>
      <c r="J9" s="2">
        <v>5</v>
      </c>
      <c r="K9" s="2">
        <v>5</v>
      </c>
      <c r="L9" s="2">
        <v>5</v>
      </c>
      <c r="M9" s="2"/>
      <c r="N9" s="6">
        <f t="shared" si="0"/>
        <v>40</v>
      </c>
      <c r="O9" s="2"/>
      <c r="R9" s="58">
        <v>0</v>
      </c>
      <c r="S9" s="59">
        <f t="shared" si="1"/>
        <v>8</v>
      </c>
      <c r="T9" s="59">
        <f t="shared" si="2"/>
        <v>16</v>
      </c>
      <c r="U9" s="59">
        <f t="shared" si="3"/>
        <v>16</v>
      </c>
      <c r="V9" s="46">
        <f t="shared" si="4"/>
        <v>40</v>
      </c>
    </row>
    <row r="10" spans="1:22" x14ac:dyDescent="0.25">
      <c r="A10" s="5">
        <f>Marksheet!B9</f>
        <v>590013559</v>
      </c>
      <c r="B10" s="5" t="str">
        <f>Marksheet!A9</f>
        <v>Deevija Garg</v>
      </c>
      <c r="C10" s="2">
        <v>3</v>
      </c>
      <c r="D10" s="2">
        <v>3</v>
      </c>
      <c r="E10" s="2">
        <v>3</v>
      </c>
      <c r="F10" s="2">
        <v>3</v>
      </c>
      <c r="G10" s="2">
        <v>0</v>
      </c>
      <c r="H10" s="2">
        <v>4</v>
      </c>
      <c r="I10" s="2">
        <v>2</v>
      </c>
      <c r="J10" s="2">
        <v>5</v>
      </c>
      <c r="K10" s="2">
        <v>4</v>
      </c>
      <c r="L10" s="2">
        <v>4</v>
      </c>
      <c r="M10" s="2"/>
      <c r="N10" s="6">
        <f t="shared" si="0"/>
        <v>31</v>
      </c>
      <c r="O10" s="2"/>
      <c r="R10" s="58">
        <v>0</v>
      </c>
      <c r="S10" s="59">
        <f t="shared" si="1"/>
        <v>7</v>
      </c>
      <c r="T10" s="59">
        <f t="shared" si="2"/>
        <v>13</v>
      </c>
      <c r="U10" s="59">
        <f t="shared" si="3"/>
        <v>11</v>
      </c>
      <c r="V10" s="46">
        <f t="shared" si="4"/>
        <v>31</v>
      </c>
    </row>
    <row r="11" spans="1:22" x14ac:dyDescent="0.25">
      <c r="A11" s="5">
        <f>Marksheet!B10</f>
        <v>590014314</v>
      </c>
      <c r="B11" s="5" t="str">
        <f>Marksheet!A10</f>
        <v>Chandni Negi</v>
      </c>
      <c r="C11" s="2">
        <v>3</v>
      </c>
      <c r="D11" s="2">
        <v>3</v>
      </c>
      <c r="E11" s="2">
        <v>0</v>
      </c>
      <c r="F11" s="2">
        <v>3</v>
      </c>
      <c r="G11" s="2">
        <v>3</v>
      </c>
      <c r="H11" s="2">
        <v>5</v>
      </c>
      <c r="I11" s="2">
        <v>2</v>
      </c>
      <c r="J11" s="2">
        <v>0</v>
      </c>
      <c r="K11" s="2">
        <v>3</v>
      </c>
      <c r="L11" s="2">
        <v>4</v>
      </c>
      <c r="M11" s="2"/>
      <c r="N11" s="6">
        <f t="shared" si="0"/>
        <v>26</v>
      </c>
      <c r="O11" s="2"/>
      <c r="R11" s="58">
        <v>0</v>
      </c>
      <c r="S11" s="59">
        <f t="shared" si="1"/>
        <v>8</v>
      </c>
      <c r="T11" s="59">
        <f t="shared" si="2"/>
        <v>5</v>
      </c>
      <c r="U11" s="59">
        <f t="shared" si="3"/>
        <v>13</v>
      </c>
      <c r="V11" s="46">
        <f t="shared" si="4"/>
        <v>26</v>
      </c>
    </row>
    <row r="12" spans="1:22" x14ac:dyDescent="0.25">
      <c r="A12" s="5">
        <f>Marksheet!B11</f>
        <v>590016280</v>
      </c>
      <c r="B12" s="5" t="str">
        <f>Marksheet!A11</f>
        <v>Divya Krishna</v>
      </c>
      <c r="C12" s="2">
        <v>3</v>
      </c>
      <c r="D12" s="2">
        <v>3</v>
      </c>
      <c r="E12" s="2">
        <v>3</v>
      </c>
      <c r="F12" s="2">
        <v>3</v>
      </c>
      <c r="G12" s="2">
        <v>0</v>
      </c>
      <c r="H12" s="2">
        <v>5</v>
      </c>
      <c r="I12" s="2">
        <v>0</v>
      </c>
      <c r="J12" s="2">
        <v>5</v>
      </c>
      <c r="K12" s="2">
        <v>5</v>
      </c>
      <c r="L12" s="2">
        <v>5</v>
      </c>
      <c r="M12" s="2"/>
      <c r="N12" s="6">
        <f t="shared" si="0"/>
        <v>32</v>
      </c>
      <c r="O12" s="2"/>
      <c r="R12" s="58">
        <v>0</v>
      </c>
      <c r="S12" s="59">
        <f t="shared" si="1"/>
        <v>8</v>
      </c>
      <c r="T12" s="59">
        <f t="shared" si="2"/>
        <v>11</v>
      </c>
      <c r="U12" s="59">
        <f t="shared" si="3"/>
        <v>13</v>
      </c>
      <c r="V12" s="46">
        <f t="shared" si="4"/>
        <v>32</v>
      </c>
    </row>
    <row r="13" spans="1:22" x14ac:dyDescent="0.25">
      <c r="A13" s="5">
        <f>Marksheet!B12</f>
        <v>590017181</v>
      </c>
      <c r="B13" s="5" t="str">
        <f>Marksheet!A12</f>
        <v>Shubhangee Shukla</v>
      </c>
      <c r="C13" s="2">
        <v>3</v>
      </c>
      <c r="D13" s="2">
        <v>3</v>
      </c>
      <c r="E13" s="2">
        <v>3</v>
      </c>
      <c r="F13" s="2">
        <v>3</v>
      </c>
      <c r="G13" s="2">
        <v>3</v>
      </c>
      <c r="H13" s="2">
        <v>4</v>
      </c>
      <c r="I13" s="2">
        <v>4</v>
      </c>
      <c r="J13" s="2">
        <v>3</v>
      </c>
      <c r="K13" s="2">
        <v>2</v>
      </c>
      <c r="L13" s="2">
        <v>2</v>
      </c>
      <c r="M13" s="2"/>
      <c r="N13" s="6">
        <f t="shared" si="0"/>
        <v>30</v>
      </c>
      <c r="O13" s="2"/>
      <c r="R13" s="58">
        <v>0</v>
      </c>
      <c r="S13" s="59">
        <f t="shared" si="1"/>
        <v>7</v>
      </c>
      <c r="T13" s="59">
        <f t="shared" si="2"/>
        <v>13</v>
      </c>
      <c r="U13" s="59">
        <f t="shared" si="3"/>
        <v>10</v>
      </c>
      <c r="V13" s="46">
        <f t="shared" si="4"/>
        <v>30</v>
      </c>
    </row>
    <row r="14" spans="1:22" x14ac:dyDescent="0.25">
      <c r="A14" s="5">
        <f>Marksheet!B13</f>
        <v>590017658</v>
      </c>
      <c r="B14" s="5" t="str">
        <f>Marksheet!A13</f>
        <v>Heera Singh</v>
      </c>
      <c r="C14" s="2">
        <v>3</v>
      </c>
      <c r="D14" s="2">
        <v>3</v>
      </c>
      <c r="E14" s="2">
        <v>3</v>
      </c>
      <c r="F14" s="2">
        <v>3</v>
      </c>
      <c r="G14" s="2">
        <v>3</v>
      </c>
      <c r="H14" s="2">
        <v>3</v>
      </c>
      <c r="I14" s="2">
        <v>2</v>
      </c>
      <c r="J14" s="2">
        <v>5</v>
      </c>
      <c r="K14" s="2">
        <v>4</v>
      </c>
      <c r="L14" s="2">
        <v>2</v>
      </c>
      <c r="M14" s="2"/>
      <c r="N14" s="6">
        <f t="shared" si="0"/>
        <v>31</v>
      </c>
      <c r="O14" s="2"/>
      <c r="R14" s="58">
        <v>0</v>
      </c>
      <c r="S14" s="59">
        <f t="shared" si="1"/>
        <v>6</v>
      </c>
      <c r="T14" s="59">
        <f t="shared" si="2"/>
        <v>13</v>
      </c>
      <c r="U14" s="59">
        <f t="shared" si="3"/>
        <v>12</v>
      </c>
      <c r="V14" s="46">
        <f t="shared" si="4"/>
        <v>31</v>
      </c>
    </row>
    <row r="15" spans="1:22" x14ac:dyDescent="0.25">
      <c r="A15" s="5">
        <f>Marksheet!B14</f>
        <v>590017776</v>
      </c>
      <c r="B15" s="5" t="str">
        <f>Marksheet!A14</f>
        <v>Abhineet Srivastava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5</v>
      </c>
      <c r="I15" s="2">
        <v>5</v>
      </c>
      <c r="J15" s="2">
        <v>5</v>
      </c>
      <c r="K15" s="2">
        <v>5</v>
      </c>
      <c r="L15" s="2">
        <v>5</v>
      </c>
      <c r="M15" s="2"/>
      <c r="N15" s="6">
        <f t="shared" si="0"/>
        <v>40</v>
      </c>
      <c r="O15" s="2"/>
      <c r="R15" s="58">
        <v>0</v>
      </c>
      <c r="S15" s="59">
        <f t="shared" si="1"/>
        <v>8</v>
      </c>
      <c r="T15" s="59">
        <f t="shared" si="2"/>
        <v>16</v>
      </c>
      <c r="U15" s="59">
        <f t="shared" si="3"/>
        <v>16</v>
      </c>
      <c r="V15" s="46">
        <f t="shared" si="4"/>
        <v>40</v>
      </c>
    </row>
    <row r="16" spans="1:22" x14ac:dyDescent="0.25">
      <c r="A16" s="5">
        <f>Marksheet!B15</f>
        <v>590018198</v>
      </c>
      <c r="B16" s="5" t="str">
        <f>Marksheet!A15</f>
        <v>Tanisha Chanani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5</v>
      </c>
      <c r="I16" s="2">
        <v>5</v>
      </c>
      <c r="J16" s="2">
        <v>5</v>
      </c>
      <c r="K16" s="2">
        <v>5</v>
      </c>
      <c r="L16" s="2">
        <v>3</v>
      </c>
      <c r="M16" s="2"/>
      <c r="N16" s="6">
        <f t="shared" si="0"/>
        <v>38</v>
      </c>
      <c r="O16" s="2"/>
      <c r="R16" s="58">
        <v>0</v>
      </c>
      <c r="S16" s="59">
        <f t="shared" si="1"/>
        <v>8</v>
      </c>
      <c r="T16" s="59">
        <f t="shared" si="2"/>
        <v>16</v>
      </c>
      <c r="U16" s="59">
        <f t="shared" si="3"/>
        <v>14</v>
      </c>
      <c r="V16" s="46">
        <f t="shared" si="4"/>
        <v>38</v>
      </c>
    </row>
    <row r="17" spans="1:22" x14ac:dyDescent="0.25">
      <c r="A17" s="5">
        <f>Marksheet!B16</f>
        <v>590018519</v>
      </c>
      <c r="B17" s="5" t="str">
        <f>Marksheet!A16</f>
        <v>Rushil Soni</v>
      </c>
      <c r="C17" s="2">
        <v>3</v>
      </c>
      <c r="D17" s="2">
        <v>3</v>
      </c>
      <c r="E17" s="2">
        <v>3</v>
      </c>
      <c r="F17" s="2">
        <v>3</v>
      </c>
      <c r="G17" s="2">
        <v>3</v>
      </c>
      <c r="H17" s="2">
        <v>4</v>
      </c>
      <c r="I17" s="2">
        <v>3</v>
      </c>
      <c r="J17" s="2">
        <v>3</v>
      </c>
      <c r="K17" s="2">
        <v>4</v>
      </c>
      <c r="L17" s="2">
        <v>4</v>
      </c>
      <c r="M17" s="2"/>
      <c r="N17" s="6">
        <f t="shared" si="0"/>
        <v>33</v>
      </c>
      <c r="O17" s="2"/>
      <c r="R17" s="58">
        <v>0</v>
      </c>
      <c r="S17" s="59">
        <f t="shared" si="1"/>
        <v>7</v>
      </c>
      <c r="T17" s="59">
        <f t="shared" si="2"/>
        <v>12</v>
      </c>
      <c r="U17" s="59">
        <f t="shared" si="3"/>
        <v>14</v>
      </c>
      <c r="V17" s="46">
        <f t="shared" si="4"/>
        <v>33</v>
      </c>
    </row>
    <row r="18" spans="1:22" x14ac:dyDescent="0.25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6"/>
      <c r="O18" s="2"/>
      <c r="R18" s="55"/>
      <c r="S18" s="55"/>
      <c r="T18" s="55"/>
      <c r="U18" s="55"/>
      <c r="V18" s="59"/>
    </row>
    <row r="19" spans="1:22" x14ac:dyDescent="0.25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6"/>
      <c r="O19" s="2"/>
      <c r="R19" s="55"/>
      <c r="S19" s="55"/>
      <c r="T19" s="55"/>
      <c r="U19" s="55"/>
      <c r="V19" s="55"/>
    </row>
    <row r="20" spans="1:22" x14ac:dyDescent="0.25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6"/>
      <c r="O20" s="2"/>
      <c r="R20" s="55"/>
      <c r="S20" s="55"/>
      <c r="T20" s="55"/>
      <c r="U20" s="55"/>
      <c r="V20" s="55"/>
    </row>
    <row r="21" spans="1:22" x14ac:dyDescent="0.25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6"/>
      <c r="O21" s="2"/>
      <c r="R21" s="55"/>
      <c r="S21" s="55"/>
      <c r="T21" s="55"/>
      <c r="U21" s="55"/>
      <c r="V21" s="55"/>
    </row>
  </sheetData>
  <mergeCells count="2">
    <mergeCell ref="A1:O1"/>
    <mergeCell ref="A2:O2"/>
  </mergeCells>
  <pageMargins left="0.7" right="0.7" top="0.75" bottom="0.75" header="0.3" footer="0.3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9C77-33C1-4CBC-91FC-1994BECB7B48}">
  <sheetPr>
    <pageSetUpPr fitToPage="1"/>
  </sheetPr>
  <dimension ref="A1:O22"/>
  <sheetViews>
    <sheetView workbookViewId="0">
      <selection activeCell="N6" sqref="N6"/>
    </sheetView>
  </sheetViews>
  <sheetFormatPr defaultRowHeight="15" x14ac:dyDescent="0.25"/>
  <cols>
    <col min="1" max="1" width="20.7109375" style="22" customWidth="1"/>
    <col min="2" max="2" width="24.5703125" customWidth="1"/>
    <col min="15" max="15" width="13.140625" customWidth="1"/>
  </cols>
  <sheetData>
    <row r="1" spans="1:15" ht="24.75" x14ac:dyDescent="0.4">
      <c r="A1" s="64" t="s">
        <v>85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24.75" x14ac:dyDescent="0.4">
      <c r="A2" s="64" t="str">
        <f>Marksheet!A2</f>
        <v xml:space="preserve">Computatioal Astrophysics (PHYS 8202) 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x14ac:dyDescent="0.25">
      <c r="A3" s="18"/>
      <c r="B3" s="2"/>
      <c r="C3" s="3" t="s">
        <v>46</v>
      </c>
      <c r="D3" s="3" t="s">
        <v>47</v>
      </c>
      <c r="E3" s="3" t="s">
        <v>48</v>
      </c>
      <c r="F3" s="3" t="s">
        <v>46</v>
      </c>
      <c r="G3" s="3" t="s">
        <v>47</v>
      </c>
      <c r="H3" s="3" t="s">
        <v>46</v>
      </c>
      <c r="I3" s="3" t="s">
        <v>48</v>
      </c>
      <c r="J3" s="3" t="s">
        <v>48</v>
      </c>
      <c r="K3" s="3" t="s">
        <v>49</v>
      </c>
      <c r="L3" s="3" t="s">
        <v>48</v>
      </c>
      <c r="M3" s="3" t="s">
        <v>49</v>
      </c>
      <c r="N3" s="2"/>
      <c r="O3" s="2"/>
    </row>
    <row r="4" spans="1:15" x14ac:dyDescent="0.25">
      <c r="A4" s="19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14</v>
      </c>
      <c r="O4" s="4" t="s">
        <v>15</v>
      </c>
    </row>
    <row r="5" spans="1:15" x14ac:dyDescent="0.25">
      <c r="A5" s="20"/>
      <c r="B5" s="6" t="s">
        <v>18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10</v>
      </c>
      <c r="I5" s="6">
        <v>10</v>
      </c>
      <c r="J5" s="6">
        <v>10</v>
      </c>
      <c r="K5" s="6">
        <v>10</v>
      </c>
      <c r="L5" s="6">
        <v>20</v>
      </c>
      <c r="M5" s="6">
        <v>20</v>
      </c>
      <c r="N5" s="6">
        <f>SUM(C5:M5)</f>
        <v>100</v>
      </c>
      <c r="O5" s="6"/>
    </row>
    <row r="6" spans="1:15" x14ac:dyDescent="0.25">
      <c r="A6" s="21">
        <f>'Mid Sem'!B6</f>
        <v>590010833</v>
      </c>
      <c r="B6" s="5" t="str">
        <f>'Mid Sem'!A6</f>
        <v>Vansh Sharma</v>
      </c>
      <c r="C6" s="2">
        <v>2</v>
      </c>
      <c r="D6" s="2">
        <v>4</v>
      </c>
      <c r="E6" s="2">
        <v>4</v>
      </c>
      <c r="F6" s="2">
        <v>2</v>
      </c>
      <c r="G6" s="2">
        <v>3</v>
      </c>
      <c r="H6" s="2">
        <v>2</v>
      </c>
      <c r="I6" s="2">
        <v>4</v>
      </c>
      <c r="J6" s="2">
        <v>6</v>
      </c>
      <c r="K6" s="2">
        <v>10</v>
      </c>
      <c r="L6" s="2">
        <v>4</v>
      </c>
      <c r="M6" s="2">
        <v>10</v>
      </c>
      <c r="N6" s="6">
        <f t="shared" ref="N6:N18" si="0">SUM(C6:M6)</f>
        <v>51</v>
      </c>
      <c r="O6" s="2"/>
    </row>
    <row r="7" spans="1:15" x14ac:dyDescent="0.25">
      <c r="A7" s="21">
        <f>'Mid Sem'!B7</f>
        <v>590010853</v>
      </c>
      <c r="B7" s="5" t="str">
        <f>'Mid Sem'!A7</f>
        <v>Mokshika Saini</v>
      </c>
      <c r="C7" s="2">
        <v>2</v>
      </c>
      <c r="D7" s="2">
        <v>0</v>
      </c>
      <c r="E7" s="2">
        <v>3</v>
      </c>
      <c r="F7" s="2">
        <v>2</v>
      </c>
      <c r="G7" s="2">
        <v>4</v>
      </c>
      <c r="H7" s="2">
        <v>0</v>
      </c>
      <c r="I7" s="2">
        <v>7</v>
      </c>
      <c r="J7" s="2">
        <v>0</v>
      </c>
      <c r="K7" s="2">
        <v>3</v>
      </c>
      <c r="L7" s="2">
        <v>2</v>
      </c>
      <c r="M7" s="2">
        <v>8</v>
      </c>
      <c r="N7" s="6">
        <f t="shared" si="0"/>
        <v>31</v>
      </c>
      <c r="O7" s="2"/>
    </row>
    <row r="8" spans="1:15" x14ac:dyDescent="0.25">
      <c r="A8" s="21">
        <f>'Mid Sem'!B8</f>
        <v>590011314</v>
      </c>
      <c r="B8" s="5" t="str">
        <f>'Mid Sem'!A8</f>
        <v>Sakshi Sheshrao Charde</v>
      </c>
      <c r="C8" s="2">
        <v>2</v>
      </c>
      <c r="D8" s="2">
        <v>2</v>
      </c>
      <c r="E8" s="2">
        <v>1</v>
      </c>
      <c r="F8" s="2">
        <v>2</v>
      </c>
      <c r="G8" s="2">
        <v>2</v>
      </c>
      <c r="H8" s="2">
        <v>0</v>
      </c>
      <c r="I8" s="2">
        <v>2</v>
      </c>
      <c r="J8" s="2">
        <v>2</v>
      </c>
      <c r="K8" s="2">
        <v>4</v>
      </c>
      <c r="L8" s="2">
        <v>6</v>
      </c>
      <c r="M8" s="2">
        <v>7</v>
      </c>
      <c r="N8" s="6">
        <f t="shared" si="0"/>
        <v>30</v>
      </c>
      <c r="O8" s="2"/>
    </row>
    <row r="9" spans="1:15" x14ac:dyDescent="0.25">
      <c r="A9" s="21">
        <f>'Mid Sem'!B9</f>
        <v>590011462</v>
      </c>
      <c r="B9" s="5" t="str">
        <f>'Mid Sem'!A9</f>
        <v>Akash Vinodshirke</v>
      </c>
      <c r="C9" s="2">
        <v>3</v>
      </c>
      <c r="D9" s="2">
        <v>4</v>
      </c>
      <c r="E9" s="2">
        <v>4</v>
      </c>
      <c r="F9" s="2">
        <v>4</v>
      </c>
      <c r="G9" s="2">
        <v>4</v>
      </c>
      <c r="H9" s="2">
        <v>10</v>
      </c>
      <c r="I9" s="2">
        <v>8</v>
      </c>
      <c r="J9" s="2">
        <v>10</v>
      </c>
      <c r="K9" s="2">
        <v>10</v>
      </c>
      <c r="L9" s="2">
        <v>18</v>
      </c>
      <c r="M9" s="2">
        <v>19</v>
      </c>
      <c r="N9" s="6">
        <f t="shared" si="0"/>
        <v>94</v>
      </c>
      <c r="O9" s="2"/>
    </row>
    <row r="10" spans="1:15" x14ac:dyDescent="0.25">
      <c r="A10" s="21">
        <f>'Mid Sem'!B10</f>
        <v>590013559</v>
      </c>
      <c r="B10" s="5" t="str">
        <f>'Mid Sem'!A10</f>
        <v>Deevija Garg</v>
      </c>
      <c r="C10" s="2">
        <v>3</v>
      </c>
      <c r="D10" s="2">
        <v>4</v>
      </c>
      <c r="E10" s="2">
        <v>4</v>
      </c>
      <c r="F10" s="2">
        <v>4</v>
      </c>
      <c r="G10" s="2">
        <v>4</v>
      </c>
      <c r="H10" s="2">
        <v>6</v>
      </c>
      <c r="I10" s="2">
        <v>10</v>
      </c>
      <c r="J10" s="2">
        <v>8</v>
      </c>
      <c r="K10" s="2">
        <v>7</v>
      </c>
      <c r="L10" s="2">
        <v>14</v>
      </c>
      <c r="M10" s="2">
        <v>6</v>
      </c>
      <c r="N10" s="6">
        <f t="shared" si="0"/>
        <v>70</v>
      </c>
      <c r="O10" s="2"/>
    </row>
    <row r="11" spans="1:15" x14ac:dyDescent="0.25">
      <c r="A11" s="21">
        <f>'Mid Sem'!B11</f>
        <v>590014314</v>
      </c>
      <c r="B11" s="5" t="str">
        <f>'Mid Sem'!A11</f>
        <v>Chandni Negi</v>
      </c>
      <c r="C11" s="2">
        <v>3</v>
      </c>
      <c r="D11" s="2">
        <v>4</v>
      </c>
      <c r="E11" s="2">
        <v>3</v>
      </c>
      <c r="F11" s="2">
        <v>2</v>
      </c>
      <c r="G11" s="2">
        <v>4</v>
      </c>
      <c r="H11" s="2">
        <v>6</v>
      </c>
      <c r="I11" s="2">
        <v>7</v>
      </c>
      <c r="J11" s="2">
        <v>3</v>
      </c>
      <c r="K11" s="2">
        <v>10</v>
      </c>
      <c r="L11" s="2">
        <v>11</v>
      </c>
      <c r="M11" s="2">
        <v>13</v>
      </c>
      <c r="N11" s="6">
        <f t="shared" si="0"/>
        <v>66</v>
      </c>
      <c r="O11" s="2"/>
    </row>
    <row r="12" spans="1:15" x14ac:dyDescent="0.25">
      <c r="A12" s="21">
        <f>'Mid Sem'!B12</f>
        <v>590016280</v>
      </c>
      <c r="B12" s="5" t="str">
        <f>'Mid Sem'!A12</f>
        <v>Divya Krishna</v>
      </c>
      <c r="C12" s="2">
        <v>4</v>
      </c>
      <c r="D12" s="2">
        <v>4</v>
      </c>
      <c r="E12" s="2">
        <v>4</v>
      </c>
      <c r="F12" s="2">
        <v>4</v>
      </c>
      <c r="G12" s="2">
        <v>4</v>
      </c>
      <c r="H12" s="2">
        <v>7</v>
      </c>
      <c r="I12" s="2">
        <v>10</v>
      </c>
      <c r="J12" s="2">
        <v>10</v>
      </c>
      <c r="K12" s="2">
        <v>6</v>
      </c>
      <c r="L12" s="2">
        <v>13</v>
      </c>
      <c r="M12" s="2">
        <v>5</v>
      </c>
      <c r="N12" s="6">
        <f t="shared" si="0"/>
        <v>71</v>
      </c>
      <c r="O12" s="2"/>
    </row>
    <row r="13" spans="1:15" x14ac:dyDescent="0.25">
      <c r="A13" s="21">
        <f>'Mid Sem'!B13</f>
        <v>590017181</v>
      </c>
      <c r="B13" s="5" t="str">
        <f>'Mid Sem'!A13</f>
        <v>Shubhangee Shukla</v>
      </c>
      <c r="C13" s="2">
        <v>3</v>
      </c>
      <c r="D13" s="2">
        <v>2</v>
      </c>
      <c r="E13" s="2">
        <v>4</v>
      </c>
      <c r="F13" s="2">
        <v>4</v>
      </c>
      <c r="G13" s="2">
        <v>3</v>
      </c>
      <c r="H13" s="2">
        <v>0</v>
      </c>
      <c r="I13" s="2">
        <v>0</v>
      </c>
      <c r="J13" s="2">
        <v>0</v>
      </c>
      <c r="K13" s="2">
        <v>7</v>
      </c>
      <c r="L13" s="2">
        <v>8</v>
      </c>
      <c r="M13" s="2">
        <v>10</v>
      </c>
      <c r="N13" s="6">
        <f t="shared" si="0"/>
        <v>41</v>
      </c>
      <c r="O13" s="2"/>
    </row>
    <row r="14" spans="1:15" x14ac:dyDescent="0.25">
      <c r="A14" s="21">
        <f>'Mid Sem'!B14</f>
        <v>590017658</v>
      </c>
      <c r="B14" s="5" t="str">
        <f>'Mid Sem'!A14</f>
        <v>Heera Singh</v>
      </c>
      <c r="C14" s="2">
        <v>4</v>
      </c>
      <c r="D14" s="2"/>
      <c r="E14" s="2">
        <v>4</v>
      </c>
      <c r="F14" s="2">
        <v>3</v>
      </c>
      <c r="G14" s="2">
        <v>4</v>
      </c>
      <c r="H14" s="2">
        <v>3</v>
      </c>
      <c r="I14" s="2">
        <v>7</v>
      </c>
      <c r="J14" s="2">
        <v>0</v>
      </c>
      <c r="K14" s="2">
        <v>7</v>
      </c>
      <c r="L14" s="2">
        <v>15</v>
      </c>
      <c r="M14" s="2">
        <v>17</v>
      </c>
      <c r="N14" s="6">
        <f t="shared" si="0"/>
        <v>64</v>
      </c>
      <c r="O14" s="2"/>
    </row>
    <row r="15" spans="1:15" x14ac:dyDescent="0.25">
      <c r="A15" s="21">
        <f>'Mid Sem'!B15</f>
        <v>590017776</v>
      </c>
      <c r="B15" s="5" t="str">
        <f>'Mid Sem'!A15</f>
        <v>Abhineet Srivastava</v>
      </c>
      <c r="C15" s="2">
        <v>4</v>
      </c>
      <c r="D15" s="2">
        <v>2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6</v>
      </c>
      <c r="K15" s="2">
        <v>10</v>
      </c>
      <c r="L15" s="2">
        <v>12</v>
      </c>
      <c r="M15" s="2">
        <v>12</v>
      </c>
      <c r="N15" s="6">
        <f t="shared" si="0"/>
        <v>66</v>
      </c>
      <c r="O15" s="2"/>
    </row>
    <row r="16" spans="1:15" x14ac:dyDescent="0.25">
      <c r="A16" s="21">
        <f>'Mid Sem'!B16</f>
        <v>590018198</v>
      </c>
      <c r="B16" s="5" t="str">
        <f>'Mid Sem'!A16</f>
        <v>Tanisha Chanani</v>
      </c>
      <c r="C16" s="2">
        <v>4</v>
      </c>
      <c r="D16" s="2">
        <v>2</v>
      </c>
      <c r="E16" s="2">
        <v>4</v>
      </c>
      <c r="F16" s="2">
        <v>4</v>
      </c>
      <c r="G16" s="2">
        <v>3</v>
      </c>
      <c r="H16" s="2">
        <v>7</v>
      </c>
      <c r="I16" s="2">
        <v>10</v>
      </c>
      <c r="J16" s="2">
        <v>8</v>
      </c>
      <c r="K16" s="2">
        <v>10</v>
      </c>
      <c r="L16" s="2">
        <v>18</v>
      </c>
      <c r="M16" s="2">
        <v>18</v>
      </c>
      <c r="N16" s="6">
        <f t="shared" si="0"/>
        <v>88</v>
      </c>
      <c r="O16" s="2"/>
    </row>
    <row r="17" spans="1:15" x14ac:dyDescent="0.25">
      <c r="A17" s="21">
        <f>'Mid Sem'!B17</f>
        <v>590018519</v>
      </c>
      <c r="B17" s="5" t="str">
        <f>'Mid Sem'!A17</f>
        <v>Rushil Soni</v>
      </c>
      <c r="C17" s="2">
        <v>2</v>
      </c>
      <c r="D17" s="2">
        <v>1</v>
      </c>
      <c r="E17" s="2">
        <v>2</v>
      </c>
      <c r="F17" s="2">
        <v>2</v>
      </c>
      <c r="G17" s="2">
        <v>3</v>
      </c>
      <c r="H17" s="2">
        <v>5</v>
      </c>
      <c r="I17" s="2">
        <v>5</v>
      </c>
      <c r="J17" s="2">
        <v>4</v>
      </c>
      <c r="K17" s="2">
        <v>10</v>
      </c>
      <c r="L17" s="2">
        <v>4</v>
      </c>
      <c r="M17" s="2">
        <v>4</v>
      </c>
      <c r="N17" s="6">
        <f t="shared" si="0"/>
        <v>42</v>
      </c>
      <c r="O17" s="2"/>
    </row>
    <row r="18" spans="1:15" x14ac:dyDescent="0.25">
      <c r="A18" s="21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6">
        <f t="shared" si="0"/>
        <v>0</v>
      </c>
      <c r="O18" s="2"/>
    </row>
    <row r="19" spans="1:15" x14ac:dyDescent="0.25">
      <c r="A19" s="21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6"/>
      <c r="O19" s="2"/>
    </row>
    <row r="20" spans="1:15" x14ac:dyDescent="0.25">
      <c r="A20" s="21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6"/>
      <c r="O20" s="2"/>
    </row>
    <row r="21" spans="1:15" x14ac:dyDescent="0.25">
      <c r="A21" s="21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6"/>
      <c r="O21" s="2"/>
    </row>
    <row r="22" spans="1:15" x14ac:dyDescent="0.25">
      <c r="A22" s="18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</sheetData>
  <mergeCells count="2">
    <mergeCell ref="A1:O1"/>
    <mergeCell ref="A2:O2"/>
  </mergeCells>
  <pageMargins left="0.7" right="0.7" top="0.75" bottom="0.75" header="0.3" footer="0.3"/>
  <pageSetup paperSize="9" scale="7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Marksheet</vt:lpstr>
      <vt:lpstr>Quiz 1</vt:lpstr>
      <vt:lpstr>Quiz 2</vt:lpstr>
      <vt:lpstr>Class Test 1</vt:lpstr>
      <vt:lpstr>Assignment 1</vt:lpstr>
      <vt:lpstr>Assignment 2</vt:lpstr>
      <vt:lpstr>Mid Sem</vt:lpstr>
      <vt:lpstr>Class Test 2</vt:lpstr>
      <vt:lpstr>End Sem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Nitesh Kumar</cp:lastModifiedBy>
  <cp:revision/>
  <dcterms:created xsi:type="dcterms:W3CDTF">2025-02-05T08:19:31Z</dcterms:created>
  <dcterms:modified xsi:type="dcterms:W3CDTF">2026-06-01T14:03:34Z</dcterms:modified>
  <cp:category/>
  <cp:contentStatus/>
</cp:coreProperties>
</file>