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Jan-May-2026/Computational Astrophysics/Marks/"/>
    </mc:Choice>
  </mc:AlternateContent>
  <xr:revisionPtr revIDLastSave="1622" documentId="11_3FC952BF37FB7C428065D6D94F732ED04C5A5A3E" xr6:coauthVersionLast="47" xr6:coauthVersionMax="47" xr10:uidLastSave="{B6D45F6C-1DF0-4FDF-9C40-985693F4AD39}"/>
  <bookViews>
    <workbookView xWindow="-120" yWindow="-120" windowWidth="20730" windowHeight="11040" tabRatio="553" firstSheet="5" activeTab="8" xr2:uid="{00000000-000D-0000-FFFF-FFFF00000000}"/>
  </bookViews>
  <sheets>
    <sheet name="Marksheet" sheetId="2" r:id="rId1"/>
    <sheet name="Mid Sem" sheetId="5" r:id="rId2"/>
    <sheet name="End Sem" sheetId="4" r:id="rId3"/>
    <sheet name="Assignment 1" sheetId="6" r:id="rId4"/>
    <sheet name="Presentation 1" sheetId="10" r:id="rId5"/>
    <sheet name="Presentation 2" sheetId="11" r:id="rId6"/>
    <sheet name="Assignment 2" sheetId="9" r:id="rId7"/>
    <sheet name="Class Test 1" sheetId="7" r:id="rId8"/>
    <sheet name="Class Test 2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1" l="1"/>
  <c r="A17" i="11"/>
  <c r="B16" i="11"/>
  <c r="A16" i="11"/>
  <c r="B15" i="11"/>
  <c r="A15" i="11"/>
  <c r="B14" i="11"/>
  <c r="A14" i="11"/>
  <c r="B13" i="11"/>
  <c r="A13" i="11"/>
  <c r="B12" i="11"/>
  <c r="A12" i="11"/>
  <c r="B11" i="11"/>
  <c r="A11" i="11"/>
  <c r="B10" i="11"/>
  <c r="A10" i="11"/>
  <c r="B9" i="11"/>
  <c r="A9" i="11"/>
  <c r="B8" i="11"/>
  <c r="A8" i="11"/>
  <c r="B7" i="11"/>
  <c r="A7" i="11"/>
  <c r="B6" i="11"/>
  <c r="A6" i="11"/>
  <c r="A2" i="11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A2" i="10"/>
  <c r="B7" i="8"/>
  <c r="B8" i="8"/>
  <c r="B9" i="8"/>
  <c r="B10" i="8"/>
  <c r="B11" i="8"/>
  <c r="B12" i="8"/>
  <c r="B13" i="8"/>
  <c r="B14" i="8"/>
  <c r="B15" i="8"/>
  <c r="B16" i="8"/>
  <c r="B17" i="8"/>
  <c r="B6" i="8"/>
  <c r="B7" i="7"/>
  <c r="B8" i="7"/>
  <c r="B9" i="7"/>
  <c r="B10" i="7"/>
  <c r="B11" i="7"/>
  <c r="B12" i="7"/>
  <c r="B13" i="7"/>
  <c r="B14" i="7"/>
  <c r="B15" i="7"/>
  <c r="B16" i="7"/>
  <c r="B17" i="7"/>
  <c r="B6" i="7"/>
  <c r="A7" i="5"/>
  <c r="A8" i="5"/>
  <c r="A9" i="5"/>
  <c r="A10" i="5"/>
  <c r="A11" i="5"/>
  <c r="A12" i="5"/>
  <c r="A13" i="5"/>
  <c r="A14" i="5"/>
  <c r="A15" i="5"/>
  <c r="A16" i="5"/>
  <c r="A17" i="5"/>
  <c r="A6" i="5"/>
  <c r="A7" i="8" l="1"/>
  <c r="A8" i="8"/>
  <c r="A9" i="8"/>
  <c r="A10" i="8"/>
  <c r="A11" i="8"/>
  <c r="A12" i="8"/>
  <c r="A13" i="8"/>
  <c r="A14" i="8"/>
  <c r="A15" i="8"/>
  <c r="A16" i="8"/>
  <c r="A17" i="8"/>
  <c r="A6" i="8"/>
  <c r="A7" i="7"/>
  <c r="A8" i="7"/>
  <c r="A9" i="7"/>
  <c r="A10" i="7"/>
  <c r="A11" i="7"/>
  <c r="A12" i="7"/>
  <c r="A13" i="7"/>
  <c r="A14" i="7"/>
  <c r="A15" i="7"/>
  <c r="A16" i="7"/>
  <c r="A17" i="7"/>
  <c r="A6" i="7"/>
  <c r="B7" i="4"/>
  <c r="B7" i="5"/>
  <c r="A7" i="9" s="1"/>
  <c r="B8" i="9"/>
  <c r="B8" i="5"/>
  <c r="A8" i="9" s="1"/>
  <c r="B9" i="6"/>
  <c r="B9" i="5"/>
  <c r="A9" i="9" s="1"/>
  <c r="B10" i="6"/>
  <c r="B10" i="5"/>
  <c r="A10" i="9" s="1"/>
  <c r="B11" i="6"/>
  <c r="B11" i="5"/>
  <c r="A11" i="6" s="1"/>
  <c r="B12" i="9"/>
  <c r="B12" i="5"/>
  <c r="A12" i="9" s="1"/>
  <c r="B13" i="4"/>
  <c r="B13" i="5"/>
  <c r="A13" i="9" s="1"/>
  <c r="B14" i="9"/>
  <c r="B14" i="5"/>
  <c r="A14" i="4" s="1"/>
  <c r="B15" i="6"/>
  <c r="B15" i="5"/>
  <c r="A15" i="4" s="1"/>
  <c r="B16" i="9"/>
  <c r="B16" i="5"/>
  <c r="A16" i="4" s="1"/>
  <c r="B17" i="9"/>
  <c r="B17" i="5"/>
  <c r="A17" i="4" s="1"/>
  <c r="B6" i="5"/>
  <c r="A6" i="9" s="1"/>
  <c r="B6" i="9"/>
  <c r="S17" i="2"/>
  <c r="N5" i="4"/>
  <c r="M4" i="2"/>
  <c r="J4" i="2"/>
  <c r="H4" i="2"/>
  <c r="N4" i="2" s="1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5" i="5"/>
  <c r="A2" i="9"/>
  <c r="B7" i="9"/>
  <c r="A2" i="4"/>
  <c r="A2" i="8"/>
  <c r="A2" i="7"/>
  <c r="A2" i="6"/>
  <c r="A2" i="5"/>
  <c r="B14" i="6" l="1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I4" i="2"/>
</calcChain>
</file>

<file path=xl/sharedStrings.xml><?xml version="1.0" encoding="utf-8"?>
<sst xmlns="http://schemas.openxmlformats.org/spreadsheetml/2006/main" count="261" uniqueCount="60">
  <si>
    <t>Final Marks</t>
  </si>
  <si>
    <t xml:space="preserve">Computatioal Astrophysics (PHYS 8202) </t>
  </si>
  <si>
    <t xml:space="preserve">Name </t>
  </si>
  <si>
    <t>SAP ID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</si>
  <si>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</si>
  <si>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</si>
  <si>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</si>
  <si>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</si>
  <si>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</si>
  <si>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</si>
  <si>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</si>
  <si>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</si>
  <si>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</si>
  <si>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</si>
  <si>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</si>
  <si>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</si>
  <si>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Vansh Sharma</t>
  </si>
  <si>
    <t>sharma.10833@stu.upes.ac.in</t>
  </si>
  <si>
    <t>Mokshika Saini</t>
  </si>
  <si>
    <t>saini.10853@stu.upes.ac.in</t>
  </si>
  <si>
    <t>Sakshi Sheshrao Charde</t>
  </si>
  <si>
    <t>sakshi.11314@stu.upes.ac.in</t>
  </si>
  <si>
    <t>Akash Vinodshirke</t>
  </si>
  <si>
    <t>akash.11462@stu.upes.ac.in</t>
  </si>
  <si>
    <t>Deevija Garg</t>
  </si>
  <si>
    <t>deevija.13559@stu.upes.ac.in</t>
  </si>
  <si>
    <t>Chandni Negi</t>
  </si>
  <si>
    <t>chandni.14314@stu.upes.ac.in</t>
  </si>
  <si>
    <t>Divya Krishna</t>
  </si>
  <si>
    <t>divya.16280@stu.upes.ac.in</t>
  </si>
  <si>
    <t>Shubhangee Shukla</t>
  </si>
  <si>
    <t>shubhangee.17181@stu.upes.ac.in</t>
  </si>
  <si>
    <t>Heera Singh</t>
  </si>
  <si>
    <t>heera.17658@stu.upes.ac.in</t>
  </si>
  <si>
    <t>Abhineet Srivastava</t>
  </si>
  <si>
    <t>abhineet.17776@stu.upes.ac.in</t>
  </si>
  <si>
    <t>Tanisha Chanani</t>
  </si>
  <si>
    <t>tanisha.18198@stu.upes.ac.in</t>
  </si>
  <si>
    <t>Rushil Soni</t>
  </si>
  <si>
    <t>rushil.18519@stu.upes.ac.in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</si>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</sst>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2" borderId="0" xfId="0" applyFont="1" applyFill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top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top"/>
    </xf>
    <xf numFmtId="0" fontId="0" fillId="0" borderId="0" xfId="0" applyAlignment="1">
      <alignment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7" xfId="0" applyFont="1" applyBorder="1"/>
    <xf numFmtId="0" fontId="8" fillId="0" borderId="7" xfId="0" applyFont="1" applyBorder="1"/>
    <xf numFmtId="0" fontId="5" fillId="2" borderId="8" xfId="0" applyFont="1" applyFill="1" applyBorder="1" applyAlignment="1">
      <alignment vertical="top"/>
    </xf>
    <xf numFmtId="0" fontId="5" fillId="2" borderId="0" xfId="0" applyFont="1" applyFill="1" applyAlignment="1">
      <alignment horizontal="center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center"/>
    </xf>
    <xf numFmtId="0" fontId="6" fillId="0" borderId="9" xfId="0" applyFont="1" applyBorder="1"/>
    <xf numFmtId="0" fontId="2" fillId="0" borderId="10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6" fillId="0" borderId="11" xfId="0" applyFont="1" applyBorder="1" applyAlignment="1">
      <alignment vertical="top"/>
    </xf>
    <xf numFmtId="0" fontId="6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1" xfId="0" applyFont="1" applyBorder="1" applyAlignment="1">
      <alignment vertical="top"/>
    </xf>
    <xf numFmtId="0" fontId="6" fillId="0" borderId="12" xfId="0" applyFont="1" applyBorder="1"/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S37"/>
  <sheetViews>
    <sheetView zoomScaleNormal="100" workbookViewId="0">
      <selection activeCell="B5" sqref="B5"/>
    </sheetView>
  </sheetViews>
  <sheetFormatPr defaultRowHeight="15"/>
  <cols>
    <col min="1" max="1" width="27.140625" customWidth="1"/>
    <col min="2" max="2" width="22.85546875" style="13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7" width="14.28515625" customWidth="1"/>
    <col min="8" max="8" width="11.85546875" style="13" customWidth="1"/>
    <col min="9" max="9" width="11.85546875" customWidth="1"/>
    <col min="10" max="10" width="11.85546875" style="18" customWidth="1"/>
    <col min="11" max="14" width="13.42578125" customWidth="1"/>
    <col min="15" max="15" width="12.5703125" customWidth="1"/>
    <col min="17" max="17" width="28.7109375" customWidth="1"/>
    <col min="18" max="18" width="15.7109375" style="24" customWidth="1"/>
  </cols>
  <sheetData>
    <row r="1" spans="1:18" ht="24.75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5"/>
      <c r="P1" s="36"/>
    </row>
    <row r="2" spans="1:18" ht="24.75">
      <c r="A2" s="5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5"/>
      <c r="P2" s="37"/>
    </row>
    <row r="3" spans="1:18" ht="15.75">
      <c r="A3" s="38" t="s">
        <v>2</v>
      </c>
      <c r="B3" s="39" t="s">
        <v>3</v>
      </c>
      <c r="C3" s="40"/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8</v>
      </c>
      <c r="J3" s="41" t="s">
        <v>9</v>
      </c>
      <c r="K3" s="1" t="s">
        <v>9</v>
      </c>
      <c r="L3" s="1" t="s">
        <v>10</v>
      </c>
      <c r="M3" s="1" t="s">
        <v>10</v>
      </c>
      <c r="N3" s="1" t="s">
        <v>11</v>
      </c>
      <c r="O3" s="42" t="s">
        <v>12</v>
      </c>
      <c r="Q3" s="1" t="s">
        <v>13</v>
      </c>
      <c r="R3" s="31" t="s">
        <v>14</v>
      </c>
    </row>
    <row r="4" spans="1:18">
      <c r="A4" s="6"/>
      <c r="B4" s="9" t="s">
        <v>15</v>
      </c>
      <c r="C4" s="6"/>
      <c r="D4" s="17">
        <v>10</v>
      </c>
      <c r="E4" s="17">
        <v>10</v>
      </c>
      <c r="F4" s="17">
        <v>20</v>
      </c>
      <c r="G4" s="17">
        <v>20</v>
      </c>
      <c r="H4" s="17">
        <f>(0.5*(D4+E4) + F4 + G4)</f>
        <v>50</v>
      </c>
      <c r="I4" s="17">
        <f>H4*2</f>
        <v>100</v>
      </c>
      <c r="J4" s="17">
        <f>K4/5</f>
        <v>20</v>
      </c>
      <c r="K4" s="17">
        <v>100</v>
      </c>
      <c r="L4" s="17">
        <v>100</v>
      </c>
      <c r="M4" s="17">
        <f>L4*0.3</f>
        <v>30</v>
      </c>
      <c r="N4" s="6">
        <f>SUM(H4,J4,M4)</f>
        <v>100</v>
      </c>
      <c r="O4" s="6"/>
      <c r="P4" s="7"/>
    </row>
    <row r="5" spans="1:18" ht="15.75">
      <c r="A5" t="s">
        <v>16</v>
      </c>
      <c r="B5" s="18">
        <v>590010833</v>
      </c>
      <c r="C5" s="25"/>
      <c r="D5" s="26"/>
      <c r="E5" s="26"/>
      <c r="F5" s="26"/>
      <c r="G5" s="26"/>
      <c r="H5" s="27"/>
      <c r="I5" s="32"/>
      <c r="J5" s="28"/>
      <c r="K5" s="18"/>
      <c r="L5" s="18"/>
      <c r="M5" s="28"/>
      <c r="N5" s="29"/>
      <c r="O5" s="43"/>
      <c r="Q5" s="30" t="s">
        <v>17</v>
      </c>
      <c r="R5" s="24">
        <v>182400159</v>
      </c>
    </row>
    <row r="6" spans="1:18" ht="15.75">
      <c r="A6" t="s">
        <v>18</v>
      </c>
      <c r="B6" s="18">
        <v>590010853</v>
      </c>
      <c r="C6" s="25"/>
      <c r="D6" s="26"/>
      <c r="E6" s="26"/>
      <c r="F6" s="26"/>
      <c r="G6" s="26"/>
      <c r="H6" s="27"/>
      <c r="I6" s="32"/>
      <c r="J6" s="28"/>
      <c r="K6" s="18"/>
      <c r="L6" s="18"/>
      <c r="M6" s="28"/>
      <c r="N6" s="29"/>
      <c r="O6" s="43"/>
      <c r="Q6" s="30" t="s">
        <v>19</v>
      </c>
      <c r="R6" s="24">
        <v>24010310719</v>
      </c>
    </row>
    <row r="7" spans="1:18" ht="15.75">
      <c r="A7" t="s">
        <v>20</v>
      </c>
      <c r="B7" s="18">
        <v>590011314</v>
      </c>
      <c r="C7" s="25"/>
      <c r="D7" s="26"/>
      <c r="E7" s="26"/>
      <c r="F7" s="26"/>
      <c r="G7" s="26"/>
      <c r="H7" s="27"/>
      <c r="I7" s="32"/>
      <c r="J7" s="28"/>
      <c r="K7" s="18"/>
      <c r="L7" s="18"/>
      <c r="M7" s="28"/>
      <c r="N7" s="29"/>
      <c r="O7" s="43"/>
      <c r="Q7" s="30" t="s">
        <v>21</v>
      </c>
      <c r="R7" s="24">
        <v>24010311286</v>
      </c>
    </row>
    <row r="8" spans="1:18" ht="15.75">
      <c r="A8" t="s">
        <v>22</v>
      </c>
      <c r="B8" s="18">
        <v>590011462</v>
      </c>
      <c r="C8" s="25"/>
      <c r="D8" s="26"/>
      <c r="E8" s="26"/>
      <c r="F8" s="26"/>
      <c r="G8" s="26"/>
      <c r="H8" s="27"/>
      <c r="I8" s="32"/>
      <c r="J8" s="28"/>
      <c r="K8" s="18"/>
      <c r="L8" s="18"/>
      <c r="M8" s="28"/>
      <c r="N8" s="29"/>
      <c r="O8" s="43"/>
      <c r="Q8" s="30" t="s">
        <v>23</v>
      </c>
      <c r="R8" s="24">
        <v>182400263</v>
      </c>
    </row>
    <row r="9" spans="1:18" ht="15.75">
      <c r="A9" t="s">
        <v>24</v>
      </c>
      <c r="B9" s="18">
        <v>590013559</v>
      </c>
      <c r="C9" s="25"/>
      <c r="D9" s="26"/>
      <c r="E9" s="26"/>
      <c r="F9" s="26"/>
      <c r="G9" s="26"/>
      <c r="H9" s="27"/>
      <c r="I9" s="32"/>
      <c r="J9" s="28"/>
      <c r="K9" s="18"/>
      <c r="L9" s="18"/>
      <c r="M9" s="28"/>
      <c r="N9" s="29"/>
      <c r="O9" s="43"/>
      <c r="Q9" s="30" t="s">
        <v>25</v>
      </c>
      <c r="R9" s="24">
        <v>24010310736</v>
      </c>
    </row>
    <row r="10" spans="1:18" ht="15.75">
      <c r="A10" t="s">
        <v>26</v>
      </c>
      <c r="B10" s="18">
        <v>590014314</v>
      </c>
      <c r="C10" s="25"/>
      <c r="D10" s="26"/>
      <c r="E10" s="26"/>
      <c r="F10" s="26"/>
      <c r="G10" s="26"/>
      <c r="H10" s="27"/>
      <c r="I10" s="32"/>
      <c r="J10" s="28"/>
      <c r="K10" s="18"/>
      <c r="L10" s="18"/>
      <c r="M10" s="28"/>
      <c r="N10" s="29"/>
      <c r="O10" s="43"/>
      <c r="Q10" s="30" t="s">
        <v>27</v>
      </c>
      <c r="R10" s="24">
        <v>24010311148</v>
      </c>
    </row>
    <row r="11" spans="1:18" ht="15.75">
      <c r="A11" t="s">
        <v>28</v>
      </c>
      <c r="B11" s="18">
        <v>590016280</v>
      </c>
      <c r="C11" s="25"/>
      <c r="D11" s="26"/>
      <c r="E11" s="26"/>
      <c r="F11" s="26"/>
      <c r="G11" s="26"/>
      <c r="H11" s="27"/>
      <c r="I11" s="32"/>
      <c r="J11" s="28"/>
      <c r="K11" s="18"/>
      <c r="L11" s="18"/>
      <c r="M11" s="28"/>
      <c r="N11" s="29"/>
      <c r="O11" s="43"/>
      <c r="Q11" s="30" t="s">
        <v>29</v>
      </c>
      <c r="R11" s="24">
        <v>24010310672</v>
      </c>
    </row>
    <row r="12" spans="1:18" ht="15.75">
      <c r="A12" t="s">
        <v>30</v>
      </c>
      <c r="B12" s="18">
        <v>590017181</v>
      </c>
      <c r="C12" s="25"/>
      <c r="D12" s="26"/>
      <c r="E12" s="26"/>
      <c r="F12" s="26"/>
      <c r="G12" s="26"/>
      <c r="H12" s="27"/>
      <c r="I12" s="32"/>
      <c r="J12" s="28"/>
      <c r="K12" s="18"/>
      <c r="L12" s="18"/>
      <c r="M12" s="28"/>
      <c r="N12" s="29"/>
      <c r="O12" s="43"/>
      <c r="Q12" s="30" t="s">
        <v>31</v>
      </c>
      <c r="R12" s="24">
        <v>24010310947</v>
      </c>
    </row>
    <row r="13" spans="1:18" ht="15.75">
      <c r="A13" t="s">
        <v>32</v>
      </c>
      <c r="B13" s="18">
        <v>590017658</v>
      </c>
      <c r="C13" s="25"/>
      <c r="D13" s="26"/>
      <c r="E13" s="26"/>
      <c r="F13" s="26"/>
      <c r="G13" s="26"/>
      <c r="H13" s="27"/>
      <c r="I13" s="32"/>
      <c r="J13" s="28"/>
      <c r="K13" s="18"/>
      <c r="L13" s="18"/>
      <c r="M13" s="28"/>
      <c r="N13" s="29"/>
      <c r="O13" s="43"/>
      <c r="Q13" s="30" t="s">
        <v>33</v>
      </c>
      <c r="R13" s="24">
        <v>182400660</v>
      </c>
    </row>
    <row r="14" spans="1:18" ht="15.75">
      <c r="A14" t="s">
        <v>34</v>
      </c>
      <c r="B14" s="18">
        <v>590017776</v>
      </c>
      <c r="C14" s="25"/>
      <c r="D14" s="26"/>
      <c r="E14" s="26"/>
      <c r="F14" s="26"/>
      <c r="G14" s="26"/>
      <c r="H14" s="27"/>
      <c r="I14" s="32"/>
      <c r="J14" s="28"/>
      <c r="K14" s="18"/>
      <c r="L14" s="18"/>
      <c r="M14" s="28"/>
      <c r="N14" s="29"/>
      <c r="O14" s="43"/>
      <c r="Q14" s="30" t="s">
        <v>35</v>
      </c>
      <c r="R14" s="24">
        <v>182400665</v>
      </c>
    </row>
    <row r="15" spans="1:18" ht="15.75">
      <c r="A15" t="s">
        <v>36</v>
      </c>
      <c r="B15" s="18">
        <v>590018198</v>
      </c>
      <c r="C15" s="25"/>
      <c r="D15" s="26"/>
      <c r="E15" s="26"/>
      <c r="F15" s="26"/>
      <c r="G15" s="26"/>
      <c r="H15" s="27"/>
      <c r="I15" s="32"/>
      <c r="J15" s="28"/>
      <c r="K15" s="18"/>
      <c r="L15" s="18"/>
      <c r="M15" s="28"/>
      <c r="N15" s="29"/>
      <c r="O15" s="43"/>
      <c r="Q15" s="30" t="s">
        <v>37</v>
      </c>
      <c r="R15" s="24">
        <v>182400712</v>
      </c>
    </row>
    <row r="16" spans="1:18" ht="15.75">
      <c r="A16" t="s">
        <v>38</v>
      </c>
      <c r="B16" s="18">
        <v>590018519</v>
      </c>
      <c r="C16" s="25"/>
      <c r="D16" s="26"/>
      <c r="E16" s="26"/>
      <c r="F16" s="26"/>
      <c r="G16" s="26"/>
      <c r="H16" s="27"/>
      <c r="I16" s="32"/>
      <c r="J16" s="28"/>
      <c r="K16" s="18"/>
      <c r="L16" s="18"/>
      <c r="M16" s="28"/>
      <c r="N16" s="29"/>
      <c r="O16" s="43"/>
      <c r="Q16" s="30" t="s">
        <v>39</v>
      </c>
      <c r="R16" s="24">
        <v>24010311320</v>
      </c>
    </row>
    <row r="17" spans="1:19" ht="15.75">
      <c r="A17" s="44"/>
      <c r="B17" s="45"/>
      <c r="C17" s="46"/>
      <c r="D17" s="47"/>
      <c r="E17" s="47"/>
      <c r="F17" s="47"/>
      <c r="G17" s="47"/>
      <c r="H17" s="48"/>
      <c r="I17" s="49"/>
      <c r="J17" s="49"/>
      <c r="K17" s="50"/>
      <c r="L17" s="50"/>
      <c r="M17" s="49"/>
      <c r="N17" s="51"/>
      <c r="O17" s="52"/>
      <c r="S17" t="str">
        <f t="shared" ref="S17" si="0">LOWER(Q17)</f>
        <v/>
      </c>
    </row>
    <row r="18" spans="1:19" ht="15.75">
      <c r="A18" s="33"/>
      <c r="C18" s="25"/>
      <c r="D18" s="26"/>
      <c r="E18" s="26"/>
      <c r="F18" s="26"/>
      <c r="G18" s="26"/>
      <c r="H18" s="35"/>
      <c r="I18" s="32"/>
      <c r="J18" s="32"/>
      <c r="K18" s="18"/>
      <c r="L18" s="18"/>
      <c r="M18" s="32"/>
      <c r="N18" s="7"/>
    </row>
    <row r="19" spans="1:19" ht="15.75">
      <c r="A19" s="33"/>
      <c r="B19" s="34"/>
      <c r="C19" s="25"/>
      <c r="D19" s="26"/>
      <c r="E19" s="26"/>
      <c r="F19" s="26"/>
      <c r="G19" s="26"/>
      <c r="H19" s="35"/>
      <c r="I19" s="32"/>
      <c r="J19" s="32"/>
      <c r="K19" s="18"/>
      <c r="L19" s="18"/>
      <c r="M19" s="32"/>
      <c r="N19" s="7"/>
    </row>
    <row r="20" spans="1:19" ht="15.75">
      <c r="A20" s="33"/>
      <c r="B20" s="34"/>
      <c r="C20" s="25"/>
      <c r="D20" s="26"/>
      <c r="E20" s="26"/>
      <c r="F20" s="26"/>
      <c r="G20" s="26"/>
      <c r="H20" s="35"/>
      <c r="I20" s="32"/>
      <c r="J20" s="32"/>
      <c r="K20" s="18"/>
      <c r="L20" s="18"/>
      <c r="M20" s="32"/>
      <c r="N20" s="7"/>
    </row>
    <row r="23" spans="1:19">
      <c r="B23"/>
      <c r="F23" s="13"/>
      <c r="H23" s="18"/>
      <c r="J23"/>
    </row>
    <row r="24" spans="1:19">
      <c r="B24"/>
      <c r="C24" s="13"/>
      <c r="E24" s="18"/>
      <c r="H24"/>
      <c r="J24"/>
      <c r="O24" s="24"/>
      <c r="R24"/>
    </row>
    <row r="25" spans="1:19">
      <c r="B25"/>
      <c r="C25" s="13"/>
      <c r="E25" s="18"/>
      <c r="H25"/>
      <c r="J25"/>
      <c r="O25" s="24"/>
      <c r="R25"/>
    </row>
    <row r="26" spans="1:19">
      <c r="B26"/>
      <c r="C26" s="13"/>
      <c r="E26" s="18"/>
      <c r="H26"/>
      <c r="J26"/>
      <c r="O26" s="24"/>
      <c r="R26"/>
    </row>
    <row r="27" spans="1:19">
      <c r="B27"/>
      <c r="C27" s="13"/>
      <c r="E27" s="18"/>
      <c r="H27"/>
      <c r="J27"/>
      <c r="O27" s="24"/>
      <c r="R27"/>
    </row>
    <row r="28" spans="1:19">
      <c r="B28"/>
      <c r="C28" s="13"/>
      <c r="E28" s="18"/>
      <c r="H28"/>
      <c r="J28"/>
      <c r="O28" s="24"/>
      <c r="R28"/>
    </row>
    <row r="29" spans="1:19">
      <c r="B29"/>
      <c r="C29" s="13"/>
      <c r="E29" s="18"/>
      <c r="H29"/>
      <c r="J29"/>
      <c r="O29" s="24"/>
      <c r="R29"/>
    </row>
    <row r="30" spans="1:19">
      <c r="B30"/>
      <c r="C30" s="13"/>
      <c r="E30" s="18"/>
      <c r="H30"/>
      <c r="J30"/>
      <c r="O30" s="24"/>
      <c r="R30"/>
    </row>
    <row r="31" spans="1:19">
      <c r="B31"/>
      <c r="C31" s="13"/>
      <c r="E31" s="18"/>
      <c r="H31"/>
      <c r="J31"/>
      <c r="O31" s="24"/>
      <c r="R31"/>
    </row>
    <row r="32" spans="1:19">
      <c r="B32"/>
      <c r="C32" s="13"/>
      <c r="E32" s="18"/>
      <c r="H32"/>
      <c r="J32"/>
      <c r="O32" s="24"/>
      <c r="R32"/>
    </row>
    <row r="33" spans="2:18">
      <c r="B33"/>
      <c r="C33" s="13"/>
      <c r="E33" s="18"/>
      <c r="H33"/>
      <c r="J33"/>
      <c r="O33" s="24"/>
      <c r="R33"/>
    </row>
    <row r="34" spans="2:18">
      <c r="B34"/>
      <c r="C34" s="13"/>
      <c r="E34" s="18"/>
      <c r="H34"/>
      <c r="J34"/>
      <c r="O34" s="24"/>
      <c r="R34"/>
    </row>
    <row r="35" spans="2:18">
      <c r="B35"/>
      <c r="C35" s="13"/>
      <c r="E35" s="18"/>
      <c r="H35"/>
      <c r="J35"/>
      <c r="O35" s="24"/>
      <c r="R35"/>
    </row>
    <row r="36" spans="2:18">
      <c r="B36"/>
      <c r="C36" s="13"/>
      <c r="E36" s="18"/>
      <c r="H36"/>
      <c r="J36"/>
      <c r="O36" s="24"/>
      <c r="R36"/>
    </row>
    <row r="37" spans="2:18">
      <c r="B37"/>
      <c r="C37" s="13"/>
      <c r="E37" s="18"/>
      <c r="H37"/>
      <c r="J37"/>
      <c r="O37" s="24"/>
      <c r="R37"/>
    </row>
  </sheetData>
  <mergeCells count="2">
    <mergeCell ref="A1:O1"/>
    <mergeCell ref="A2:O2"/>
  </mergeCells>
  <conditionalFormatting sqref="N5:N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O55"/>
  <sheetViews>
    <sheetView workbookViewId="0">
      <selection activeCell="B6" sqref="B6"/>
    </sheetView>
  </sheetViews>
  <sheetFormatPr defaultRowHeight="15"/>
  <cols>
    <col min="1" max="1" width="25" customWidth="1"/>
    <col min="2" max="2" width="24.5703125" style="13" customWidth="1"/>
    <col min="15" max="15" width="13.140625" customWidth="1"/>
  </cols>
  <sheetData>
    <row r="1" spans="1:15" ht="24.75">
      <c r="A1" s="56" t="s">
        <v>40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2"/>
      <c r="B3" s="14"/>
      <c r="C3" s="3" t="s">
        <v>41</v>
      </c>
      <c r="D3" s="3" t="s">
        <v>41</v>
      </c>
      <c r="E3" s="3" t="s">
        <v>41</v>
      </c>
      <c r="F3" s="3" t="s">
        <v>41</v>
      </c>
      <c r="G3" s="3" t="s">
        <v>42</v>
      </c>
      <c r="H3" s="3" t="s">
        <v>43</v>
      </c>
      <c r="I3" s="3"/>
      <c r="J3" s="3"/>
      <c r="K3" s="3"/>
      <c r="L3" s="3"/>
      <c r="M3" s="3"/>
      <c r="N3" s="2"/>
      <c r="O3" s="2"/>
    </row>
    <row r="4" spans="1:15">
      <c r="A4" s="4" t="s">
        <v>44</v>
      </c>
      <c r="B4" s="15" t="s">
        <v>45</v>
      </c>
      <c r="C4" s="8" t="s">
        <v>46</v>
      </c>
      <c r="D4" s="8" t="s">
        <v>47</v>
      </c>
      <c r="E4" s="8" t="s">
        <v>48</v>
      </c>
      <c r="F4" s="8" t="s">
        <v>49</v>
      </c>
      <c r="G4" s="8" t="s">
        <v>50</v>
      </c>
      <c r="H4" s="8" t="s">
        <v>51</v>
      </c>
      <c r="I4" s="8" t="s">
        <v>52</v>
      </c>
      <c r="J4" s="8" t="s">
        <v>53</v>
      </c>
      <c r="K4" s="8" t="s">
        <v>54</v>
      </c>
      <c r="L4" s="8" t="s">
        <v>55</v>
      </c>
      <c r="M4" s="8" t="s">
        <v>56</v>
      </c>
      <c r="N4" s="8" t="s">
        <v>11</v>
      </c>
      <c r="O4" s="8" t="s">
        <v>12</v>
      </c>
    </row>
    <row r="5" spans="1:15">
      <c r="A5" s="6"/>
      <c r="B5" s="9" t="s">
        <v>15</v>
      </c>
      <c r="C5" s="9">
        <v>5</v>
      </c>
      <c r="D5" s="9">
        <v>5</v>
      </c>
      <c r="E5" s="9">
        <v>5</v>
      </c>
      <c r="F5" s="9">
        <v>5</v>
      </c>
      <c r="G5" s="9">
        <v>15</v>
      </c>
      <c r="H5" s="9">
        <v>15</v>
      </c>
      <c r="I5" s="9"/>
      <c r="J5" s="9"/>
      <c r="K5" s="9"/>
      <c r="L5" s="9"/>
      <c r="M5" s="9"/>
      <c r="N5" s="9">
        <f>SUM(C5:H5)</f>
        <v>50</v>
      </c>
      <c r="O5" s="9"/>
    </row>
    <row r="6" spans="1:15">
      <c r="A6" s="5" t="str">
        <f>Marksheet!A5</f>
        <v>Vansh Sharma</v>
      </c>
      <c r="B6" s="14">
        <f>Marksheet!B5</f>
        <v>590010833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9">
        <f t="shared" ref="N6:N21" si="0">SUM(C6:H6)</f>
        <v>0</v>
      </c>
      <c r="O6" s="2"/>
    </row>
    <row r="7" spans="1:15">
      <c r="A7" s="5" t="str">
        <f>Marksheet!A6</f>
        <v>Mokshika Saini</v>
      </c>
      <c r="B7" s="14">
        <f>Marksheet!B6</f>
        <v>590010853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9">
        <f t="shared" si="0"/>
        <v>0</v>
      </c>
      <c r="O7" s="2"/>
    </row>
    <row r="8" spans="1:15">
      <c r="A8" s="5" t="str">
        <f>Marksheet!A7</f>
        <v>Sakshi Sheshrao Charde</v>
      </c>
      <c r="B8" s="14">
        <f>Marksheet!B7</f>
        <v>590011314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9">
        <f t="shared" si="0"/>
        <v>0</v>
      </c>
      <c r="O8" s="2"/>
    </row>
    <row r="9" spans="1:15">
      <c r="A9" s="5" t="str">
        <f>Marksheet!A8</f>
        <v>Akash Vinodshirke</v>
      </c>
      <c r="B9" s="14">
        <f>Marksheet!B8</f>
        <v>590011462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9">
        <f t="shared" si="0"/>
        <v>0</v>
      </c>
      <c r="O9" s="2"/>
    </row>
    <row r="10" spans="1:15">
      <c r="A10" s="5" t="str">
        <f>Marksheet!A9</f>
        <v>Deevija Garg</v>
      </c>
      <c r="B10" s="14">
        <f>Marksheet!B9</f>
        <v>590013559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9">
        <f t="shared" si="0"/>
        <v>0</v>
      </c>
      <c r="O10" s="2"/>
    </row>
    <row r="11" spans="1:15">
      <c r="A11" s="5" t="str">
        <f>Marksheet!A10</f>
        <v>Chandni Negi</v>
      </c>
      <c r="B11" s="14">
        <f>Marksheet!B10</f>
        <v>590014314</v>
      </c>
      <c r="C11" s="16"/>
      <c r="D11" s="16"/>
      <c r="E11" s="16"/>
      <c r="F11" s="16"/>
      <c r="G11" s="16"/>
      <c r="H11" s="16"/>
      <c r="I11" s="2"/>
      <c r="J11" s="2"/>
      <c r="K11" s="2"/>
      <c r="L11" s="2"/>
      <c r="M11" s="2"/>
      <c r="N11" s="9">
        <f t="shared" si="0"/>
        <v>0</v>
      </c>
      <c r="O11" s="2"/>
    </row>
    <row r="12" spans="1:15">
      <c r="A12" s="5" t="str">
        <f>Marksheet!A11</f>
        <v>Divya Krishna</v>
      </c>
      <c r="B12" s="14">
        <f>Marksheet!B11</f>
        <v>590016280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9">
        <f t="shared" si="0"/>
        <v>0</v>
      </c>
      <c r="O12" s="2"/>
    </row>
    <row r="13" spans="1:15">
      <c r="A13" s="5" t="str">
        <f>Marksheet!A12</f>
        <v>Shubhangee Shukla</v>
      </c>
      <c r="B13" s="14">
        <f>Marksheet!B12</f>
        <v>590017181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9">
        <f t="shared" si="0"/>
        <v>0</v>
      </c>
      <c r="O13" s="2"/>
    </row>
    <row r="14" spans="1:15">
      <c r="A14" s="5" t="str">
        <f>Marksheet!A13</f>
        <v>Heera Singh</v>
      </c>
      <c r="B14" s="14">
        <f>Marksheet!B13</f>
        <v>590017658</v>
      </c>
      <c r="C14" s="12"/>
      <c r="D14" s="12"/>
      <c r="E14" s="12"/>
      <c r="F14" s="12"/>
      <c r="G14" s="12"/>
      <c r="H14" s="12"/>
      <c r="I14" s="2"/>
      <c r="J14" s="2"/>
      <c r="K14" s="2"/>
      <c r="L14" s="2"/>
      <c r="M14" s="2"/>
      <c r="N14" s="9">
        <f t="shared" si="0"/>
        <v>0</v>
      </c>
      <c r="O14" s="2"/>
    </row>
    <row r="15" spans="1:15">
      <c r="A15" s="5" t="str">
        <f>Marksheet!A14</f>
        <v>Abhineet Srivastava</v>
      </c>
      <c r="B15" s="14">
        <f>Marksheet!B14</f>
        <v>590017776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9">
        <f t="shared" si="0"/>
        <v>0</v>
      </c>
      <c r="O15" s="2"/>
    </row>
    <row r="16" spans="1:15">
      <c r="A16" s="5" t="str">
        <f>Marksheet!A15</f>
        <v>Tanisha Chanani</v>
      </c>
      <c r="B16" s="14">
        <f>Marksheet!B15</f>
        <v>590018198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9">
        <f t="shared" si="0"/>
        <v>0</v>
      </c>
      <c r="O16" s="2"/>
    </row>
    <row r="17" spans="1:15">
      <c r="A17" s="5" t="str">
        <f>Marksheet!A16</f>
        <v>Rushil Soni</v>
      </c>
      <c r="B17" s="14">
        <f>Marksheet!B16</f>
        <v>590018519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9">
        <f t="shared" si="0"/>
        <v>0</v>
      </c>
      <c r="O17" s="2"/>
    </row>
    <row r="18" spans="1:15">
      <c r="A18" s="5"/>
      <c r="B18" s="1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9">
        <f t="shared" si="0"/>
        <v>0</v>
      </c>
      <c r="O18" s="2"/>
    </row>
    <row r="19" spans="1:15">
      <c r="A19" s="5"/>
      <c r="B19" s="1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9">
        <f t="shared" si="0"/>
        <v>0</v>
      </c>
      <c r="O19" s="2"/>
    </row>
    <row r="20" spans="1:15">
      <c r="A20" s="5"/>
      <c r="B20" s="1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>
        <f t="shared" si="0"/>
        <v>0</v>
      </c>
      <c r="O20" s="2"/>
    </row>
    <row r="21" spans="1:15">
      <c r="A21" s="5"/>
      <c r="B21" s="14"/>
      <c r="C21" s="2"/>
      <c r="D21" s="2"/>
      <c r="E21" s="2"/>
      <c r="F21" s="2"/>
      <c r="G21" s="2"/>
      <c r="H21" s="2"/>
      <c r="I21" s="2"/>
      <c r="J21" s="2"/>
      <c r="K21" s="2"/>
      <c r="L21" s="2"/>
      <c r="M21" s="10"/>
      <c r="N21" s="9">
        <f t="shared" si="0"/>
        <v>0</v>
      </c>
      <c r="O21" s="10"/>
    </row>
    <row r="22" spans="1:15">
      <c r="M22" s="11"/>
      <c r="N22" s="11"/>
      <c r="O22" s="11"/>
    </row>
    <row r="42" spans="2:2">
      <c r="B42" s="34"/>
    </row>
    <row r="43" spans="2:2">
      <c r="B43" s="34"/>
    </row>
    <row r="44" spans="2:2">
      <c r="B44" s="34"/>
    </row>
    <row r="45" spans="2:2">
      <c r="B45" s="34"/>
    </row>
    <row r="46" spans="2:2">
      <c r="B46" s="34"/>
    </row>
    <row r="47" spans="2:2">
      <c r="B47" s="34"/>
    </row>
    <row r="48" spans="2:2">
      <c r="B48" s="34"/>
    </row>
    <row r="49" spans="2:2">
      <c r="B49" s="34"/>
    </row>
    <row r="50" spans="2:2">
      <c r="B50" s="34"/>
    </row>
    <row r="51" spans="2:2">
      <c r="B51" s="34"/>
    </row>
    <row r="52" spans="2:2">
      <c r="B52" s="34"/>
    </row>
    <row r="53" spans="2:2">
      <c r="B53" s="34"/>
    </row>
    <row r="54" spans="2:2">
      <c r="B54" s="34"/>
    </row>
    <row r="55" spans="2:2">
      <c r="B55" s="34"/>
    </row>
  </sheetData>
  <mergeCells count="2">
    <mergeCell ref="A1:O1"/>
    <mergeCell ref="A2:O2"/>
  </mergeCells>
  <phoneticPr fontId="4" type="noConversion"/>
  <pageMargins left="0.7" right="0.7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22"/>
  <sheetViews>
    <sheetView topLeftCell="A2" workbookViewId="0">
      <selection activeCell="E17" sqref="E17"/>
    </sheetView>
  </sheetViews>
  <sheetFormatPr defaultRowHeight="15"/>
  <cols>
    <col min="1" max="1" width="20.7109375" style="23" customWidth="1"/>
    <col min="2" max="2" width="24.5703125" customWidth="1"/>
    <col min="15" max="15" width="13.140625" customWidth="1"/>
  </cols>
  <sheetData>
    <row r="1" spans="1:15" ht="24.75">
      <c r="A1" s="56" t="s">
        <v>57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19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>
      <c r="A4" s="20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>
      <c r="A5" s="21"/>
      <c r="B5" s="6" t="s">
        <v>15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>
      <c r="A6" s="22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>
      <c r="A7" s="22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>
      <c r="A8" s="22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>
      <c r="A9" s="22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>
      <c r="A10" s="22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>
      <c r="A11" s="22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>
      <c r="A12" s="22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>
      <c r="A13" s="22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>
      <c r="A14" s="22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>
      <c r="A15" s="22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>
      <c r="A16" s="22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>
      <c r="A17" s="22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>
      <c r="A18" s="2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>
      <c r="A19" s="2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>
      <c r="A20" s="2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>
      <c r="A21" s="2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>
      <c r="A22" s="19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O21"/>
  <sheetViews>
    <sheetView workbookViewId="0">
      <selection activeCell="A18" sqref="A18"/>
    </sheetView>
  </sheetViews>
  <sheetFormatPr defaultRowHeight="1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56" t="s">
        <v>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A3AF-2289-4EB8-9907-58DA32095A7D}">
  <dimension ref="A1:O21"/>
  <sheetViews>
    <sheetView workbookViewId="0"/>
  </sheetViews>
  <sheetFormatPr defaultRowHeight="1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56" t="s">
        <v>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0182-6626-4C28-AE12-3805CD8061D9}">
  <dimension ref="A1:O21"/>
  <sheetViews>
    <sheetView workbookViewId="0"/>
  </sheetViews>
  <sheetFormatPr defaultRowHeight="1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56" t="s">
        <v>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21"/>
  <sheetViews>
    <sheetView workbookViewId="0">
      <selection activeCell="B6" sqref="B6"/>
    </sheetView>
  </sheetViews>
  <sheetFormatPr defaultRowHeight="1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56" t="s">
        <v>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P21"/>
  <sheetViews>
    <sheetView workbookViewId="0">
      <selection activeCell="O6" sqref="O6"/>
    </sheetView>
  </sheetViews>
  <sheetFormatPr defaultRowHeight="1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16" ht="24.75">
      <c r="A1" s="56" t="s">
        <v>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</row>
    <row r="2" spans="1:16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>
      <c r="A3" s="2"/>
      <c r="B3" s="2"/>
      <c r="C3" s="3" t="s">
        <v>41</v>
      </c>
      <c r="D3" s="3" t="s">
        <v>58</v>
      </c>
      <c r="E3" s="3" t="s">
        <v>43</v>
      </c>
      <c r="F3" s="3" t="s">
        <v>43</v>
      </c>
      <c r="G3" s="3" t="s">
        <v>43</v>
      </c>
      <c r="H3" s="3" t="s">
        <v>58</v>
      </c>
      <c r="I3" s="3" t="s">
        <v>58</v>
      </c>
      <c r="J3" s="3" t="s">
        <v>58</v>
      </c>
      <c r="K3" s="3" t="s">
        <v>43</v>
      </c>
      <c r="L3" s="3" t="s">
        <v>43</v>
      </c>
      <c r="M3" s="3"/>
      <c r="N3" s="3"/>
      <c r="O3" s="2"/>
      <c r="P3" s="2"/>
    </row>
    <row r="4" spans="1:16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/>
      <c r="O4" s="4" t="s">
        <v>11</v>
      </c>
      <c r="P4" s="4" t="s">
        <v>12</v>
      </c>
    </row>
    <row r="5" spans="1:16">
      <c r="A5" s="6"/>
      <c r="B5" s="6" t="s">
        <v>15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v>30</v>
      </c>
      <c r="P5" s="6"/>
    </row>
    <row r="6" spans="1:16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1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21"/>
  <sheetViews>
    <sheetView tabSelected="1" workbookViewId="0">
      <selection activeCell="N6" sqref="N6"/>
    </sheetView>
  </sheetViews>
  <sheetFormatPr defaultRowHeight="1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56" t="s">
        <v>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24.75">
      <c r="A2" s="56" t="str">
        <f>Marksheet!A2</f>
        <v xml:space="preserve">Computatioal Astrophysics (PHYS 8202) 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</row>
    <row r="3" spans="1:15">
      <c r="A3" s="2"/>
      <c r="B3" s="2"/>
      <c r="C3" s="3" t="s">
        <v>41</v>
      </c>
      <c r="D3" s="3" t="s">
        <v>42</v>
      </c>
      <c r="E3" s="3" t="s">
        <v>43</v>
      </c>
      <c r="F3" s="3" t="s">
        <v>41</v>
      </c>
      <c r="G3" s="3" t="s">
        <v>42</v>
      </c>
      <c r="H3" s="3" t="s">
        <v>41</v>
      </c>
      <c r="I3" s="3" t="s">
        <v>43</v>
      </c>
      <c r="J3" s="3" t="s">
        <v>43</v>
      </c>
      <c r="K3" s="3" t="s">
        <v>58</v>
      </c>
      <c r="L3" s="3" t="s">
        <v>43</v>
      </c>
      <c r="M3" s="3" t="s">
        <v>58</v>
      </c>
      <c r="N3" s="2"/>
      <c r="O3" s="2"/>
    </row>
    <row r="4" spans="1:15">
      <c r="A4" s="4" t="s">
        <v>59</v>
      </c>
      <c r="B4" s="4" t="s">
        <v>44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  <c r="I4" s="4" t="s">
        <v>52</v>
      </c>
      <c r="J4" s="4" t="s">
        <v>53</v>
      </c>
      <c r="K4" s="4" t="s">
        <v>54</v>
      </c>
      <c r="L4" s="4" t="s">
        <v>55</v>
      </c>
      <c r="M4" s="4" t="s">
        <v>56</v>
      </c>
      <c r="N4" s="4" t="s">
        <v>11</v>
      </c>
      <c r="O4" s="4" t="s">
        <v>12</v>
      </c>
    </row>
    <row r="5" spans="1:15">
      <c r="A5" s="6"/>
      <c r="B5" s="6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30</v>
      </c>
      <c r="O5" s="6"/>
    </row>
    <row r="6" spans="1:15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2026-01-19T13:23:56Z</dcterms:modified>
  <cp:category/>
  <cp:contentStatus/>
</cp:coreProperties>
</file>