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0" documentId="8_{BD4C6525-A239-4D5B-99DC-22605A8E80DA}" xr6:coauthVersionLast="47" xr6:coauthVersionMax="47" xr10:uidLastSave="{00000000-0000-0000-0000-000000000000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Sheet2" sheetId="11" state="hidden" r:id="rId10"/>
    <sheet name="Sheet3" sheetId="12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2" l="1" a="1"/>
  <c r="P68" i="2" s="1"/>
  <c r="E68" i="2" a="1"/>
  <c r="E68" i="2"/>
  <c r="F68" i="2" a="1"/>
  <c r="F68" i="2" s="1"/>
  <c r="G68" i="2" a="1"/>
  <c r="G68" i="2" s="1"/>
  <c r="H68" i="2" a="1"/>
  <c r="H68" i="2" s="1"/>
  <c r="I68" i="2" a="1"/>
  <c r="I68" i="2"/>
  <c r="J68" i="2" a="1"/>
  <c r="J68" i="2" s="1"/>
  <c r="K68" i="2" a="1"/>
  <c r="K68" i="2" s="1"/>
  <c r="Q68" i="2" a="1"/>
  <c r="Q68" i="2" s="1"/>
  <c r="D68" i="2" a="1"/>
  <c r="D68" i="2" s="1"/>
  <c r="G67" i="2"/>
  <c r="H67" i="2"/>
  <c r="I67" i="2"/>
  <c r="J67" i="2"/>
  <c r="K67" i="2"/>
  <c r="P67" i="2"/>
  <c r="Q67" i="2"/>
  <c r="S67" i="2"/>
  <c r="G66" i="2"/>
  <c r="H66" i="2"/>
  <c r="I66" i="2"/>
  <c r="J66" i="2"/>
  <c r="K66" i="2"/>
  <c r="P66" i="2"/>
  <c r="Q66" i="2"/>
  <c r="S66" i="2"/>
  <c r="G65" i="2"/>
  <c r="H65" i="2"/>
  <c r="I65" i="2"/>
  <c r="J65" i="2"/>
  <c r="K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E67" i="2"/>
  <c r="E66" i="2"/>
  <c r="E65" i="2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J28" i="2" s="1"/>
  <c r="L28" i="2" s="1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M28" i="2"/>
  <c r="L20" i="2"/>
  <c r="M20" i="2" s="1"/>
  <c r="J10" i="2"/>
  <c r="L10" i="2" s="1"/>
  <c r="M10" i="2" s="1"/>
  <c r="J18" i="2"/>
  <c r="L18" i="2" s="1"/>
  <c r="M18" i="2" s="1"/>
  <c r="J19" i="2"/>
  <c r="L19" i="2" s="1"/>
  <c r="M19" i="2" s="1"/>
  <c r="J20" i="2"/>
  <c r="J32" i="2"/>
  <c r="L32" i="2" s="1"/>
  <c r="M32" i="2" s="1"/>
  <c r="J36" i="2"/>
  <c r="L36" i="2" s="1"/>
  <c r="M36" i="2" s="1"/>
  <c r="N4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S17" i="6"/>
  <c r="T17" i="6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S29" i="6"/>
  <c r="T29" i="6"/>
  <c r="R30" i="6"/>
  <c r="S30" i="6"/>
  <c r="T30" i="6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S45" i="6"/>
  <c r="T45" i="6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J29" i="2" s="1"/>
  <c r="L29" i="2" s="1"/>
  <c r="M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J44" i="2" s="1"/>
  <c r="L44" i="2" s="1"/>
  <c r="M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B65" i="14"/>
  <c r="A65" i="14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A6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9"/>
  <c r="B66" i="9"/>
  <c r="A65" i="9"/>
  <c r="A66" i="9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M5" i="2" l="1"/>
  <c r="U55" i="5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29" i="2"/>
  <c r="R30" i="2"/>
  <c r="R28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M65" i="2" l="1"/>
  <c r="M68" i="2" a="1"/>
  <c r="M68" i="2" s="1"/>
  <c r="M67" i="2"/>
  <c r="L66" i="2"/>
  <c r="M66" i="2"/>
  <c r="L67" i="2"/>
  <c r="L68" i="2" a="1"/>
  <c r="L68" i="2" s="1"/>
  <c r="L65" i="2"/>
  <c r="N5" i="2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<sst xmlns="http://schemas.openxmlformats.org/spreadsheetml/2006/main" count="854" uniqueCount="173">
  <si>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</si>
  <si>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</si>
  <si>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</si>
  <si>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</si>
  <si>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</si>
  <si>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</si>
  <si>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</si>
  <si>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</si>
  <si>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</si>
  <si>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</si>
  <si>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</si>
  <si>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</si>
  <si>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</si>
  <si>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</si>
  <si>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</si>
  <si>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</si>
  <si>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</si>
  <si>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</si>
  <si>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</si>
  <si>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</si>
  <si>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</si>
  <si>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</si>
  <si>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</si>
  <si>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</si>
  <si>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</si>
  <si>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</si>
  <si>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</si>
  <si>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</si>
  <si>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</si>
  <si>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</si>
  <si>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</si>
  <si>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</si>
  <si>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</si>
  <si>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</si>
  <si>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</si>
  <si>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</si>
  <si>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</si>
  <si>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</si>
  <si>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</si>
  <si>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</si>
  <si>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</si>
  <si>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</si>
  <si>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</si>
  <si>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</si>
  <si>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</si>
  <si>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</si>
  <si>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</si>
  <si>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</si>
  <si>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</si>
  <si>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</si>
  <si>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</si>
  <si>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</si>
  <si>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</si>
  <si>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</si>
  <si>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</si>
  <si>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</si>
  <si>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</si>
  <si>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</si>
  <si>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</si>
  <si>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</si>
  <si>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</si>
  <si>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</si>
  <si>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</si>
  <si>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</si>
  <si>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</si>
  <si>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</si>
  <si>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</si>
  <si>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</si>
  <si>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</si>
  <si>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</si>
  <si>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</si>
  <si>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</si>
  <si>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</si>
  <si>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</si>
  <si>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</si>
  <si>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</si>
  <si>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</si>
  <si>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</si>
  <si>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</si>
  <si>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</si>
  <si>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</si>
  <si>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</si>
  <si>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</si>
  <si>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</si>
  <si>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</si>
  <si>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</si>
  <si>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</si>
  <si>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</si>
  <si>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</si>
  <si>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</si>
  <si>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</si>
  <si>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</si>
  <si>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</si>
  <si>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</si>
  <si>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</si>
  <si>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</si>
  <si>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</si>
  <si>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</si>
  <si>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</si>
  <si>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</si>
  <si>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</si>
  <si>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</si>
  <si>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</si>
  <si>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</si>
  <si>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</si>
  <si>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</si>
  <si>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</si>
  <si>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</si>
  <si>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</si>
  <si>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</si>
  <si>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</si>
  <si>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</si>
  <si>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</si>
  <si>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</si>
  <si>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</si>
  <si>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</si>
  <si>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</si>
  <si>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</si>
  <si>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</si>
  <si>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</si>
  <si>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</si>
  <si>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</si>
  <si>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</si>
  <si>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</si>
  <si>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</si>
  <si>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</si>
  <si>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</si>
  <si>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</si>
  <si>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</si>
  <si>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</si>
  <si>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</si>
  <si>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</si>
  <si>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</si>
  <si>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</si>
  <si>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</si>
  <si>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</si>
  <si>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</si>
  <si>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</si>
  <si>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</si>
  <si>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</si>
  <si>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</si>
  <si>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</si>
  <si>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</si>
  <si>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</si>
  <si>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</si>
  <si>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</si>
  <si>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</si>
  <si>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</si>
  <si>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</si>
  <si>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</si>
  <si>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</si>
  <si>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</si>
  <si>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</si>
  <si>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</si>
  <si>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</si>
  <si>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</si>
  <si>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</si>
  <si>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</si>
  <si>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</si>
  <si>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</si>
  <si>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</si>
  <si>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</si>
  <si>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</si>
  <si>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</si>
  <si>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</si>
  <si>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</si>
  <si>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</si>
  <si>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</si>
  <si>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</si>
  <si>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</si>
  <si>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</si>
  <si>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</si>
  <si>
    <t>CO2/CO1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</si>
</sst>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>
    <filterColumn colId="2">
      <filters>
        <filter val="78"/>
      </filters>
    </filterColumn>
  </autoFilter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abSelected="1" topLeftCell="D1" zoomScale="89" zoomScaleNormal="100" workbookViewId="0">
      <selection activeCell="O69" sqref="O69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24"/>
    </row>
    <row r="2" spans="1:22" ht="24.75" x14ac:dyDescent="0.4">
      <c r="A2" s="43" t="s">
        <v>168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25"/>
    </row>
    <row r="3" spans="1:22" s="22" customFormat="1" ht="31.5" x14ac:dyDescent="0.25">
      <c r="A3" s="40" t="s">
        <v>1</v>
      </c>
      <c r="B3" s="37" t="s">
        <v>2</v>
      </c>
      <c r="C3" s="7" t="s">
        <v>3</v>
      </c>
      <c r="D3" s="37" t="s">
        <v>162</v>
      </c>
      <c r="E3" s="37" t="s">
        <v>4</v>
      </c>
      <c r="F3" s="37" t="s">
        <v>6</v>
      </c>
      <c r="G3" s="37" t="s">
        <v>163</v>
      </c>
      <c r="H3" s="37" t="s">
        <v>5</v>
      </c>
      <c r="I3" s="37" t="s">
        <v>7</v>
      </c>
      <c r="J3" s="37" t="s">
        <v>8</v>
      </c>
      <c r="K3" s="37" t="s">
        <v>164</v>
      </c>
      <c r="L3" s="37" t="s">
        <v>165</v>
      </c>
      <c r="M3" s="41" t="s">
        <v>166</v>
      </c>
      <c r="N3" s="37" t="s">
        <v>9</v>
      </c>
      <c r="O3" s="37" t="s">
        <v>9</v>
      </c>
      <c r="P3" s="37" t="s">
        <v>10</v>
      </c>
      <c r="Q3" s="37" t="s">
        <v>10</v>
      </c>
      <c r="R3" s="37" t="s">
        <v>11</v>
      </c>
      <c r="S3" s="37" t="s">
        <v>12</v>
      </c>
      <c r="U3" s="42" t="s">
        <v>13</v>
      </c>
      <c r="V3" s="23" t="s">
        <v>14</v>
      </c>
    </row>
    <row r="4" spans="1:22" x14ac:dyDescent="0.25">
      <c r="A4" s="5"/>
      <c r="B4" s="8" t="s">
        <v>15</v>
      </c>
      <c r="C4" s="8"/>
      <c r="D4" s="14">
        <v>15</v>
      </c>
      <c r="E4" s="14">
        <v>15</v>
      </c>
      <c r="F4" s="14">
        <v>20</v>
      </c>
      <c r="G4" s="14">
        <v>15</v>
      </c>
      <c r="H4" s="14">
        <v>15</v>
      </c>
      <c r="I4" s="14"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16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/>
      <c r="H5" s="38"/>
      <c r="I5" s="38"/>
      <c r="J5" s="29">
        <f>SUM(D5:I5)</f>
        <v>49</v>
      </c>
      <c r="K5" s="29"/>
      <c r="L5" s="29">
        <f>SUM(J5:K5)/2</f>
        <v>24.5</v>
      </c>
      <c r="M5" s="29">
        <f>L5*0.5</f>
        <v>12.25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29.45</v>
      </c>
      <c r="S5" s="39"/>
      <c r="U5" t="s">
        <v>17</v>
      </c>
      <c r="V5">
        <v>122507103</v>
      </c>
    </row>
    <row r="6" spans="1:22" ht="15.75" x14ac:dyDescent="0.25">
      <c r="A6" s="1" t="s">
        <v>18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/>
      <c r="H6" s="38"/>
      <c r="I6" s="38"/>
      <c r="J6" s="29">
        <f t="shared" ref="J6:J63" si="0">SUM(D6:I6)</f>
        <v>41</v>
      </c>
      <c r="K6" s="29"/>
      <c r="L6" s="29">
        <f t="shared" ref="L6:L63" si="1">SUM(J6:K6)/2</f>
        <v>20.5</v>
      </c>
      <c r="M6" s="29">
        <f t="shared" ref="M6:M63" si="2">L6*0.5</f>
        <v>10.25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16.649999999999999</v>
      </c>
      <c r="S6" s="39"/>
      <c r="U6" t="s">
        <v>19</v>
      </c>
      <c r="V6">
        <v>25010104938</v>
      </c>
    </row>
    <row r="7" spans="1:22" ht="15.75" x14ac:dyDescent="0.25">
      <c r="A7" s="1" t="s">
        <v>20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/>
      <c r="H7" s="38"/>
      <c r="I7" s="38"/>
      <c r="J7" s="29">
        <f t="shared" si="0"/>
        <v>29.2</v>
      </c>
      <c r="K7" s="29"/>
      <c r="L7" s="29">
        <f t="shared" si="1"/>
        <v>14.6</v>
      </c>
      <c r="M7" s="29">
        <f t="shared" si="2"/>
        <v>7.3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13.1</v>
      </c>
      <c r="S7" s="39"/>
      <c r="U7" t="s">
        <v>21</v>
      </c>
      <c r="V7">
        <v>25010104918</v>
      </c>
    </row>
    <row r="8" spans="1:22" ht="15.75" x14ac:dyDescent="0.25">
      <c r="A8" s="1" t="s">
        <v>22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/>
      <c r="H8" s="38"/>
      <c r="I8" s="38"/>
      <c r="J8" s="29">
        <f t="shared" si="0"/>
        <v>41</v>
      </c>
      <c r="K8" s="29"/>
      <c r="L8" s="29">
        <f t="shared" si="1"/>
        <v>20.5</v>
      </c>
      <c r="M8" s="29">
        <f t="shared" si="2"/>
        <v>10.25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17.850000000000001</v>
      </c>
      <c r="S8" s="39"/>
      <c r="U8" t="s">
        <v>23</v>
      </c>
      <c r="V8">
        <v>25010104943</v>
      </c>
    </row>
    <row r="9" spans="1:22" ht="15.75" x14ac:dyDescent="0.25">
      <c r="A9" s="1" t="s">
        <v>24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/>
      <c r="H9" s="38"/>
      <c r="I9" s="38"/>
      <c r="J9" s="29">
        <f t="shared" si="0"/>
        <v>43.2</v>
      </c>
      <c r="K9" s="29"/>
      <c r="L9" s="29">
        <f t="shared" si="1"/>
        <v>21.6</v>
      </c>
      <c r="M9" s="29">
        <f t="shared" si="2"/>
        <v>10.8</v>
      </c>
      <c r="N9" s="29">
        <f t="shared" si="3"/>
        <v>15.6</v>
      </c>
      <c r="O9" s="29">
        <f>'Mid Sem'!O10</f>
        <v>78</v>
      </c>
      <c r="P9" s="29">
        <f>'End Sem'!N10</f>
        <v>0</v>
      </c>
      <c r="Q9" s="29">
        <f t="shared" si="4"/>
        <v>0</v>
      </c>
      <c r="R9" s="26">
        <f t="shared" si="5"/>
        <v>26.4</v>
      </c>
      <c r="S9" s="39"/>
      <c r="U9" t="s">
        <v>25</v>
      </c>
      <c r="V9">
        <v>25010104926</v>
      </c>
    </row>
    <row r="10" spans="1:22" ht="15.75" x14ac:dyDescent="0.25">
      <c r="A10" s="1" t="s">
        <v>26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/>
      <c r="H10" s="38"/>
      <c r="I10" s="38"/>
      <c r="J10" s="29">
        <f t="shared" si="0"/>
        <v>40.6</v>
      </c>
      <c r="K10" s="29"/>
      <c r="L10" s="29">
        <f t="shared" si="1"/>
        <v>20.3</v>
      </c>
      <c r="M10" s="29">
        <f t="shared" si="2"/>
        <v>10.15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12.95</v>
      </c>
      <c r="S10" s="39"/>
      <c r="U10" t="s">
        <v>27</v>
      </c>
      <c r="V10">
        <v>25010104890</v>
      </c>
    </row>
    <row r="11" spans="1:22" ht="15.75" x14ac:dyDescent="0.25">
      <c r="A11" s="1" t="s">
        <v>28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/>
      <c r="H11" s="38"/>
      <c r="I11" s="38"/>
      <c r="J11" s="29">
        <f t="shared" si="0"/>
        <v>36.4</v>
      </c>
      <c r="K11" s="29"/>
      <c r="L11" s="29">
        <f t="shared" si="1"/>
        <v>18.2</v>
      </c>
      <c r="M11" s="29">
        <f t="shared" si="2"/>
        <v>9.1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19.100000000000001</v>
      </c>
      <c r="S11" s="39"/>
      <c r="U11" t="s">
        <v>29</v>
      </c>
      <c r="V11">
        <v>25010104880</v>
      </c>
    </row>
    <row r="12" spans="1:22" ht="15.75" x14ac:dyDescent="0.25">
      <c r="A12" s="1" t="s">
        <v>30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/>
      <c r="H12" s="38"/>
      <c r="I12" s="38"/>
      <c r="J12" s="29">
        <f t="shared" si="0"/>
        <v>41.3</v>
      </c>
      <c r="K12" s="29"/>
      <c r="L12" s="29">
        <f t="shared" si="1"/>
        <v>20.65</v>
      </c>
      <c r="M12" s="29">
        <f t="shared" si="2"/>
        <v>10.324999999999999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11.924999999999999</v>
      </c>
      <c r="S12" s="39"/>
      <c r="U12" t="s">
        <v>31</v>
      </c>
      <c r="V12">
        <v>25010104928</v>
      </c>
    </row>
    <row r="13" spans="1:22" ht="15.75" x14ac:dyDescent="0.25">
      <c r="A13" s="1" t="s">
        <v>32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/>
      <c r="H13" s="38"/>
      <c r="I13" s="38"/>
      <c r="J13" s="29">
        <f t="shared" si="0"/>
        <v>46.5</v>
      </c>
      <c r="K13" s="29"/>
      <c r="L13" s="29">
        <f t="shared" si="1"/>
        <v>23.25</v>
      </c>
      <c r="M13" s="29">
        <f t="shared" si="2"/>
        <v>11.625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22.425000000000001</v>
      </c>
      <c r="S13" s="39"/>
      <c r="U13" t="s">
        <v>33</v>
      </c>
      <c r="V13">
        <v>25010104903</v>
      </c>
    </row>
    <row r="14" spans="1:22" ht="15.75" x14ac:dyDescent="0.25">
      <c r="A14" s="1" t="s">
        <v>34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/>
      <c r="H14" s="38"/>
      <c r="I14" s="38"/>
      <c r="J14" s="29">
        <f t="shared" si="0"/>
        <v>0</v>
      </c>
      <c r="K14" s="29"/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35</v>
      </c>
      <c r="V14">
        <v>25010104910</v>
      </c>
    </row>
    <row r="15" spans="1:22" ht="15.75" x14ac:dyDescent="0.25">
      <c r="A15" s="1" t="s">
        <v>36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/>
      <c r="H15" s="38"/>
      <c r="I15" s="38"/>
      <c r="J15" s="29">
        <f t="shared" si="0"/>
        <v>33.200000000000003</v>
      </c>
      <c r="K15" s="29"/>
      <c r="L15" s="29">
        <f t="shared" si="1"/>
        <v>16.600000000000001</v>
      </c>
      <c r="M15" s="29">
        <f t="shared" si="2"/>
        <v>8.3000000000000007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8.5</v>
      </c>
      <c r="S15" s="39"/>
      <c r="U15" t="s">
        <v>37</v>
      </c>
      <c r="V15">
        <v>25010104944</v>
      </c>
    </row>
    <row r="16" spans="1:22" ht="15.75" x14ac:dyDescent="0.25">
      <c r="A16" s="1" t="s">
        <v>38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11.9</v>
      </c>
      <c r="F16" s="38">
        <f>'Class Test 1'!P17</f>
        <v>15</v>
      </c>
      <c r="G16" s="38"/>
      <c r="H16" s="38"/>
      <c r="I16" s="38"/>
      <c r="J16" s="29">
        <f t="shared" si="0"/>
        <v>38.9</v>
      </c>
      <c r="K16" s="29"/>
      <c r="L16" s="29">
        <f t="shared" si="1"/>
        <v>19.45</v>
      </c>
      <c r="M16" s="29">
        <f t="shared" si="2"/>
        <v>9.7249999999999996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16.725000000000001</v>
      </c>
      <c r="S16" s="39"/>
      <c r="U16" t="s">
        <v>39</v>
      </c>
      <c r="V16">
        <v>25010104876</v>
      </c>
    </row>
    <row r="17" spans="1:22" ht="15.75" x14ac:dyDescent="0.25">
      <c r="A17" s="1" t="s">
        <v>40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/>
      <c r="H17" s="38"/>
      <c r="I17" s="38"/>
      <c r="J17" s="29">
        <f t="shared" si="0"/>
        <v>33</v>
      </c>
      <c r="K17" s="29"/>
      <c r="L17" s="29">
        <f t="shared" si="1"/>
        <v>16.5</v>
      </c>
      <c r="M17" s="29">
        <f t="shared" si="2"/>
        <v>8.25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19.649999999999999</v>
      </c>
      <c r="S17" s="39"/>
      <c r="U17" t="s">
        <v>41</v>
      </c>
      <c r="V17">
        <v>122515743</v>
      </c>
    </row>
    <row r="18" spans="1:22" ht="15.75" x14ac:dyDescent="0.25">
      <c r="A18" s="1" t="s">
        <v>42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/>
      <c r="H18" s="38"/>
      <c r="I18" s="38"/>
      <c r="J18" s="29">
        <f t="shared" si="0"/>
        <v>33.200000000000003</v>
      </c>
      <c r="K18" s="29"/>
      <c r="L18" s="29">
        <f t="shared" si="1"/>
        <v>16.600000000000001</v>
      </c>
      <c r="M18" s="29">
        <f t="shared" si="2"/>
        <v>8.3000000000000007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27.900000000000002</v>
      </c>
      <c r="S18" s="1"/>
      <c r="U18" t="s">
        <v>43</v>
      </c>
      <c r="V18">
        <v>25010104886</v>
      </c>
    </row>
    <row r="19" spans="1:22" ht="15.75" x14ac:dyDescent="0.25">
      <c r="A19" s="1" t="s">
        <v>44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/>
      <c r="H19" s="38"/>
      <c r="I19" s="38"/>
      <c r="J19" s="29">
        <f t="shared" si="0"/>
        <v>35</v>
      </c>
      <c r="K19" s="29"/>
      <c r="L19" s="29">
        <f t="shared" si="1"/>
        <v>17.5</v>
      </c>
      <c r="M19" s="29">
        <f t="shared" si="2"/>
        <v>8.75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18.95</v>
      </c>
      <c r="S19" s="1"/>
      <c r="U19" t="s">
        <v>45</v>
      </c>
      <c r="V19">
        <v>25010104881</v>
      </c>
    </row>
    <row r="20" spans="1:22" ht="15.75" x14ac:dyDescent="0.25">
      <c r="A20" s="1" t="s">
        <v>46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/>
      <c r="H20" s="38"/>
      <c r="I20" s="38"/>
      <c r="J20" s="29">
        <f t="shared" si="0"/>
        <v>32.799999999999997</v>
      </c>
      <c r="K20" s="29"/>
      <c r="L20" s="29">
        <f t="shared" si="1"/>
        <v>16.399999999999999</v>
      </c>
      <c r="M20" s="29">
        <f t="shared" si="2"/>
        <v>8.1999999999999993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14</v>
      </c>
      <c r="S20" s="1"/>
      <c r="U20" t="s">
        <v>47</v>
      </c>
      <c r="V20">
        <v>25010104909</v>
      </c>
    </row>
    <row r="21" spans="1:22" ht="15.75" x14ac:dyDescent="0.25">
      <c r="A21" s="1" t="s">
        <v>48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1"/>
      <c r="H21" s="1"/>
      <c r="I21" s="1"/>
      <c r="J21" s="29">
        <f t="shared" si="0"/>
        <v>0</v>
      </c>
      <c r="K21" s="29"/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49</v>
      </c>
      <c r="V21">
        <v>25010104906</v>
      </c>
    </row>
    <row r="22" spans="1:22" ht="15.75" x14ac:dyDescent="0.25">
      <c r="A22" s="1" t="s">
        <v>50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1"/>
      <c r="H22" s="1"/>
      <c r="I22" s="1"/>
      <c r="J22" s="29">
        <f t="shared" si="0"/>
        <v>47.6</v>
      </c>
      <c r="K22" s="29"/>
      <c r="L22" s="29">
        <f t="shared" si="1"/>
        <v>23.8</v>
      </c>
      <c r="M22" s="29">
        <f t="shared" si="2"/>
        <v>11.9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16.5</v>
      </c>
      <c r="S22" s="1"/>
      <c r="U22" t="s">
        <v>51</v>
      </c>
      <c r="V22">
        <v>25010104892</v>
      </c>
    </row>
    <row r="23" spans="1:22" ht="15.75" x14ac:dyDescent="0.25">
      <c r="A23" s="1" t="s">
        <v>52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1"/>
      <c r="H23" s="1"/>
      <c r="I23" s="1"/>
      <c r="J23" s="29">
        <f t="shared" si="0"/>
        <v>11</v>
      </c>
      <c r="K23" s="29"/>
      <c r="L23" s="29">
        <f t="shared" si="1"/>
        <v>5.5</v>
      </c>
      <c r="M23" s="29">
        <f t="shared" si="2"/>
        <v>2.75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6.15</v>
      </c>
      <c r="S23" s="1"/>
      <c r="U23" t="s">
        <v>53</v>
      </c>
      <c r="V23">
        <v>25010104887</v>
      </c>
    </row>
    <row r="24" spans="1:22" ht="15.75" x14ac:dyDescent="0.25">
      <c r="A24" s="1" t="s">
        <v>54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1"/>
      <c r="H24" s="1"/>
      <c r="I24" s="1"/>
      <c r="J24" s="29">
        <f t="shared" si="0"/>
        <v>23.5</v>
      </c>
      <c r="K24" s="29"/>
      <c r="L24" s="29">
        <f t="shared" si="1"/>
        <v>11.75</v>
      </c>
      <c r="M24" s="29">
        <f t="shared" si="2"/>
        <v>5.875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7.4749999999999996</v>
      </c>
      <c r="S24" s="36"/>
      <c r="U24" t="s">
        <v>55</v>
      </c>
      <c r="V24">
        <v>25010104933</v>
      </c>
    </row>
    <row r="25" spans="1:22" ht="15.75" x14ac:dyDescent="0.25">
      <c r="A25" s="1" t="s">
        <v>56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1"/>
      <c r="H25" s="1"/>
      <c r="I25" s="1"/>
      <c r="J25" s="29">
        <f t="shared" si="0"/>
        <v>49.3</v>
      </c>
      <c r="K25" s="29"/>
      <c r="L25" s="29">
        <f t="shared" si="1"/>
        <v>24.65</v>
      </c>
      <c r="M25" s="29">
        <f t="shared" si="2"/>
        <v>12.324999999999999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29.324999999999999</v>
      </c>
      <c r="S25" s="36"/>
      <c r="U25" t="s">
        <v>57</v>
      </c>
      <c r="V25">
        <v>25010104900</v>
      </c>
    </row>
    <row r="26" spans="1:22" ht="15.75" x14ac:dyDescent="0.25">
      <c r="A26" s="1" t="s">
        <v>58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1"/>
      <c r="H26" s="1"/>
      <c r="I26" s="1"/>
      <c r="J26" s="29">
        <f t="shared" si="0"/>
        <v>39.299999999999997</v>
      </c>
      <c r="K26" s="29"/>
      <c r="L26" s="29">
        <f t="shared" si="1"/>
        <v>19.649999999999999</v>
      </c>
      <c r="M26" s="29">
        <f t="shared" si="2"/>
        <v>9.8249999999999993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18.424999999999997</v>
      </c>
      <c r="S26" s="36"/>
      <c r="U26" t="s">
        <v>59</v>
      </c>
      <c r="V26">
        <v>25010104915</v>
      </c>
    </row>
    <row r="27" spans="1:22" ht="15.75" x14ac:dyDescent="0.25">
      <c r="A27" s="1" t="s">
        <v>60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1"/>
      <c r="H27" s="1"/>
      <c r="I27" s="1"/>
      <c r="J27" s="29">
        <f t="shared" si="0"/>
        <v>23.5</v>
      </c>
      <c r="K27" s="29"/>
      <c r="L27" s="29">
        <f t="shared" si="1"/>
        <v>11.75</v>
      </c>
      <c r="M27" s="29">
        <f t="shared" si="2"/>
        <v>5.875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11.675000000000001</v>
      </c>
      <c r="S27" s="36"/>
      <c r="U27" t="s">
        <v>61</v>
      </c>
      <c r="V27">
        <v>25010104868</v>
      </c>
    </row>
    <row r="28" spans="1:22" ht="15.75" x14ac:dyDescent="0.25">
      <c r="A28" s="1" t="s">
        <v>62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0</v>
      </c>
      <c r="F28" s="38">
        <f>'Class Test 1'!P29</f>
        <v>6.5</v>
      </c>
      <c r="G28" s="1"/>
      <c r="H28" s="1"/>
      <c r="I28" s="1"/>
      <c r="J28" s="29">
        <f t="shared" si="0"/>
        <v>6.5</v>
      </c>
      <c r="K28" s="29"/>
      <c r="L28" s="29">
        <f t="shared" si="1"/>
        <v>3.25</v>
      </c>
      <c r="M28" s="29">
        <f t="shared" si="2"/>
        <v>1.625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5.8250000000000002</v>
      </c>
      <c r="S28" s="36"/>
      <c r="U28" t="s">
        <v>63</v>
      </c>
      <c r="V28">
        <v>25010104884</v>
      </c>
    </row>
    <row r="29" spans="1:22" ht="15.75" x14ac:dyDescent="0.25">
      <c r="A29" s="1" t="s">
        <v>64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1"/>
      <c r="H29" s="1"/>
      <c r="I29" s="1"/>
      <c r="J29" s="29">
        <f t="shared" si="0"/>
        <v>15.6</v>
      </c>
      <c r="K29" s="29"/>
      <c r="L29" s="29">
        <f t="shared" si="1"/>
        <v>7.8</v>
      </c>
      <c r="M29" s="29">
        <f t="shared" si="2"/>
        <v>3.9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4.5</v>
      </c>
      <c r="S29" s="36"/>
      <c r="U29" t="s">
        <v>65</v>
      </c>
      <c r="V29">
        <v>25010104888</v>
      </c>
    </row>
    <row r="30" spans="1:22" ht="15.75" x14ac:dyDescent="0.25">
      <c r="A30" s="1" t="s">
        <v>66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1"/>
      <c r="H30" s="1"/>
      <c r="I30" s="1"/>
      <c r="J30" s="29">
        <f t="shared" si="0"/>
        <v>35</v>
      </c>
      <c r="K30" s="29"/>
      <c r="L30" s="29">
        <f t="shared" si="1"/>
        <v>17.5</v>
      </c>
      <c r="M30" s="29">
        <f t="shared" si="2"/>
        <v>8.75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13.35</v>
      </c>
      <c r="S30" s="36"/>
      <c r="U30" t="s">
        <v>67</v>
      </c>
      <c r="V30">
        <v>25010104936</v>
      </c>
    </row>
    <row r="31" spans="1:22" ht="15.75" x14ac:dyDescent="0.25">
      <c r="A31" s="1" t="s">
        <v>68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1"/>
      <c r="H31" s="1"/>
      <c r="I31" s="1"/>
      <c r="J31" s="29">
        <f t="shared" si="0"/>
        <v>40.4</v>
      </c>
      <c r="K31" s="29"/>
      <c r="L31" s="29">
        <f t="shared" si="1"/>
        <v>20.2</v>
      </c>
      <c r="M31" s="29">
        <f t="shared" si="2"/>
        <v>10.1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25.9</v>
      </c>
      <c r="S31" s="36"/>
      <c r="U31" t="s">
        <v>69</v>
      </c>
      <c r="V31">
        <v>25010104875</v>
      </c>
    </row>
    <row r="32" spans="1:22" ht="15.75" x14ac:dyDescent="0.25">
      <c r="A32" s="1" t="s">
        <v>70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1"/>
      <c r="H32" s="1"/>
      <c r="I32" s="1"/>
      <c r="J32" s="29">
        <f t="shared" si="0"/>
        <v>45.6</v>
      </c>
      <c r="K32" s="29"/>
      <c r="L32" s="29">
        <f t="shared" si="1"/>
        <v>22.8</v>
      </c>
      <c r="M32" s="29">
        <f t="shared" si="2"/>
        <v>11.4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16.600000000000001</v>
      </c>
      <c r="S32" s="36"/>
      <c r="U32" t="s">
        <v>71</v>
      </c>
      <c r="V32">
        <v>25010104925</v>
      </c>
    </row>
    <row r="33" spans="1:22" ht="15.75" x14ac:dyDescent="0.25">
      <c r="A33" s="1" t="s">
        <v>72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1"/>
      <c r="H33" s="1"/>
      <c r="I33" s="1"/>
      <c r="J33" s="29">
        <f t="shared" si="0"/>
        <v>49.5</v>
      </c>
      <c r="K33" s="29"/>
      <c r="L33" s="29">
        <f t="shared" si="1"/>
        <v>24.75</v>
      </c>
      <c r="M33" s="29">
        <f t="shared" si="2"/>
        <v>12.375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25.375</v>
      </c>
      <c r="S33" s="36"/>
      <c r="U33" t="s">
        <v>73</v>
      </c>
      <c r="V33">
        <v>25010104879</v>
      </c>
    </row>
    <row r="34" spans="1:22" ht="15.75" x14ac:dyDescent="0.25">
      <c r="A34" s="1" t="s">
        <v>74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1"/>
      <c r="H34" s="1"/>
      <c r="I34" s="1"/>
      <c r="J34" s="29">
        <f t="shared" si="0"/>
        <v>38.6</v>
      </c>
      <c r="K34" s="29"/>
      <c r="L34" s="29">
        <f t="shared" si="1"/>
        <v>19.3</v>
      </c>
      <c r="M34" s="29">
        <f t="shared" si="2"/>
        <v>9.65</v>
      </c>
      <c r="N34" s="29">
        <f t="shared" si="3"/>
        <v>7.6</v>
      </c>
      <c r="O34" s="29">
        <f>'Mid Sem'!O35</f>
        <v>38</v>
      </c>
      <c r="P34" s="29">
        <f>'End Sem'!N35</f>
        <v>0</v>
      </c>
      <c r="Q34" s="29">
        <f t="shared" si="4"/>
        <v>0</v>
      </c>
      <c r="R34" s="26">
        <f t="shared" si="5"/>
        <v>17.25</v>
      </c>
      <c r="S34" s="36"/>
      <c r="U34" t="s">
        <v>75</v>
      </c>
      <c r="V34">
        <v>25010104997</v>
      </c>
    </row>
    <row r="35" spans="1:22" ht="15.75" x14ac:dyDescent="0.25">
      <c r="A35" s="1" t="s">
        <v>76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1"/>
      <c r="H35" s="1"/>
      <c r="I35" s="1"/>
      <c r="J35" s="29">
        <f t="shared" si="0"/>
        <v>44.9</v>
      </c>
      <c r="K35" s="29"/>
      <c r="L35" s="29">
        <f t="shared" si="1"/>
        <v>22.45</v>
      </c>
      <c r="M35" s="29">
        <f t="shared" si="2"/>
        <v>11.225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11.225</v>
      </c>
      <c r="S35" s="36"/>
      <c r="U35" t="s">
        <v>77</v>
      </c>
      <c r="V35">
        <v>25010105001</v>
      </c>
    </row>
    <row r="36" spans="1:22" ht="15.75" x14ac:dyDescent="0.25">
      <c r="A36" s="1" t="s">
        <v>78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1"/>
      <c r="H36" s="1"/>
      <c r="I36" s="1"/>
      <c r="J36" s="29">
        <f t="shared" si="0"/>
        <v>42.4</v>
      </c>
      <c r="K36" s="29"/>
      <c r="L36" s="29">
        <f t="shared" si="1"/>
        <v>21.2</v>
      </c>
      <c r="M36" s="29">
        <f t="shared" si="2"/>
        <v>10.6</v>
      </c>
      <c r="N36" s="29">
        <f t="shared" si="3"/>
        <v>6.2</v>
      </c>
      <c r="O36" s="29">
        <f>'Mid Sem'!O37</f>
        <v>31</v>
      </c>
      <c r="P36" s="29">
        <f>'End Sem'!N37</f>
        <v>0</v>
      </c>
      <c r="Q36" s="29">
        <f t="shared" si="4"/>
        <v>0</v>
      </c>
      <c r="R36" s="26">
        <f t="shared" si="5"/>
        <v>16.8</v>
      </c>
      <c r="S36" s="36"/>
      <c r="U36" t="s">
        <v>79</v>
      </c>
      <c r="V36">
        <v>25010104956</v>
      </c>
    </row>
    <row r="37" spans="1:22" ht="15.75" x14ac:dyDescent="0.25">
      <c r="A37" s="1" t="s">
        <v>80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1"/>
      <c r="H37" s="1"/>
      <c r="I37" s="1"/>
      <c r="J37" s="29">
        <f t="shared" si="0"/>
        <v>33</v>
      </c>
      <c r="K37" s="29"/>
      <c r="L37" s="29">
        <f t="shared" si="1"/>
        <v>16.5</v>
      </c>
      <c r="M37" s="29">
        <f t="shared" si="2"/>
        <v>8.25</v>
      </c>
      <c r="N37" s="29">
        <f t="shared" si="3"/>
        <v>11.2</v>
      </c>
      <c r="O37" s="29">
        <f>'Mid Sem'!O38</f>
        <v>56</v>
      </c>
      <c r="P37" s="29">
        <f>'End Sem'!N38</f>
        <v>0</v>
      </c>
      <c r="Q37" s="29">
        <f t="shared" si="4"/>
        <v>0</v>
      </c>
      <c r="R37" s="26">
        <f t="shared" si="5"/>
        <v>19.45</v>
      </c>
      <c r="S37" s="36"/>
      <c r="U37" t="s">
        <v>81</v>
      </c>
      <c r="V37">
        <v>25010104948</v>
      </c>
    </row>
    <row r="38" spans="1:22" ht="15.75" x14ac:dyDescent="0.25">
      <c r="A38" s="1" t="s">
        <v>82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1"/>
      <c r="H38" s="1"/>
      <c r="I38" s="1"/>
      <c r="J38" s="29">
        <f t="shared" si="0"/>
        <v>22.9</v>
      </c>
      <c r="K38" s="29"/>
      <c r="L38" s="29">
        <f t="shared" si="1"/>
        <v>11.45</v>
      </c>
      <c r="M38" s="29">
        <f t="shared" si="2"/>
        <v>5.7249999999999996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6.125</v>
      </c>
      <c r="S38" s="1"/>
      <c r="U38" t="s">
        <v>83</v>
      </c>
      <c r="V38">
        <v>25010104974</v>
      </c>
    </row>
    <row r="39" spans="1:22" ht="15.75" x14ac:dyDescent="0.25">
      <c r="A39" s="1" t="s">
        <v>84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1"/>
      <c r="H39" s="1"/>
      <c r="I39" s="1"/>
      <c r="J39" s="29">
        <f t="shared" si="0"/>
        <v>16</v>
      </c>
      <c r="K39" s="29"/>
      <c r="L39" s="29">
        <f t="shared" si="1"/>
        <v>8</v>
      </c>
      <c r="M39" s="29">
        <f t="shared" si="2"/>
        <v>4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14.8</v>
      </c>
      <c r="S39" s="1"/>
      <c r="U39" t="s">
        <v>85</v>
      </c>
      <c r="V39">
        <v>25010104995</v>
      </c>
    </row>
    <row r="40" spans="1:22" ht="15.75" x14ac:dyDescent="0.25">
      <c r="A40" s="1" t="s">
        <v>86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1"/>
      <c r="H40" s="1"/>
      <c r="I40" s="1"/>
      <c r="J40" s="29">
        <f t="shared" si="0"/>
        <v>8</v>
      </c>
      <c r="K40" s="29"/>
      <c r="L40" s="29">
        <f t="shared" si="1"/>
        <v>4</v>
      </c>
      <c r="M40" s="29">
        <f t="shared" si="2"/>
        <v>2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2.8</v>
      </c>
      <c r="S40" s="1"/>
      <c r="U40" t="s">
        <v>87</v>
      </c>
      <c r="V40">
        <v>25010105012</v>
      </c>
    </row>
    <row r="41" spans="1:22" ht="15.75" x14ac:dyDescent="0.25">
      <c r="A41" s="1" t="s">
        <v>88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1"/>
      <c r="H41" s="1"/>
      <c r="I41" s="1"/>
      <c r="J41" s="29">
        <f t="shared" si="0"/>
        <v>38.1</v>
      </c>
      <c r="K41" s="29"/>
      <c r="L41" s="29">
        <f t="shared" si="1"/>
        <v>19.05</v>
      </c>
      <c r="M41" s="29">
        <f t="shared" si="2"/>
        <v>9.5250000000000004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15.525</v>
      </c>
      <c r="S41" s="1"/>
      <c r="U41" t="s">
        <v>89</v>
      </c>
      <c r="V41">
        <v>25010104947</v>
      </c>
    </row>
    <row r="42" spans="1:22" ht="15.75" x14ac:dyDescent="0.25">
      <c r="A42" s="1" t="s">
        <v>90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1"/>
      <c r="H42" s="1"/>
      <c r="I42" s="1"/>
      <c r="J42" s="29">
        <f t="shared" si="0"/>
        <v>14.5</v>
      </c>
      <c r="K42" s="29"/>
      <c r="L42" s="29">
        <f t="shared" si="1"/>
        <v>7.25</v>
      </c>
      <c r="M42" s="29">
        <f t="shared" si="2"/>
        <v>3.625</v>
      </c>
      <c r="N42" s="29">
        <f t="shared" si="3"/>
        <v>2.4</v>
      </c>
      <c r="O42" s="29">
        <f>'Mid Sem'!O43</f>
        <v>12</v>
      </c>
      <c r="P42" s="29">
        <f>'End Sem'!N43</f>
        <v>0</v>
      </c>
      <c r="Q42" s="29">
        <f t="shared" si="4"/>
        <v>0</v>
      </c>
      <c r="R42" s="26">
        <f t="shared" si="5"/>
        <v>6.0250000000000004</v>
      </c>
      <c r="S42" s="1"/>
      <c r="U42" t="s">
        <v>91</v>
      </c>
      <c r="V42">
        <v>25010104986</v>
      </c>
    </row>
    <row r="43" spans="1:22" ht="15.75" x14ac:dyDescent="0.25">
      <c r="A43" s="1" t="s">
        <v>92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1"/>
      <c r="H43" s="1"/>
      <c r="I43" s="1"/>
      <c r="J43" s="29">
        <f t="shared" si="0"/>
        <v>0</v>
      </c>
      <c r="K43" s="29"/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93</v>
      </c>
      <c r="V43">
        <v>25010104982</v>
      </c>
    </row>
    <row r="44" spans="1:22" ht="15.75" x14ac:dyDescent="0.25">
      <c r="A44" s="1" t="s">
        <v>94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7.4</v>
      </c>
      <c r="F44" s="38">
        <f>'Class Test 1'!P45</f>
        <v>15</v>
      </c>
      <c r="G44" s="1"/>
      <c r="H44" s="1"/>
      <c r="I44" s="1"/>
      <c r="J44" s="29">
        <f t="shared" si="0"/>
        <v>36.4</v>
      </c>
      <c r="K44" s="29"/>
      <c r="L44" s="29">
        <f t="shared" si="1"/>
        <v>18.2</v>
      </c>
      <c r="M44" s="29">
        <f t="shared" si="2"/>
        <v>9.1</v>
      </c>
      <c r="N44" s="29">
        <f t="shared" si="3"/>
        <v>2.2000000000000002</v>
      </c>
      <c r="O44" s="29">
        <f>'Mid Sem'!O45</f>
        <v>11</v>
      </c>
      <c r="P44" s="29">
        <f>'End Sem'!N45</f>
        <v>0</v>
      </c>
      <c r="Q44" s="29">
        <f t="shared" si="4"/>
        <v>0</v>
      </c>
      <c r="R44" s="26">
        <f t="shared" si="5"/>
        <v>11.3</v>
      </c>
      <c r="S44" s="1"/>
      <c r="U44" t="s">
        <v>95</v>
      </c>
      <c r="V44">
        <v>25010104998</v>
      </c>
    </row>
    <row r="45" spans="1:22" ht="15.75" x14ac:dyDescent="0.25">
      <c r="A45" s="1" t="s">
        <v>96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1"/>
      <c r="H45" s="1"/>
      <c r="I45" s="1"/>
      <c r="J45" s="29">
        <f t="shared" si="0"/>
        <v>15</v>
      </c>
      <c r="K45" s="29"/>
      <c r="L45" s="29">
        <f t="shared" si="1"/>
        <v>7.5</v>
      </c>
      <c r="M45" s="29">
        <f t="shared" si="2"/>
        <v>3.75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3.75</v>
      </c>
      <c r="S45" s="1"/>
      <c r="U45" t="s">
        <v>97</v>
      </c>
      <c r="V45">
        <v>25010104996</v>
      </c>
    </row>
    <row r="46" spans="1:22" ht="15.75" x14ac:dyDescent="0.25">
      <c r="A46" s="1" t="s">
        <v>98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1"/>
      <c r="H46" s="1"/>
      <c r="I46" s="1"/>
      <c r="J46" s="29">
        <f t="shared" si="0"/>
        <v>36.299999999999997</v>
      </c>
      <c r="K46" s="29"/>
      <c r="L46" s="29">
        <f t="shared" si="1"/>
        <v>18.149999999999999</v>
      </c>
      <c r="M46" s="29">
        <f t="shared" si="2"/>
        <v>9.0749999999999993</v>
      </c>
      <c r="N46" s="29">
        <f t="shared" si="3"/>
        <v>2</v>
      </c>
      <c r="O46" s="29">
        <f>'Mid Sem'!O47</f>
        <v>10</v>
      </c>
      <c r="P46" s="29">
        <f>'End Sem'!N47</f>
        <v>0</v>
      </c>
      <c r="Q46" s="29">
        <f t="shared" si="4"/>
        <v>0</v>
      </c>
      <c r="R46" s="26">
        <f t="shared" si="5"/>
        <v>11.074999999999999</v>
      </c>
      <c r="S46" s="1"/>
      <c r="U46" t="s">
        <v>99</v>
      </c>
      <c r="V46">
        <v>25010105010</v>
      </c>
    </row>
    <row r="47" spans="1:22" ht="15.75" x14ac:dyDescent="0.25">
      <c r="A47" s="1" t="s">
        <v>100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1"/>
      <c r="H47" s="1"/>
      <c r="I47" s="1"/>
      <c r="J47" s="29">
        <f t="shared" si="0"/>
        <v>21</v>
      </c>
      <c r="K47" s="29"/>
      <c r="L47" s="29">
        <f t="shared" si="1"/>
        <v>10.5</v>
      </c>
      <c r="M47" s="29">
        <f t="shared" si="2"/>
        <v>5.25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6.05</v>
      </c>
      <c r="S47" s="1"/>
      <c r="U47" t="s">
        <v>101</v>
      </c>
      <c r="V47">
        <v>25010104999</v>
      </c>
    </row>
    <row r="48" spans="1:22" ht="15.75" x14ac:dyDescent="0.25">
      <c r="A48" s="1" t="s">
        <v>102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1"/>
      <c r="H48" s="1"/>
      <c r="I48" s="1"/>
      <c r="J48" s="29">
        <f t="shared" si="0"/>
        <v>30.4</v>
      </c>
      <c r="K48" s="29"/>
      <c r="L48" s="29">
        <f t="shared" si="1"/>
        <v>15.2</v>
      </c>
      <c r="M48" s="29">
        <f t="shared" si="2"/>
        <v>7.6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7.6</v>
      </c>
      <c r="S48" s="1"/>
      <c r="U48" t="s">
        <v>103</v>
      </c>
      <c r="V48">
        <v>25010104326</v>
      </c>
    </row>
    <row r="49" spans="1:22" ht="15.75" x14ac:dyDescent="0.25">
      <c r="A49" s="1" t="s">
        <v>104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1"/>
      <c r="H49" s="1"/>
      <c r="I49" s="1"/>
      <c r="J49" s="29">
        <f t="shared" si="0"/>
        <v>0</v>
      </c>
      <c r="K49" s="29"/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105</v>
      </c>
      <c r="V49">
        <v>25010104601</v>
      </c>
    </row>
    <row r="50" spans="1:22" ht="15.75" x14ac:dyDescent="0.25">
      <c r="A50" s="1" t="s">
        <v>106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1"/>
      <c r="H50" s="1"/>
      <c r="I50" s="1"/>
      <c r="J50" s="29">
        <f t="shared" si="0"/>
        <v>22.5</v>
      </c>
      <c r="K50" s="29"/>
      <c r="L50" s="29">
        <f t="shared" si="1"/>
        <v>11.25</v>
      </c>
      <c r="M50" s="29">
        <f t="shared" si="2"/>
        <v>5.625</v>
      </c>
      <c r="N50" s="29">
        <f t="shared" si="3"/>
        <v>9.1999999999999993</v>
      </c>
      <c r="O50" s="29">
        <f>'Mid Sem'!O51</f>
        <v>46</v>
      </c>
      <c r="P50" s="29">
        <f>'End Sem'!N51</f>
        <v>0</v>
      </c>
      <c r="Q50" s="29">
        <f t="shared" si="4"/>
        <v>0</v>
      </c>
      <c r="R50" s="26">
        <f t="shared" si="5"/>
        <v>14.824999999999999</v>
      </c>
      <c r="S50" s="1"/>
      <c r="U50" t="s">
        <v>107</v>
      </c>
      <c r="V50">
        <v>25010104970</v>
      </c>
    </row>
    <row r="51" spans="1:22" ht="15.75" x14ac:dyDescent="0.25">
      <c r="A51" s="1" t="s">
        <v>108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1"/>
      <c r="H51" s="1"/>
      <c r="I51" s="1"/>
      <c r="J51" s="29">
        <f t="shared" si="0"/>
        <v>45.9</v>
      </c>
      <c r="K51" s="29"/>
      <c r="L51" s="29">
        <f t="shared" si="1"/>
        <v>22.95</v>
      </c>
      <c r="M51" s="29">
        <f t="shared" si="2"/>
        <v>11.475</v>
      </c>
      <c r="N51" s="29">
        <f t="shared" si="3"/>
        <v>0.2</v>
      </c>
      <c r="O51" s="29">
        <f>'Mid Sem'!O52</f>
        <v>1</v>
      </c>
      <c r="P51" s="29">
        <f>'End Sem'!N52</f>
        <v>0</v>
      </c>
      <c r="Q51" s="29">
        <f t="shared" si="4"/>
        <v>0</v>
      </c>
      <c r="R51" s="26">
        <f t="shared" si="5"/>
        <v>11.674999999999999</v>
      </c>
      <c r="S51" s="1"/>
      <c r="U51" t="s">
        <v>109</v>
      </c>
      <c r="V51">
        <v>25010105008</v>
      </c>
    </row>
    <row r="52" spans="1:22" ht="15.75" x14ac:dyDescent="0.25">
      <c r="A52" s="1" t="s">
        <v>110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1"/>
      <c r="H52" s="1"/>
      <c r="I52" s="1"/>
      <c r="J52" s="29">
        <f t="shared" si="0"/>
        <v>7</v>
      </c>
      <c r="K52" s="29"/>
      <c r="L52" s="29">
        <f t="shared" si="1"/>
        <v>3.5</v>
      </c>
      <c r="M52" s="29">
        <f t="shared" si="2"/>
        <v>1.75</v>
      </c>
      <c r="N52" s="29">
        <f t="shared" si="3"/>
        <v>0.2</v>
      </c>
      <c r="O52" s="29">
        <f>'Mid Sem'!O53</f>
        <v>1</v>
      </c>
      <c r="P52" s="29">
        <f>'End Sem'!N53</f>
        <v>0</v>
      </c>
      <c r="Q52" s="29">
        <f t="shared" si="4"/>
        <v>0</v>
      </c>
      <c r="R52" s="26">
        <f t="shared" si="5"/>
        <v>1.95</v>
      </c>
      <c r="S52" s="1"/>
      <c r="U52" t="s">
        <v>111</v>
      </c>
      <c r="V52">
        <v>25010105011</v>
      </c>
    </row>
    <row r="53" spans="1:22" ht="15.75" x14ac:dyDescent="0.25">
      <c r="A53" s="1" t="s">
        <v>112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1"/>
      <c r="H53" s="1"/>
      <c r="I53" s="1"/>
      <c r="J53" s="29">
        <f t="shared" si="0"/>
        <v>37.9</v>
      </c>
      <c r="K53" s="1"/>
      <c r="L53" s="29">
        <f t="shared" si="1"/>
        <v>18.95</v>
      </c>
      <c r="M53" s="29">
        <f t="shared" si="2"/>
        <v>9.4749999999999996</v>
      </c>
      <c r="N53" s="29">
        <f t="shared" si="3"/>
        <v>3.4</v>
      </c>
      <c r="O53" s="29">
        <f>'Mid Sem'!O54</f>
        <v>17</v>
      </c>
      <c r="P53" s="29">
        <f>'End Sem'!N54</f>
        <v>0</v>
      </c>
      <c r="Q53" s="29">
        <f t="shared" si="4"/>
        <v>0</v>
      </c>
      <c r="R53" s="26">
        <f t="shared" si="5"/>
        <v>12.875</v>
      </c>
      <c r="S53" s="1"/>
      <c r="U53" t="s">
        <v>113</v>
      </c>
      <c r="V53">
        <v>25010104992</v>
      </c>
    </row>
    <row r="54" spans="1:22" ht="15.75" x14ac:dyDescent="0.25">
      <c r="A54" s="1" t="s">
        <v>114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1"/>
      <c r="H54" s="1"/>
      <c r="I54" s="1"/>
      <c r="J54" s="29">
        <f t="shared" si="0"/>
        <v>45.1</v>
      </c>
      <c r="K54" s="1"/>
      <c r="L54" s="29">
        <f t="shared" si="1"/>
        <v>22.55</v>
      </c>
      <c r="M54" s="29">
        <f t="shared" si="2"/>
        <v>11.275</v>
      </c>
      <c r="N54" s="29">
        <f t="shared" si="3"/>
        <v>3.4</v>
      </c>
      <c r="O54" s="29">
        <f>'Mid Sem'!O55</f>
        <v>17</v>
      </c>
      <c r="P54" s="29">
        <f>'End Sem'!N55</f>
        <v>0</v>
      </c>
      <c r="Q54" s="29">
        <f t="shared" si="4"/>
        <v>0</v>
      </c>
      <c r="R54" s="26">
        <f t="shared" si="5"/>
        <v>14.675000000000001</v>
      </c>
      <c r="S54" s="1"/>
      <c r="U54" t="s">
        <v>115</v>
      </c>
      <c r="V54">
        <v>25010104979</v>
      </c>
    </row>
    <row r="55" spans="1:22" ht="15.75" x14ac:dyDescent="0.25">
      <c r="A55" s="1" t="s">
        <v>116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1"/>
      <c r="H55" s="1"/>
      <c r="I55" s="1"/>
      <c r="J55" s="29">
        <f t="shared" si="0"/>
        <v>28.3</v>
      </c>
      <c r="K55" s="1"/>
      <c r="L55" s="29">
        <f t="shared" si="1"/>
        <v>14.15</v>
      </c>
      <c r="M55" s="29">
        <f t="shared" si="2"/>
        <v>7.0750000000000002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7.0750000000000002</v>
      </c>
      <c r="S55" s="1"/>
      <c r="U55" t="s">
        <v>117</v>
      </c>
      <c r="V55">
        <v>25010104945</v>
      </c>
    </row>
    <row r="56" spans="1:22" ht="15.75" x14ac:dyDescent="0.25">
      <c r="A56" s="1" t="s">
        <v>118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1"/>
      <c r="H56" s="1"/>
      <c r="I56" s="1"/>
      <c r="J56" s="29">
        <f t="shared" si="0"/>
        <v>33</v>
      </c>
      <c r="K56" s="1"/>
      <c r="L56" s="29">
        <f t="shared" si="1"/>
        <v>16.5</v>
      </c>
      <c r="M56" s="29">
        <f t="shared" si="2"/>
        <v>8.25</v>
      </c>
      <c r="N56" s="29">
        <f t="shared" si="3"/>
        <v>4.4000000000000004</v>
      </c>
      <c r="O56" s="29">
        <f>'Mid Sem'!O57</f>
        <v>22</v>
      </c>
      <c r="P56" s="29">
        <f>'End Sem'!N57</f>
        <v>0</v>
      </c>
      <c r="Q56" s="29">
        <f t="shared" si="4"/>
        <v>0</v>
      </c>
      <c r="R56" s="26">
        <f t="shared" si="5"/>
        <v>12.65</v>
      </c>
      <c r="S56" s="1"/>
      <c r="U56" t="s">
        <v>119</v>
      </c>
      <c r="V56">
        <v>25010104988</v>
      </c>
    </row>
    <row r="57" spans="1:22" ht="15.75" x14ac:dyDescent="0.25">
      <c r="A57" s="1" t="s">
        <v>120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1"/>
      <c r="H57" s="1"/>
      <c r="I57" s="1"/>
      <c r="J57" s="29">
        <f t="shared" si="0"/>
        <v>27</v>
      </c>
      <c r="K57" s="1"/>
      <c r="L57" s="29">
        <f t="shared" si="1"/>
        <v>13.5</v>
      </c>
      <c r="M57" s="29">
        <f t="shared" si="2"/>
        <v>6.75</v>
      </c>
      <c r="N57" s="29">
        <f t="shared" si="3"/>
        <v>1.8</v>
      </c>
      <c r="O57" s="29">
        <f>'Mid Sem'!O58</f>
        <v>9</v>
      </c>
      <c r="P57" s="29">
        <f>'End Sem'!N58</f>
        <v>0</v>
      </c>
      <c r="Q57" s="29">
        <f t="shared" si="4"/>
        <v>0</v>
      </c>
      <c r="R57" s="26">
        <f t="shared" si="5"/>
        <v>8.5500000000000007</v>
      </c>
      <c r="S57" s="1"/>
      <c r="U57" t="s">
        <v>121</v>
      </c>
      <c r="V57">
        <v>25010104958</v>
      </c>
    </row>
    <row r="58" spans="1:22" ht="15.75" x14ac:dyDescent="0.25">
      <c r="A58" s="1" t="s">
        <v>122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1"/>
      <c r="H58" s="1"/>
      <c r="I58" s="1"/>
      <c r="J58" s="29">
        <f t="shared" si="0"/>
        <v>45.8</v>
      </c>
      <c r="K58" s="1"/>
      <c r="L58" s="29">
        <f t="shared" si="1"/>
        <v>22.9</v>
      </c>
      <c r="M58" s="29">
        <f t="shared" si="2"/>
        <v>11.45</v>
      </c>
      <c r="N58" s="29">
        <f t="shared" si="3"/>
        <v>16.399999999999999</v>
      </c>
      <c r="O58" s="29">
        <f>'Mid Sem'!O59</f>
        <v>82</v>
      </c>
      <c r="P58" s="29">
        <f>'End Sem'!N59</f>
        <v>0</v>
      </c>
      <c r="Q58" s="29">
        <f t="shared" si="4"/>
        <v>0</v>
      </c>
      <c r="R58" s="26">
        <f t="shared" si="5"/>
        <v>27.849999999999998</v>
      </c>
      <c r="S58" s="1"/>
      <c r="U58" t="s">
        <v>123</v>
      </c>
      <c r="V58">
        <v>25010105018</v>
      </c>
    </row>
    <row r="59" spans="1:22" ht="15.75" x14ac:dyDescent="0.25">
      <c r="A59" s="1" t="s">
        <v>124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1"/>
      <c r="H59" s="1"/>
      <c r="I59" s="1"/>
      <c r="J59" s="29">
        <f t="shared" si="0"/>
        <v>41.5</v>
      </c>
      <c r="K59" s="1"/>
      <c r="L59" s="29">
        <f t="shared" si="1"/>
        <v>20.75</v>
      </c>
      <c r="M59" s="29">
        <f t="shared" si="2"/>
        <v>10.375</v>
      </c>
      <c r="N59" s="29">
        <f t="shared" si="3"/>
        <v>6.2</v>
      </c>
      <c r="O59" s="29">
        <f>'Mid Sem'!O60</f>
        <v>31</v>
      </c>
      <c r="P59" s="29">
        <f>'End Sem'!N60</f>
        <v>0</v>
      </c>
      <c r="Q59" s="29">
        <f t="shared" si="4"/>
        <v>0</v>
      </c>
      <c r="R59" s="26">
        <f t="shared" si="5"/>
        <v>16.574999999999999</v>
      </c>
      <c r="S59" s="1"/>
      <c r="U59" t="s">
        <v>125</v>
      </c>
      <c r="V59">
        <v>25010105017</v>
      </c>
    </row>
    <row r="60" spans="1:22" ht="15.75" x14ac:dyDescent="0.25">
      <c r="A60" s="1" t="s">
        <v>126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1"/>
      <c r="H60" s="1"/>
      <c r="I60" s="1"/>
      <c r="J60" s="29">
        <f t="shared" si="0"/>
        <v>40.700000000000003</v>
      </c>
      <c r="K60" s="1"/>
      <c r="L60" s="29">
        <f t="shared" si="1"/>
        <v>20.350000000000001</v>
      </c>
      <c r="M60" s="29">
        <f t="shared" si="2"/>
        <v>10.175000000000001</v>
      </c>
      <c r="N60" s="29">
        <f t="shared" si="3"/>
        <v>13.6</v>
      </c>
      <c r="O60" s="29">
        <f>'Mid Sem'!O61</f>
        <v>68</v>
      </c>
      <c r="P60" s="29">
        <f>'End Sem'!N61</f>
        <v>0</v>
      </c>
      <c r="Q60" s="29">
        <f t="shared" si="4"/>
        <v>0</v>
      </c>
      <c r="R60" s="26">
        <f t="shared" si="5"/>
        <v>23.774999999999999</v>
      </c>
      <c r="S60" s="1"/>
      <c r="U60" t="s">
        <v>127</v>
      </c>
      <c r="V60">
        <v>25010104954</v>
      </c>
    </row>
    <row r="61" spans="1:22" ht="15.75" x14ac:dyDescent="0.25">
      <c r="A61" s="1" t="s">
        <v>128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1"/>
      <c r="H61" s="1"/>
      <c r="I61" s="1"/>
      <c r="J61" s="29">
        <f t="shared" si="0"/>
        <v>45.2</v>
      </c>
      <c r="K61" s="1"/>
      <c r="L61" s="29">
        <f t="shared" si="1"/>
        <v>22.6</v>
      </c>
      <c r="M61" s="29">
        <f t="shared" si="2"/>
        <v>11.3</v>
      </c>
      <c r="N61" s="29">
        <f t="shared" si="3"/>
        <v>12</v>
      </c>
      <c r="O61" s="29">
        <f>'Mid Sem'!O62</f>
        <v>60</v>
      </c>
      <c r="P61" s="29">
        <f>'End Sem'!N62</f>
        <v>0</v>
      </c>
      <c r="Q61" s="29">
        <f t="shared" si="4"/>
        <v>0</v>
      </c>
      <c r="R61" s="26">
        <f t="shared" si="5"/>
        <v>23.3</v>
      </c>
      <c r="S61" s="1"/>
      <c r="U61" t="s">
        <v>129</v>
      </c>
      <c r="V61">
        <v>25010104987</v>
      </c>
    </row>
    <row r="62" spans="1:22" ht="15.75" x14ac:dyDescent="0.25">
      <c r="A62" s="1" t="s">
        <v>130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1"/>
      <c r="H62" s="1"/>
      <c r="I62" s="1"/>
      <c r="J62" s="29">
        <f t="shared" si="0"/>
        <v>38</v>
      </c>
      <c r="K62" s="1"/>
      <c r="L62" s="29">
        <f t="shared" si="1"/>
        <v>19</v>
      </c>
      <c r="M62" s="29">
        <f t="shared" si="2"/>
        <v>9.5</v>
      </c>
      <c r="N62" s="29">
        <f t="shared" si="3"/>
        <v>12.6</v>
      </c>
      <c r="O62" s="29">
        <f>'Mid Sem'!O63</f>
        <v>63</v>
      </c>
      <c r="P62" s="29">
        <f>'End Sem'!N63</f>
        <v>0</v>
      </c>
      <c r="Q62" s="29">
        <f t="shared" si="4"/>
        <v>0</v>
      </c>
      <c r="R62" s="26">
        <f t="shared" si="5"/>
        <v>22.1</v>
      </c>
      <c r="S62" s="1"/>
      <c r="U62" t="s">
        <v>131</v>
      </c>
      <c r="V62">
        <v>25010104949</v>
      </c>
    </row>
    <row r="63" spans="1:22" ht="15.75" x14ac:dyDescent="0.25">
      <c r="A63" s="1" t="s">
        <v>132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1"/>
      <c r="H63" s="1"/>
      <c r="I63" s="1"/>
      <c r="J63" s="29">
        <f t="shared" si="0"/>
        <v>45.5</v>
      </c>
      <c r="K63" s="1"/>
      <c r="L63" s="29">
        <f t="shared" si="1"/>
        <v>22.75</v>
      </c>
      <c r="M63" s="29">
        <f t="shared" si="2"/>
        <v>11.375</v>
      </c>
      <c r="N63" s="29">
        <f t="shared" si="3"/>
        <v>2.6</v>
      </c>
      <c r="O63" s="29">
        <f>'Mid Sem'!O64</f>
        <v>13</v>
      </c>
      <c r="P63" s="29">
        <f>'End Sem'!N64</f>
        <v>0</v>
      </c>
      <c r="Q63" s="29">
        <f t="shared" si="4"/>
        <v>0</v>
      </c>
      <c r="R63" s="26">
        <f t="shared" si="5"/>
        <v>13.975</v>
      </c>
      <c r="S63" s="1"/>
      <c r="U63" t="s">
        <v>133</v>
      </c>
      <c r="V63">
        <v>122514758</v>
      </c>
    </row>
    <row r="65" spans="3:19" x14ac:dyDescent="0.25">
      <c r="C65" t="s">
        <v>169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 t="shared" si="6"/>
        <v>0</v>
      </c>
      <c r="H65">
        <f t="shared" si="6"/>
        <v>0</v>
      </c>
      <c r="I65">
        <f t="shared" si="6"/>
        <v>0</v>
      </c>
      <c r="J65">
        <f t="shared" si="6"/>
        <v>49.5</v>
      </c>
      <c r="K65">
        <f t="shared" si="6"/>
        <v>0</v>
      </c>
      <c r="L65">
        <f t="shared" si="6"/>
        <v>24.75</v>
      </c>
      <c r="M65">
        <f t="shared" si="6"/>
        <v>12.375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29.45</v>
      </c>
      <c r="S65">
        <f t="shared" si="6"/>
        <v>0</v>
      </c>
    </row>
    <row r="66" spans="3:19" x14ac:dyDescent="0.25">
      <c r="C66" t="s">
        <v>170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0</v>
      </c>
      <c r="H66">
        <f t="shared" si="7"/>
        <v>0</v>
      </c>
      <c r="I66">
        <f t="shared" si="7"/>
        <v>0</v>
      </c>
      <c r="J66">
        <f t="shared" si="7"/>
        <v>6.5</v>
      </c>
      <c r="K66">
        <f t="shared" si="7"/>
        <v>0</v>
      </c>
      <c r="L66">
        <f t="shared" si="7"/>
        <v>3.25</v>
      </c>
      <c r="M66">
        <f t="shared" si="7"/>
        <v>1.625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3:19" x14ac:dyDescent="0.25">
      <c r="C67" t="s">
        <v>171</v>
      </c>
      <c r="D67">
        <f>MEDIAN(D5:D63)</f>
        <v>11</v>
      </c>
      <c r="E67">
        <f t="shared" ref="E67:S67" si="8">MEDIAN(E5:E63)</f>
        <v>13.7</v>
      </c>
      <c r="F67">
        <f t="shared" si="8"/>
        <v>12.5</v>
      </c>
      <c r="G67" t="e">
        <f t="shared" si="8"/>
        <v>#NUM!</v>
      </c>
      <c r="H67" t="e">
        <f t="shared" si="8"/>
        <v>#NUM!</v>
      </c>
      <c r="I67" t="e">
        <f t="shared" si="8"/>
        <v>#NUM!</v>
      </c>
      <c r="J67">
        <f t="shared" si="8"/>
        <v>36.299999999999997</v>
      </c>
      <c r="K67" t="e">
        <f t="shared" si="8"/>
        <v>#NUM!</v>
      </c>
      <c r="L67">
        <f t="shared" si="8"/>
        <v>18.149999999999999</v>
      </c>
      <c r="M67">
        <f t="shared" si="8"/>
        <v>9.0749999999999993</v>
      </c>
      <c r="N67">
        <f>MEDIAN(N5:N63)</f>
        <v>4.5999999999999996</v>
      </c>
      <c r="O67">
        <f t="shared" si="8"/>
        <v>23</v>
      </c>
      <c r="P67">
        <f t="shared" si="8"/>
        <v>0</v>
      </c>
      <c r="Q67">
        <f t="shared" si="8"/>
        <v>0</v>
      </c>
      <c r="R67">
        <f t="shared" si="8"/>
        <v>13.975</v>
      </c>
      <c r="S67" t="e">
        <f t="shared" si="8"/>
        <v>#NUM!</v>
      </c>
    </row>
    <row r="68" spans="3:19" x14ac:dyDescent="0.25">
      <c r="C68" t="s">
        <v>171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t="e" cm="1" vm="1">
        <f t="array" ref="G68">MEDIAN(_xlfn._xlws.FILTER(G5:G63, G5:G63&lt;&gt;0))</f>
        <v>#VALUE!</v>
      </c>
      <c r="H68" t="e" cm="1" vm="1">
        <f t="array" ref="H68">MEDIAN(_xlfn._xlws.FILTER(H5:H63, H5:H63&lt;&gt;0))</f>
        <v>#VALUE!</v>
      </c>
      <c r="I68" t="e" cm="1" vm="1">
        <f t="array" ref="I68">MEDIAN(_xlfn._xlws.FILTER(I5:I63, I5:I63&lt;&gt;0))</f>
        <v>#VALUE!</v>
      </c>
      <c r="J68" cm="1">
        <f t="array" ref="J68">MEDIAN(_xlfn._xlws.FILTER(J5:J63, J5:J63&lt;&gt;0))</f>
        <v>36.4</v>
      </c>
      <c r="K68" t="e" cm="1" vm="1">
        <f t="array" ref="K68">MEDIAN(_xlfn._xlws.FILTER(K5:K63, K5:K63&lt;&gt;0))</f>
        <v>#VALUE!</v>
      </c>
      <c r="L68" cm="1">
        <f t="array" ref="L68">MEDIAN(_xlfn._xlws.FILTER(L5:L63, L5:L63&lt;&gt;0))</f>
        <v>18.2</v>
      </c>
      <c r="M68" cm="1">
        <f t="array" ref="M68">MEDIAN(_xlfn._xlws.FILTER(M5:M63, M5:M63&lt;&gt;0))</f>
        <v>9.1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14.3375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zoomScaleNormal="100" workbookViewId="0">
      <selection activeCell="Q6" sqref="Q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spans="1:21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21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135</v>
      </c>
      <c r="L3" s="2" t="s">
        <v>136</v>
      </c>
      <c r="M3" s="2" t="s">
        <v>135</v>
      </c>
      <c r="N3" s="2"/>
      <c r="O3" s="1"/>
      <c r="P3" s="1"/>
      <c r="S3" s="2" t="s">
        <v>135</v>
      </c>
      <c r="T3" s="2" t="s">
        <v>136</v>
      </c>
    </row>
    <row r="4" spans="1:21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13" t="s">
        <v>12</v>
      </c>
      <c r="S4" s="3"/>
      <c r="T4" s="3"/>
      <c r="U4" s="3" t="s">
        <v>11</v>
      </c>
    </row>
    <row r="5" spans="1:21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B1" zoomScale="110" zoomScaleNormal="110" workbookViewId="0">
      <selection activeCell="H51" sqref="H51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3" t="s">
        <v>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</row>
    <row r="2" spans="1:22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1:22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136</v>
      </c>
      <c r="J3" s="2"/>
      <c r="K3" s="2"/>
      <c r="L3" s="2"/>
      <c r="M3" s="2"/>
      <c r="N3" s="2"/>
      <c r="O3" s="2"/>
      <c r="P3" s="1"/>
      <c r="Q3" s="1"/>
      <c r="T3" s="2" t="s">
        <v>135</v>
      </c>
      <c r="U3" s="2" t="s">
        <v>136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/>
      <c r="K4" s="3"/>
      <c r="L4" s="3"/>
      <c r="M4" s="3"/>
      <c r="N4" s="3"/>
      <c r="O4" s="3"/>
      <c r="P4" s="3" t="s">
        <v>11</v>
      </c>
      <c r="Q4" s="3" t="s">
        <v>12</v>
      </c>
      <c r="T4" s="3"/>
      <c r="U4" s="3"/>
      <c r="V4" s="3" t="s">
        <v>11</v>
      </c>
    </row>
    <row r="5" spans="1:22" x14ac:dyDescent="0.25">
      <c r="A5" s="5"/>
      <c r="B5" s="5" t="s">
        <v>15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workbookViewId="0">
      <selection activeCell="M61" sqref="M61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3" t="s">
        <v>134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spans="1:21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21" x14ac:dyDescent="0.25">
      <c r="A3" s="1"/>
      <c r="B3" s="12"/>
      <c r="C3" s="12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135</v>
      </c>
      <c r="J3" s="2" t="s">
        <v>135</v>
      </c>
      <c r="K3" s="2" t="s">
        <v>136</v>
      </c>
      <c r="L3" s="2" t="s">
        <v>172</v>
      </c>
      <c r="M3" s="2"/>
      <c r="N3" s="2"/>
      <c r="O3" s="1"/>
      <c r="P3" s="1"/>
      <c r="S3" s="2" t="s">
        <v>135</v>
      </c>
      <c r="T3" s="2" t="s">
        <v>136</v>
      </c>
    </row>
    <row r="4" spans="1:21" x14ac:dyDescent="0.25">
      <c r="A4" s="32" t="s">
        <v>138</v>
      </c>
      <c r="B4" s="33" t="s">
        <v>139</v>
      </c>
      <c r="C4" s="33" t="s">
        <v>3</v>
      </c>
      <c r="D4" s="34" t="s">
        <v>140</v>
      </c>
      <c r="E4" s="34" t="s">
        <v>141</v>
      </c>
      <c r="F4" s="34" t="s">
        <v>142</v>
      </c>
      <c r="G4" s="34" t="s">
        <v>143</v>
      </c>
      <c r="H4" s="34" t="s">
        <v>144</v>
      </c>
      <c r="I4" s="34" t="s">
        <v>145</v>
      </c>
      <c r="J4" s="34" t="s">
        <v>146</v>
      </c>
      <c r="K4" s="34" t="s">
        <v>147</v>
      </c>
      <c r="L4" s="34" t="s">
        <v>148</v>
      </c>
      <c r="M4" s="34" t="s">
        <v>149</v>
      </c>
      <c r="N4" s="34" t="s">
        <v>150</v>
      </c>
      <c r="O4" s="34" t="s">
        <v>11</v>
      </c>
      <c r="P4" s="7" t="s">
        <v>12</v>
      </c>
      <c r="S4" s="3"/>
      <c r="T4" s="3"/>
      <c r="U4" s="3" t="s">
        <v>11</v>
      </c>
    </row>
    <row r="5" spans="1:21" hidden="1" x14ac:dyDescent="0.25">
      <c r="A5" s="30"/>
      <c r="B5" s="8" t="s">
        <v>15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hidden="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hidden="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hidden="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hidden="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hidden="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4</v>
      </c>
      <c r="I10" s="10">
        <v>10</v>
      </c>
      <c r="J10" s="10">
        <v>15</v>
      </c>
      <c r="K10" s="10">
        <v>5</v>
      </c>
      <c r="L10" s="10">
        <v>25</v>
      </c>
      <c r="M10" s="10"/>
      <c r="N10" s="10"/>
      <c r="O10" s="14">
        <f t="shared" si="0"/>
        <v>78</v>
      </c>
      <c r="P10" s="1"/>
      <c r="S10" s="26">
        <f t="shared" si="1"/>
        <v>47</v>
      </c>
      <c r="T10" s="26">
        <f t="shared" si="2"/>
        <v>31</v>
      </c>
      <c r="U10" s="26">
        <f t="shared" si="3"/>
        <v>78</v>
      </c>
    </row>
    <row r="11" spans="1:21" hidden="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hidden="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hidden="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hidden="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hidden="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hidden="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hidden="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hidden="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hidden="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hidden="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hidden="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hidden="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hidden="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hidden="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hidden="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hidden="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hidden="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hidden="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hidden="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hidden="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hidden="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hidden="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hidden="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hidden="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>
        <v>3</v>
      </c>
      <c r="E35" s="10">
        <v>6</v>
      </c>
      <c r="F35" s="10">
        <v>5</v>
      </c>
      <c r="G35" s="10">
        <v>0</v>
      </c>
      <c r="H35" s="10">
        <v>4</v>
      </c>
      <c r="I35" s="10">
        <v>5</v>
      </c>
      <c r="J35" s="10">
        <v>13</v>
      </c>
      <c r="K35" s="10">
        <v>0</v>
      </c>
      <c r="L35" s="10">
        <v>2</v>
      </c>
      <c r="M35" s="10"/>
      <c r="N35" s="10"/>
      <c r="O35" s="14">
        <f t="shared" si="0"/>
        <v>38</v>
      </c>
      <c r="P35" s="9"/>
      <c r="S35" s="26">
        <f t="shared" si="1"/>
        <v>36.4</v>
      </c>
      <c r="T35" s="26">
        <f t="shared" si="2"/>
        <v>1.6</v>
      </c>
      <c r="U35" s="26">
        <f t="shared" si="3"/>
        <v>38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>
        <v>6</v>
      </c>
      <c r="E37" s="10">
        <v>4</v>
      </c>
      <c r="F37" s="10">
        <v>5</v>
      </c>
      <c r="G37" s="10">
        <v>0</v>
      </c>
      <c r="H37" s="10">
        <v>0</v>
      </c>
      <c r="I37" s="10">
        <v>13</v>
      </c>
      <c r="J37" s="10">
        <v>3</v>
      </c>
      <c r="K37" s="10">
        <v>0</v>
      </c>
      <c r="L37" s="10">
        <v>0</v>
      </c>
      <c r="M37" s="10"/>
      <c r="N37" s="10"/>
      <c r="O37" s="14">
        <f t="shared" si="0"/>
        <v>31</v>
      </c>
      <c r="P37" s="9"/>
      <c r="S37" s="26">
        <f t="shared" si="1"/>
        <v>31</v>
      </c>
      <c r="T37" s="26">
        <f t="shared" si="2"/>
        <v>0</v>
      </c>
      <c r="U37" s="26">
        <f t="shared" si="3"/>
        <v>31</v>
      </c>
    </row>
    <row r="38" spans="1:2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>
        <v>4</v>
      </c>
      <c r="E38" s="10">
        <v>6</v>
      </c>
      <c r="F38" s="10">
        <v>5</v>
      </c>
      <c r="G38" s="10">
        <v>2</v>
      </c>
      <c r="H38" s="10">
        <v>5</v>
      </c>
      <c r="I38" s="10">
        <v>15</v>
      </c>
      <c r="J38" s="10">
        <v>12</v>
      </c>
      <c r="K38" s="10">
        <v>2</v>
      </c>
      <c r="L38" s="10">
        <v>5</v>
      </c>
      <c r="M38" s="10"/>
      <c r="N38" s="10"/>
      <c r="O38" s="14">
        <f t="shared" si="0"/>
        <v>56</v>
      </c>
      <c r="P38" s="9"/>
      <c r="S38" s="26">
        <f t="shared" si="1"/>
        <v>48</v>
      </c>
      <c r="T38" s="26">
        <f t="shared" si="2"/>
        <v>8</v>
      </c>
      <c r="U38" s="26">
        <f t="shared" si="3"/>
        <v>56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>
        <v>0</v>
      </c>
      <c r="L42" s="10">
        <v>0</v>
      </c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>
        <v>6</v>
      </c>
      <c r="E43" s="10">
        <v>4</v>
      </c>
      <c r="F43" s="10">
        <v>0</v>
      </c>
      <c r="G43" s="10">
        <v>0</v>
      </c>
      <c r="H43" s="10">
        <v>0</v>
      </c>
      <c r="I43" s="10">
        <v>2</v>
      </c>
      <c r="J43" s="10">
        <v>0</v>
      </c>
      <c r="K43" s="10">
        <v>0</v>
      </c>
      <c r="L43" s="10">
        <v>0</v>
      </c>
      <c r="M43" s="10"/>
      <c r="N43" s="10"/>
      <c r="O43" s="14">
        <f t="shared" si="0"/>
        <v>12</v>
      </c>
      <c r="P43" s="9"/>
      <c r="S43" s="26">
        <f t="shared" si="1"/>
        <v>12</v>
      </c>
      <c r="T43" s="26">
        <f t="shared" si="2"/>
        <v>0</v>
      </c>
      <c r="U43" s="26">
        <f t="shared" si="3"/>
        <v>12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>
        <v>4</v>
      </c>
      <c r="E45" s="10">
        <v>3</v>
      </c>
      <c r="F45" s="10">
        <v>1</v>
      </c>
      <c r="G45" s="10">
        <v>0</v>
      </c>
      <c r="H45" s="10">
        <v>1</v>
      </c>
      <c r="I45" s="10">
        <v>2</v>
      </c>
      <c r="J45" s="10">
        <v>0</v>
      </c>
      <c r="K45" s="10">
        <v>0</v>
      </c>
      <c r="L45" s="10">
        <v>0</v>
      </c>
      <c r="M45" s="10"/>
      <c r="N45" s="10"/>
      <c r="O45" s="14">
        <f t="shared" si="0"/>
        <v>11</v>
      </c>
      <c r="P45" s="9"/>
      <c r="S45" s="26">
        <f t="shared" si="1"/>
        <v>11</v>
      </c>
      <c r="T45" s="26">
        <f t="shared" si="2"/>
        <v>0</v>
      </c>
      <c r="U45" s="26">
        <f t="shared" si="3"/>
        <v>11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>
        <v>4</v>
      </c>
      <c r="E47" s="10">
        <v>2</v>
      </c>
      <c r="F47" s="10">
        <v>0</v>
      </c>
      <c r="G47" s="10">
        <v>2</v>
      </c>
      <c r="H47" s="10">
        <v>1</v>
      </c>
      <c r="I47" s="10">
        <v>0</v>
      </c>
      <c r="J47" s="10">
        <v>1</v>
      </c>
      <c r="K47" s="10">
        <v>0</v>
      </c>
      <c r="L47" s="10">
        <v>0</v>
      </c>
      <c r="M47" s="10"/>
      <c r="N47" s="10"/>
      <c r="O47" s="14">
        <f t="shared" si="0"/>
        <v>10</v>
      </c>
      <c r="P47" s="9"/>
      <c r="S47" s="26">
        <f t="shared" si="1"/>
        <v>8</v>
      </c>
      <c r="T47" s="26">
        <f t="shared" si="2"/>
        <v>2</v>
      </c>
      <c r="U47" s="26">
        <f t="shared" si="3"/>
        <v>10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>
        <v>4</v>
      </c>
      <c r="E51" s="10">
        <v>4</v>
      </c>
      <c r="F51" s="10">
        <v>6</v>
      </c>
      <c r="G51" s="10">
        <v>4</v>
      </c>
      <c r="H51" s="10">
        <v>2</v>
      </c>
      <c r="I51" s="10">
        <v>12</v>
      </c>
      <c r="J51" s="10">
        <v>12</v>
      </c>
      <c r="K51" s="10">
        <v>0</v>
      </c>
      <c r="L51" s="10">
        <v>2</v>
      </c>
      <c r="M51" s="10"/>
      <c r="N51" s="10"/>
      <c r="O51" s="14">
        <f t="shared" si="0"/>
        <v>46</v>
      </c>
      <c r="P51" s="9"/>
      <c r="S51" s="26">
        <f t="shared" si="1"/>
        <v>40.4</v>
      </c>
      <c r="T51" s="26">
        <f t="shared" si="2"/>
        <v>5.6</v>
      </c>
      <c r="U51" s="26">
        <f t="shared" si="3"/>
        <v>46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/>
      <c r="N52" s="10"/>
      <c r="O52" s="14">
        <f t="shared" si="0"/>
        <v>1</v>
      </c>
      <c r="P52" s="9"/>
      <c r="S52" s="26">
        <f t="shared" si="1"/>
        <v>1</v>
      </c>
      <c r="T52" s="26">
        <f t="shared" si="2"/>
        <v>0</v>
      </c>
      <c r="U52" s="26">
        <f t="shared" si="3"/>
        <v>1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/>
      <c r="N53" s="10"/>
      <c r="O53" s="14">
        <f t="shared" si="0"/>
        <v>1</v>
      </c>
      <c r="P53" s="9"/>
      <c r="S53" s="26">
        <f t="shared" si="1"/>
        <v>1</v>
      </c>
      <c r="T53" s="26">
        <f t="shared" si="2"/>
        <v>0</v>
      </c>
      <c r="U53" s="26">
        <f t="shared" si="3"/>
        <v>1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>
        <v>6</v>
      </c>
      <c r="E54" s="10">
        <v>5</v>
      </c>
      <c r="F54" s="10">
        <v>0</v>
      </c>
      <c r="G54" s="10">
        <v>0</v>
      </c>
      <c r="H54" s="10">
        <v>0</v>
      </c>
      <c r="I54" s="10">
        <v>6</v>
      </c>
      <c r="J54" s="10">
        <v>0</v>
      </c>
      <c r="K54" s="10">
        <v>0</v>
      </c>
      <c r="L54" s="10">
        <v>0</v>
      </c>
      <c r="M54" s="10"/>
      <c r="N54" s="10"/>
      <c r="O54" s="14">
        <f t="shared" si="0"/>
        <v>17</v>
      </c>
      <c r="P54" s="9"/>
      <c r="S54" s="26">
        <f t="shared" si="1"/>
        <v>17</v>
      </c>
      <c r="T54" s="26">
        <f t="shared" si="2"/>
        <v>0</v>
      </c>
      <c r="U54" s="26">
        <f t="shared" si="3"/>
        <v>17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>
        <v>2</v>
      </c>
      <c r="E55" s="10">
        <v>2</v>
      </c>
      <c r="F55" s="10">
        <v>4</v>
      </c>
      <c r="G55" s="10">
        <v>0</v>
      </c>
      <c r="H55" s="10">
        <v>2</v>
      </c>
      <c r="I55" s="10">
        <v>2</v>
      </c>
      <c r="J55" s="10">
        <v>4</v>
      </c>
      <c r="K55" s="10">
        <v>0</v>
      </c>
      <c r="L55" s="10">
        <v>1</v>
      </c>
      <c r="M55" s="10"/>
      <c r="N55" s="10"/>
      <c r="O55" s="14">
        <f t="shared" si="0"/>
        <v>17</v>
      </c>
      <c r="P55" s="9"/>
      <c r="S55" s="26">
        <f t="shared" si="1"/>
        <v>16.2</v>
      </c>
      <c r="T55" s="26">
        <f t="shared" si="2"/>
        <v>0.8</v>
      </c>
      <c r="U55" s="26">
        <f t="shared" si="3"/>
        <v>17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>
        <v>4</v>
      </c>
      <c r="E57" s="10">
        <v>1</v>
      </c>
      <c r="F57" s="10">
        <v>4</v>
      </c>
      <c r="G57" s="10">
        <v>0</v>
      </c>
      <c r="H57" s="10">
        <v>0</v>
      </c>
      <c r="I57" s="10">
        <v>3</v>
      </c>
      <c r="J57" s="10">
        <v>0</v>
      </c>
      <c r="K57" s="10">
        <v>0</v>
      </c>
      <c r="L57" s="10">
        <v>10</v>
      </c>
      <c r="M57" s="10"/>
      <c r="N57" s="10"/>
      <c r="O57" s="14">
        <f t="shared" si="0"/>
        <v>22</v>
      </c>
      <c r="P57" s="9"/>
      <c r="S57" s="26">
        <f t="shared" si="1"/>
        <v>14</v>
      </c>
      <c r="T57" s="26">
        <f t="shared" si="2"/>
        <v>8</v>
      </c>
      <c r="U57" s="26">
        <f t="shared" si="3"/>
        <v>22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>
        <v>4</v>
      </c>
      <c r="E58" s="10">
        <v>0</v>
      </c>
      <c r="F58" s="10">
        <v>0</v>
      </c>
      <c r="G58" s="10">
        <v>0</v>
      </c>
      <c r="H58" s="10">
        <v>0</v>
      </c>
      <c r="I58" s="10">
        <v>5</v>
      </c>
      <c r="J58" s="10">
        <v>0</v>
      </c>
      <c r="K58" s="10">
        <v>0</v>
      </c>
      <c r="L58" s="10">
        <v>0</v>
      </c>
      <c r="M58" s="10"/>
      <c r="N58" s="10"/>
      <c r="O58" s="14">
        <f t="shared" si="0"/>
        <v>9</v>
      </c>
      <c r="P58" s="9"/>
      <c r="S58" s="26">
        <f t="shared" si="1"/>
        <v>9</v>
      </c>
      <c r="T58" s="26">
        <f t="shared" si="2"/>
        <v>0</v>
      </c>
      <c r="U58" s="26">
        <f t="shared" si="3"/>
        <v>9</v>
      </c>
    </row>
    <row r="59" spans="1:2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>
        <v>6</v>
      </c>
      <c r="E59" s="10">
        <v>6</v>
      </c>
      <c r="F59" s="10">
        <v>5</v>
      </c>
      <c r="G59" s="10">
        <v>4</v>
      </c>
      <c r="H59" s="10">
        <v>6</v>
      </c>
      <c r="I59" s="10">
        <v>15</v>
      </c>
      <c r="J59" s="10">
        <v>15</v>
      </c>
      <c r="K59" s="10">
        <v>10</v>
      </c>
      <c r="L59" s="10">
        <v>15</v>
      </c>
      <c r="M59" s="10"/>
      <c r="N59" s="10"/>
      <c r="O59" s="14">
        <f t="shared" si="0"/>
        <v>82</v>
      </c>
      <c r="P59" s="9"/>
      <c r="S59" s="26">
        <f t="shared" si="1"/>
        <v>56</v>
      </c>
      <c r="T59" s="26">
        <f t="shared" si="2"/>
        <v>26</v>
      </c>
      <c r="U59" s="26">
        <f t="shared" si="3"/>
        <v>82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>
        <v>4</v>
      </c>
      <c r="E60" s="10">
        <v>0</v>
      </c>
      <c r="F60" s="10">
        <v>0</v>
      </c>
      <c r="G60" s="10">
        <v>0</v>
      </c>
      <c r="H60" s="10">
        <v>2</v>
      </c>
      <c r="I60" s="10">
        <v>7</v>
      </c>
      <c r="J60" s="10">
        <v>3</v>
      </c>
      <c r="K60" s="10">
        <v>0</v>
      </c>
      <c r="L60" s="10">
        <v>15</v>
      </c>
      <c r="M60" s="10"/>
      <c r="N60" s="10"/>
      <c r="O60" s="14">
        <f t="shared" si="0"/>
        <v>31</v>
      </c>
      <c r="P60" s="9"/>
      <c r="S60" s="26">
        <f t="shared" si="1"/>
        <v>19</v>
      </c>
      <c r="T60" s="26">
        <f t="shared" si="2"/>
        <v>12</v>
      </c>
      <c r="U60" s="26">
        <f t="shared" si="3"/>
        <v>31</v>
      </c>
    </row>
    <row r="61" spans="1:2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>
        <v>6</v>
      </c>
      <c r="E61" s="10">
        <v>5.5</v>
      </c>
      <c r="F61" s="10">
        <v>6</v>
      </c>
      <c r="G61" s="10">
        <v>5.5</v>
      </c>
      <c r="H61" s="10">
        <v>3</v>
      </c>
      <c r="I61" s="10">
        <v>15</v>
      </c>
      <c r="J61" s="10">
        <v>15</v>
      </c>
      <c r="K61" s="10">
        <v>3</v>
      </c>
      <c r="L61" s="10">
        <v>9</v>
      </c>
      <c r="M61" s="10"/>
      <c r="N61" s="10"/>
      <c r="O61" s="14">
        <f t="shared" si="0"/>
        <v>68</v>
      </c>
      <c r="P61" s="9"/>
      <c r="S61" s="26">
        <f t="shared" si="1"/>
        <v>52.3</v>
      </c>
      <c r="T61" s="26">
        <f t="shared" si="2"/>
        <v>15.7</v>
      </c>
      <c r="U61" s="26">
        <f t="shared" si="3"/>
        <v>68</v>
      </c>
    </row>
    <row r="62" spans="1:2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>
        <v>6</v>
      </c>
      <c r="E62" s="10">
        <v>6</v>
      </c>
      <c r="F62" s="10">
        <v>6</v>
      </c>
      <c r="G62" s="10">
        <v>4</v>
      </c>
      <c r="H62" s="10">
        <v>4</v>
      </c>
      <c r="I62" s="10">
        <v>14</v>
      </c>
      <c r="J62" s="10">
        <v>5</v>
      </c>
      <c r="K62" s="10">
        <v>5</v>
      </c>
      <c r="L62" s="10">
        <v>10</v>
      </c>
      <c r="M62" s="10"/>
      <c r="N62" s="10"/>
      <c r="O62" s="14">
        <f t="shared" si="0"/>
        <v>60</v>
      </c>
      <c r="P62" s="9"/>
      <c r="S62" s="26">
        <f t="shared" si="1"/>
        <v>43</v>
      </c>
      <c r="T62" s="26">
        <f t="shared" si="2"/>
        <v>17</v>
      </c>
      <c r="U62" s="26">
        <f t="shared" si="3"/>
        <v>60</v>
      </c>
    </row>
    <row r="63" spans="1:2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>
        <v>4</v>
      </c>
      <c r="E63" s="10">
        <v>6</v>
      </c>
      <c r="F63" s="10">
        <v>6</v>
      </c>
      <c r="G63" s="10">
        <v>2</v>
      </c>
      <c r="H63" s="10">
        <v>5</v>
      </c>
      <c r="I63" s="10">
        <v>10</v>
      </c>
      <c r="J63" s="10">
        <v>15</v>
      </c>
      <c r="K63" s="10">
        <v>5</v>
      </c>
      <c r="L63" s="10">
        <v>10</v>
      </c>
      <c r="M63" s="10"/>
      <c r="N63" s="10"/>
      <c r="O63" s="14">
        <f t="shared" si="0"/>
        <v>63</v>
      </c>
      <c r="P63" s="9"/>
      <c r="S63" s="26">
        <f t="shared" si="1"/>
        <v>48</v>
      </c>
      <c r="T63" s="26">
        <f t="shared" si="2"/>
        <v>15</v>
      </c>
      <c r="U63" s="26">
        <f t="shared" si="3"/>
        <v>63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>
        <v>1</v>
      </c>
      <c r="E64" s="10">
        <v>2</v>
      </c>
      <c r="F64" s="10">
        <v>3</v>
      </c>
      <c r="G64" s="10">
        <v>0</v>
      </c>
      <c r="H64" s="10">
        <v>0</v>
      </c>
      <c r="I64" s="10">
        <v>2</v>
      </c>
      <c r="J64" s="10">
        <v>0</v>
      </c>
      <c r="K64" s="10">
        <v>0</v>
      </c>
      <c r="L64" s="10">
        <v>5</v>
      </c>
      <c r="M64" s="10"/>
      <c r="N64" s="10"/>
      <c r="O64" s="14">
        <f t="shared" si="0"/>
        <v>13</v>
      </c>
      <c r="P64" s="9"/>
      <c r="S64" s="26">
        <f t="shared" si="1"/>
        <v>9</v>
      </c>
      <c r="T64" s="26">
        <f t="shared" si="2"/>
        <v>4</v>
      </c>
      <c r="U64" s="26">
        <f t="shared" si="3"/>
        <v>13</v>
      </c>
    </row>
    <row r="65" spans="1:21" hidden="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3" t="s">
        <v>151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x14ac:dyDescent="0.25">
      <c r="A3" s="16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17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18"/>
      <c r="B5" s="5" t="s">
        <v>15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O65"/>
  <sheetViews>
    <sheetView workbookViewId="0">
      <selection activeCell="A2" sqref="A2:O2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3" t="s">
        <v>163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5"/>
      <c r="B5" s="5" t="s">
        <v>15</v>
      </c>
      <c r="C5" s="5">
        <v>5</v>
      </c>
      <c r="D5" s="5">
        <v>5</v>
      </c>
      <c r="E5" s="5">
        <v>5</v>
      </c>
      <c r="F5" s="5">
        <v>5</v>
      </c>
      <c r="G5" s="5">
        <v>15</v>
      </c>
      <c r="H5" s="5">
        <v>15</v>
      </c>
      <c r="I5" s="5"/>
      <c r="J5" s="5"/>
      <c r="K5" s="5"/>
      <c r="L5" s="5"/>
      <c r="M5" s="5"/>
      <c r="N5" s="5">
        <v>10</v>
      </c>
      <c r="O5" s="5"/>
    </row>
    <row r="6" spans="1:15" x14ac:dyDescent="0.25">
      <c r="A6" s="4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4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4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4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4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4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4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4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4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4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4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4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4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4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4">
        <f>'Mid Sem'!B22</f>
        <v>590029079</v>
      </c>
      <c r="B22" s="4" t="str">
        <f>'Mid Sem'!A22</f>
        <v>Radhe Patel</v>
      </c>
    </row>
    <row r="23" spans="1:15" x14ac:dyDescent="0.25">
      <c r="A23" s="4">
        <f>'Mid Sem'!B23</f>
        <v>590029145</v>
      </c>
      <c r="B23" s="4" t="str">
        <f>'Mid Sem'!A23</f>
        <v>Rishika Purushotham</v>
      </c>
    </row>
    <row r="24" spans="1:15" x14ac:dyDescent="0.25">
      <c r="A24" s="4">
        <f>'Mid Sem'!B24</f>
        <v>590029209</v>
      </c>
      <c r="B24" s="4" t="str">
        <f>'Mid Sem'!A24</f>
        <v>Rishiv Kumar</v>
      </c>
    </row>
    <row r="25" spans="1:15" x14ac:dyDescent="0.25">
      <c r="A25" s="4">
        <f>'Mid Sem'!B25</f>
        <v>590027268</v>
      </c>
      <c r="B25" s="4" t="str">
        <f>'Mid Sem'!A25</f>
        <v>Sankalp Sunil Ronge</v>
      </c>
    </row>
    <row r="26" spans="1:15" x14ac:dyDescent="0.25">
      <c r="A26" s="4">
        <f>'Mid Sem'!B26</f>
        <v>590029227</v>
      </c>
      <c r="B26" s="4" t="str">
        <f>'Mid Sem'!A26</f>
        <v>Sartaj Singh</v>
      </c>
    </row>
    <row r="27" spans="1:15" x14ac:dyDescent="0.25">
      <c r="A27" s="4">
        <f>'Mid Sem'!B27</f>
        <v>590029241</v>
      </c>
      <c r="B27" s="4" t="str">
        <f>'Mid Sem'!A27</f>
        <v>Satakshi Gupta</v>
      </c>
    </row>
    <row r="28" spans="1:15" x14ac:dyDescent="0.25">
      <c r="A28" s="4">
        <f>'Mid Sem'!B28</f>
        <v>590023855</v>
      </c>
      <c r="B28" s="4" t="str">
        <f>'Mid Sem'!A28</f>
        <v>Shaswat Shantanu</v>
      </c>
    </row>
    <row r="29" spans="1:15" x14ac:dyDescent="0.25">
      <c r="A29" s="4">
        <f>'Mid Sem'!B29</f>
        <v>590029215</v>
      </c>
      <c r="B29" s="4" t="str">
        <f>'Mid Sem'!A29</f>
        <v>Siddhant Rai</v>
      </c>
    </row>
    <row r="30" spans="1:15" x14ac:dyDescent="0.25">
      <c r="A30" s="4">
        <f>'Mid Sem'!B30</f>
        <v>590029111</v>
      </c>
      <c r="B30" s="4" t="str">
        <f>'Mid Sem'!A30</f>
        <v>Sidhaant Singh Jyrwa</v>
      </c>
    </row>
    <row r="31" spans="1:15" x14ac:dyDescent="0.25">
      <c r="A31" s="4">
        <f>'Mid Sem'!B31</f>
        <v>590028683</v>
      </c>
      <c r="B31" s="4" t="str">
        <f>'Mid Sem'!A31</f>
        <v>Subrat Singh Jadaun</v>
      </c>
    </row>
    <row r="32" spans="1:15" x14ac:dyDescent="0.25">
      <c r="A32" s="4">
        <f>'Mid Sem'!B32</f>
        <v>590029121</v>
      </c>
      <c r="B32" s="4" t="str">
        <f>'Mid Sem'!A32</f>
        <v>Tushita Sharma</v>
      </c>
    </row>
    <row r="33" spans="1:2" x14ac:dyDescent="0.25">
      <c r="A33" s="4">
        <f>'Mid Sem'!B33</f>
        <v>590029048</v>
      </c>
      <c r="B33" s="4" t="str">
        <f>'Mid Sem'!A33</f>
        <v>Vaishnavi Kumari</v>
      </c>
    </row>
    <row r="34" spans="1:2" x14ac:dyDescent="0.25">
      <c r="A34" s="4">
        <f>'Mid Sem'!B34</f>
        <v>590029184</v>
      </c>
      <c r="B34" s="4" t="str">
        <f>'Mid Sem'!A34</f>
        <v>Vivek Chauhan</v>
      </c>
    </row>
    <row r="35" spans="1:2" x14ac:dyDescent="0.25">
      <c r="A35" s="4">
        <f>'Mid Sem'!B35</f>
        <v>590029330</v>
      </c>
      <c r="B35" s="4" t="str">
        <f>'Mid Sem'!A35</f>
        <v>Aadarshi Bisht</v>
      </c>
    </row>
    <row r="36" spans="1:2" x14ac:dyDescent="0.25">
      <c r="A36" s="4">
        <f>'Mid Sem'!B36</f>
        <v>590027630</v>
      </c>
      <c r="B36" s="4" t="str">
        <f>'Mid Sem'!A36</f>
        <v>Aarush Prasad</v>
      </c>
    </row>
    <row r="37" spans="1:2" x14ac:dyDescent="0.25">
      <c r="A37" s="4">
        <f>'Mid Sem'!B37</f>
        <v>590029219</v>
      </c>
      <c r="B37" s="4" t="str">
        <f>'Mid Sem'!A37</f>
        <v>Aditya Mishra</v>
      </c>
    </row>
    <row r="38" spans="1:2" x14ac:dyDescent="0.25">
      <c r="A38" s="4">
        <f>'Mid Sem'!B38</f>
        <v>590028933</v>
      </c>
      <c r="B38" s="4" t="str">
        <f>'Mid Sem'!A38</f>
        <v>Aman Barnwal</v>
      </c>
    </row>
    <row r="39" spans="1:2" x14ac:dyDescent="0.25">
      <c r="A39" s="4">
        <f>'Mid Sem'!B39</f>
        <v>590027859</v>
      </c>
      <c r="B39" s="4" t="str">
        <f>'Mid Sem'!A39</f>
        <v>Ashutosh Shrivastava</v>
      </c>
    </row>
    <row r="40" spans="1:2" x14ac:dyDescent="0.25">
      <c r="A40" s="4">
        <f>'Mid Sem'!B40</f>
        <v>590028682</v>
      </c>
      <c r="B40" s="4" t="str">
        <f>'Mid Sem'!A40</f>
        <v>Ayan Pande</v>
      </c>
    </row>
    <row r="41" spans="1:2" x14ac:dyDescent="0.25">
      <c r="A41" s="4">
        <f>'Mid Sem'!B41</f>
        <v>590023917</v>
      </c>
      <c r="B41" s="4" t="str">
        <f>'Mid Sem'!A41</f>
        <v>Ayush Pratap Singh</v>
      </c>
    </row>
    <row r="42" spans="1:2" x14ac:dyDescent="0.25">
      <c r="A42" s="4">
        <f>'Mid Sem'!B42</f>
        <v>590023785</v>
      </c>
      <c r="B42" s="4" t="str">
        <f>'Mid Sem'!A42</f>
        <v>Gayatri Bhatt</v>
      </c>
    </row>
    <row r="43" spans="1:2" x14ac:dyDescent="0.25">
      <c r="A43" s="4">
        <f>'Mid Sem'!B43</f>
        <v>590029264</v>
      </c>
      <c r="B43" s="4" t="str">
        <f>'Mid Sem'!A43</f>
        <v>Harsh Mudgal</v>
      </c>
    </row>
    <row r="44" spans="1:2" x14ac:dyDescent="0.25">
      <c r="A44" s="4">
        <f>'Mid Sem'!B44</f>
        <v>590029042</v>
      </c>
      <c r="B44" s="4" t="str">
        <f>'Mid Sem'!A44</f>
        <v>Kanan Nidhania</v>
      </c>
    </row>
    <row r="45" spans="1:2" x14ac:dyDescent="0.25">
      <c r="A45" s="4">
        <f>'Mid Sem'!B45</f>
        <v>590029336</v>
      </c>
      <c r="B45" s="4" t="str">
        <f>'Mid Sem'!A45</f>
        <v>Kanishka Diwakar</v>
      </c>
    </row>
    <row r="46" spans="1:2" x14ac:dyDescent="0.25">
      <c r="A46" s="4">
        <f>'Mid Sem'!B46</f>
        <v>590029233</v>
      </c>
      <c r="B46" s="4" t="str">
        <f>'Mid Sem'!A46</f>
        <v>Keshav Chahda</v>
      </c>
    </row>
    <row r="47" spans="1:2" x14ac:dyDescent="0.25">
      <c r="A47" s="4">
        <f>'Mid Sem'!B47</f>
        <v>590029328</v>
      </c>
      <c r="B47" s="4" t="str">
        <f>'Mid Sem'!A47</f>
        <v>Lakshay Dhanda</v>
      </c>
    </row>
    <row r="48" spans="1:2" x14ac:dyDescent="0.25">
      <c r="A48" s="4">
        <f>'Mid Sem'!B48</f>
        <v>590028608</v>
      </c>
      <c r="B48" s="4" t="str">
        <f>'Mid Sem'!A48</f>
        <v>Lakshya Singh</v>
      </c>
    </row>
    <row r="49" spans="1:2" x14ac:dyDescent="0.25">
      <c r="A49" s="4">
        <f>'Mid Sem'!B49</f>
        <v>590028605</v>
      </c>
      <c r="B49" s="4" t="str">
        <f>'Mid Sem'!A49</f>
        <v>Mayank Chand Ramola</v>
      </c>
    </row>
    <row r="50" spans="1:2" x14ac:dyDescent="0.25">
      <c r="A50" s="4">
        <f>'Mid Sem'!B50</f>
        <v>590026626</v>
      </c>
      <c r="B50" s="4" t="str">
        <f>'Mid Sem'!A50</f>
        <v>Mukesh Patel</v>
      </c>
    </row>
    <row r="51" spans="1:2" x14ac:dyDescent="0.25">
      <c r="A51" s="4">
        <f>'Mid Sem'!B51</f>
        <v>590029310</v>
      </c>
      <c r="B51" s="4" t="str">
        <f>'Mid Sem'!A51</f>
        <v>Nipun Singh</v>
      </c>
    </row>
    <row r="52" spans="1:2" x14ac:dyDescent="0.25">
      <c r="A52" s="4">
        <f>'Mid Sem'!B52</f>
        <v>590029319</v>
      </c>
      <c r="B52" s="4" t="str">
        <f>'Mid Sem'!A52</f>
        <v>Paras Bhall</v>
      </c>
    </row>
    <row r="53" spans="1:2" x14ac:dyDescent="0.25">
      <c r="A53" s="4">
        <f>'Mid Sem'!B53</f>
        <v>590029339</v>
      </c>
      <c r="B53" s="4" t="str">
        <f>'Mid Sem'!A53</f>
        <v>Raghav Kumar Goyal</v>
      </c>
    </row>
    <row r="54" spans="1:2" x14ac:dyDescent="0.25">
      <c r="A54" s="4">
        <f>'Mid Sem'!B54</f>
        <v>590029148</v>
      </c>
      <c r="B54" s="4" t="str">
        <f>'Mid Sem'!A54</f>
        <v>Rahul</v>
      </c>
    </row>
    <row r="55" spans="1:2" x14ac:dyDescent="0.25">
      <c r="A55" s="4">
        <f>'Mid Sem'!B55</f>
        <v>590029309</v>
      </c>
      <c r="B55" s="4" t="str">
        <f>'Mid Sem'!A55</f>
        <v>Rahul Singh</v>
      </c>
    </row>
    <row r="56" spans="1:2" x14ac:dyDescent="0.25">
      <c r="A56" s="4">
        <f>'Mid Sem'!B56</f>
        <v>590028838</v>
      </c>
      <c r="B56" s="4" t="str">
        <f>'Mid Sem'!A56</f>
        <v>Satyam Singh</v>
      </c>
    </row>
    <row r="57" spans="1:2" x14ac:dyDescent="0.25">
      <c r="A57" s="4">
        <f>'Mid Sem'!B57</f>
        <v>590029107</v>
      </c>
      <c r="B57" s="4" t="str">
        <f>'Mid Sem'!A57</f>
        <v>Shashwat Agrawal</v>
      </c>
    </row>
    <row r="58" spans="1:2" x14ac:dyDescent="0.25">
      <c r="A58" s="4">
        <f>'Mid Sem'!B58</f>
        <v>590029266</v>
      </c>
      <c r="B58" s="4" t="str">
        <f>'Mid Sem'!A58</f>
        <v>Siddhant Gurung</v>
      </c>
    </row>
    <row r="59" spans="1:2" x14ac:dyDescent="0.25">
      <c r="A59" s="4">
        <f>'Mid Sem'!B59</f>
        <v>590029354</v>
      </c>
      <c r="B59" s="4" t="str">
        <f>'Mid Sem'!A59</f>
        <v>Simarjot Kaur Gill</v>
      </c>
    </row>
    <row r="60" spans="1:2" x14ac:dyDescent="0.25">
      <c r="A60" s="4">
        <f>'Mid Sem'!B60</f>
        <v>590029349</v>
      </c>
      <c r="B60" s="4" t="str">
        <f>'Mid Sem'!A60</f>
        <v>Tanishq Bansal</v>
      </c>
    </row>
    <row r="61" spans="1:2" x14ac:dyDescent="0.25">
      <c r="A61" s="4">
        <f>'Mid Sem'!B61</f>
        <v>590029302</v>
      </c>
      <c r="B61" s="4" t="str">
        <f>'Mid Sem'!A61</f>
        <v>Tanmay Amit Verma</v>
      </c>
    </row>
    <row r="62" spans="1:2" x14ac:dyDescent="0.25">
      <c r="A62" s="4">
        <f>'Mid Sem'!B62</f>
        <v>590029262</v>
      </c>
      <c r="B62" s="4" t="str">
        <f>'Mid Sem'!A62</f>
        <v>Vandana Yadav</v>
      </c>
    </row>
    <row r="63" spans="1:2" x14ac:dyDescent="0.25">
      <c r="A63" s="4">
        <f>'Mid Sem'!B63</f>
        <v>590029285</v>
      </c>
      <c r="B63" s="4" t="str">
        <f>'Mid Sem'!A63</f>
        <v>Vidit Ahuja</v>
      </c>
    </row>
    <row r="64" spans="1:2" x14ac:dyDescent="0.25">
      <c r="A64" s="4">
        <f>'Mid Sem'!B64</f>
        <v>590029353</v>
      </c>
      <c r="B64" s="4" t="str">
        <f>'Mid Sem'!A64</f>
        <v>Vinit Kumar</v>
      </c>
    </row>
    <row r="65" spans="1:2" x14ac:dyDescent="0.25">
      <c r="A65" s="4">
        <f>'Mid Sem'!B65</f>
        <v>0</v>
      </c>
      <c r="B65" s="4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T65"/>
  <sheetViews>
    <sheetView topLeftCell="A2" workbookViewId="0">
      <selection activeCell="N61" sqref="N61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0" ht="24.75" x14ac:dyDescent="0.4">
      <c r="A1" s="43" t="s">
        <v>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20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20" x14ac:dyDescent="0.25">
      <c r="A3" s="1"/>
      <c r="B3" s="1"/>
      <c r="C3" s="2" t="s">
        <v>135</v>
      </c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136</v>
      </c>
      <c r="L3" s="2" t="s">
        <v>136</v>
      </c>
      <c r="M3" s="2"/>
      <c r="N3" s="1"/>
      <c r="O3" s="1"/>
      <c r="R3" s="2" t="s">
        <v>135</v>
      </c>
      <c r="S3" s="2" t="s">
        <v>136</v>
      </c>
    </row>
    <row r="4" spans="1:20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/>
      <c r="N4" s="3" t="s">
        <v>11</v>
      </c>
      <c r="O4" s="3" t="s">
        <v>12</v>
      </c>
      <c r="R4" s="3"/>
      <c r="S4" s="3"/>
      <c r="T4" s="3" t="s">
        <v>11</v>
      </c>
    </row>
    <row r="5" spans="1:20" x14ac:dyDescent="0.25">
      <c r="A5" s="5"/>
      <c r="B5" s="5" t="s">
        <v>15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0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</row>
    <row r="7" spans="1:20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</row>
    <row r="8" spans="1:20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</row>
    <row r="9" spans="1:20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</row>
    <row r="10" spans="1:20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</row>
    <row r="11" spans="1:20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</row>
    <row r="12" spans="1:20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</row>
    <row r="13" spans="1:20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</row>
    <row r="14" spans="1:20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</row>
    <row r="15" spans="1:20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4">SUM(C15:G15)</f>
        <v>0</v>
      </c>
      <c r="S15" s="5">
        <f t="shared" ref="S15:S64" si="5">SUM(H15:L15)</f>
        <v>0</v>
      </c>
      <c r="T15" s="5">
        <f t="shared" ref="T15:T64" si="6">SUM(R15:S15)</f>
        <v>0</v>
      </c>
    </row>
    <row r="16" spans="1:20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4"/>
        <v>84</v>
      </c>
      <c r="S16" s="5">
        <f t="shared" si="5"/>
        <v>53</v>
      </c>
      <c r="T16" s="5">
        <f t="shared" si="6"/>
        <v>137</v>
      </c>
    </row>
    <row r="17" spans="1:20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16</v>
      </c>
      <c r="G17" s="1">
        <v>13</v>
      </c>
      <c r="H17" s="1">
        <v>10</v>
      </c>
      <c r="I17" s="1">
        <v>10</v>
      </c>
      <c r="J17" s="1">
        <v>5</v>
      </c>
      <c r="K17" s="1">
        <v>4</v>
      </c>
      <c r="L17" s="1">
        <v>4</v>
      </c>
      <c r="M17" s="1"/>
      <c r="N17" s="5">
        <f t="shared" si="0"/>
        <v>119</v>
      </c>
      <c r="O17" s="1"/>
      <c r="R17" s="5">
        <f t="shared" si="4"/>
        <v>86</v>
      </c>
      <c r="S17" s="5">
        <f t="shared" si="5"/>
        <v>33</v>
      </c>
      <c r="T17" s="5">
        <f t="shared" si="6"/>
        <v>119</v>
      </c>
    </row>
    <row r="18" spans="1:20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4"/>
        <v>88</v>
      </c>
      <c r="S18" s="5">
        <f t="shared" si="5"/>
        <v>52</v>
      </c>
      <c r="T18" s="5">
        <f t="shared" si="6"/>
        <v>140</v>
      </c>
    </row>
    <row r="19" spans="1:20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4"/>
        <v>93</v>
      </c>
      <c r="S19" s="5">
        <f t="shared" si="5"/>
        <v>54</v>
      </c>
      <c r="T19" s="5">
        <f t="shared" si="6"/>
        <v>147</v>
      </c>
    </row>
    <row r="20" spans="1:20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4"/>
        <v>86</v>
      </c>
      <c r="S20" s="5">
        <f t="shared" si="5"/>
        <v>49</v>
      </c>
      <c r="T20" s="5">
        <f t="shared" si="6"/>
        <v>135</v>
      </c>
    </row>
    <row r="21" spans="1:20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4"/>
        <v>91</v>
      </c>
      <c r="S21" s="5">
        <f t="shared" si="5"/>
        <v>52</v>
      </c>
      <c r="T21" s="5">
        <f t="shared" si="6"/>
        <v>143</v>
      </c>
    </row>
    <row r="22" spans="1:20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4"/>
        <v>0</v>
      </c>
      <c r="S22" s="5">
        <f t="shared" si="5"/>
        <v>0</v>
      </c>
      <c r="T22" s="5">
        <f t="shared" si="6"/>
        <v>0</v>
      </c>
    </row>
    <row r="23" spans="1:20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4"/>
        <v>86</v>
      </c>
      <c r="S23" s="5">
        <f t="shared" si="5"/>
        <v>50</v>
      </c>
      <c r="T23" s="5">
        <f t="shared" si="6"/>
        <v>136</v>
      </c>
    </row>
    <row r="24" spans="1:20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4"/>
        <v>0</v>
      </c>
      <c r="S24" s="5">
        <f t="shared" si="5"/>
        <v>0</v>
      </c>
      <c r="T24" s="5">
        <f t="shared" si="6"/>
        <v>0</v>
      </c>
    </row>
    <row r="25" spans="1:20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4"/>
        <v>0</v>
      </c>
      <c r="S25" s="5">
        <f t="shared" si="5"/>
        <v>0</v>
      </c>
      <c r="T25" s="5">
        <f t="shared" si="6"/>
        <v>0</v>
      </c>
    </row>
    <row r="26" spans="1:20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4"/>
        <v>93</v>
      </c>
      <c r="S26" s="5">
        <f t="shared" si="5"/>
        <v>55</v>
      </c>
      <c r="T26" s="5">
        <f t="shared" si="6"/>
        <v>148</v>
      </c>
    </row>
    <row r="27" spans="1:20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4"/>
        <v>87</v>
      </c>
      <c r="S27" s="5">
        <f t="shared" si="5"/>
        <v>51</v>
      </c>
      <c r="T27" s="5">
        <f t="shared" si="6"/>
        <v>138</v>
      </c>
    </row>
    <row r="28" spans="1:20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4"/>
        <v>0</v>
      </c>
      <c r="S28" s="5">
        <f t="shared" si="5"/>
        <v>0</v>
      </c>
      <c r="T28" s="5">
        <f t="shared" si="6"/>
        <v>0</v>
      </c>
    </row>
    <row r="29" spans="1:20" x14ac:dyDescent="0.25">
      <c r="A29" s="4">
        <f>'Mid Sem'!B29</f>
        <v>590029215</v>
      </c>
      <c r="B29" s="4" t="str">
        <f>'Mid Sem'!A29</f>
        <v>Siddhant Rai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5">
        <f t="shared" si="0"/>
        <v>0</v>
      </c>
      <c r="O29" s="1"/>
      <c r="R29" s="5">
        <f t="shared" si="4"/>
        <v>0</v>
      </c>
      <c r="S29" s="5">
        <f t="shared" si="5"/>
        <v>0</v>
      </c>
      <c r="T29" s="5">
        <f t="shared" si="6"/>
        <v>0</v>
      </c>
    </row>
    <row r="30" spans="1:20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4"/>
        <v>36</v>
      </c>
      <c r="S30" s="5">
        <f t="shared" si="5"/>
        <v>15</v>
      </c>
      <c r="T30" s="5">
        <f t="shared" si="6"/>
        <v>51</v>
      </c>
    </row>
    <row r="31" spans="1:20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4"/>
        <v>91</v>
      </c>
      <c r="S31" s="5">
        <f t="shared" si="5"/>
        <v>49</v>
      </c>
      <c r="T31" s="5">
        <f t="shared" si="6"/>
        <v>140</v>
      </c>
    </row>
    <row r="32" spans="1:20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4"/>
        <v>91</v>
      </c>
      <c r="S32" s="5">
        <f t="shared" si="5"/>
        <v>53</v>
      </c>
      <c r="T32" s="5">
        <f t="shared" si="6"/>
        <v>144</v>
      </c>
    </row>
    <row r="33" spans="1:20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4"/>
        <v>91</v>
      </c>
      <c r="S33" s="5">
        <f t="shared" si="5"/>
        <v>55</v>
      </c>
      <c r="T33" s="5">
        <f t="shared" si="6"/>
        <v>146</v>
      </c>
    </row>
    <row r="34" spans="1:20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4"/>
        <v>95</v>
      </c>
      <c r="S34" s="5">
        <f t="shared" si="5"/>
        <v>55</v>
      </c>
      <c r="T34" s="5">
        <f t="shared" si="6"/>
        <v>150</v>
      </c>
    </row>
    <row r="35" spans="1:20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4"/>
        <v>87</v>
      </c>
      <c r="S35" s="5">
        <f t="shared" si="5"/>
        <v>49</v>
      </c>
      <c r="T35" s="5">
        <f t="shared" si="6"/>
        <v>136</v>
      </c>
    </row>
    <row r="36" spans="1:20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4"/>
        <v>80</v>
      </c>
      <c r="S36" s="5">
        <f t="shared" si="5"/>
        <v>49</v>
      </c>
      <c r="T36" s="5">
        <f t="shared" si="6"/>
        <v>129</v>
      </c>
    </row>
    <row r="37" spans="1:20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4"/>
        <v>90</v>
      </c>
      <c r="S37" s="5">
        <f t="shared" si="5"/>
        <v>54</v>
      </c>
      <c r="T37" s="5">
        <f t="shared" si="6"/>
        <v>144</v>
      </c>
    </row>
    <row r="38" spans="1:20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4"/>
        <v>95</v>
      </c>
      <c r="S38" s="5">
        <f t="shared" si="5"/>
        <v>55</v>
      </c>
      <c r="T38" s="5">
        <f t="shared" si="6"/>
        <v>150</v>
      </c>
    </row>
    <row r="39" spans="1:20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4"/>
        <v>70</v>
      </c>
      <c r="S39" s="5">
        <f t="shared" si="5"/>
        <v>29</v>
      </c>
      <c r="T39" s="5">
        <f t="shared" si="6"/>
        <v>99</v>
      </c>
    </row>
    <row r="40" spans="1:20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4"/>
        <v>0</v>
      </c>
      <c r="S40" s="5">
        <f t="shared" si="5"/>
        <v>0</v>
      </c>
      <c r="T40" s="5">
        <f t="shared" si="6"/>
        <v>0</v>
      </c>
    </row>
    <row r="41" spans="1:20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4"/>
        <v>0</v>
      </c>
      <c r="S41" s="5">
        <f t="shared" si="5"/>
        <v>0</v>
      </c>
      <c r="T41" s="5">
        <f t="shared" si="6"/>
        <v>0</v>
      </c>
    </row>
    <row r="42" spans="1:20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4"/>
        <v>93</v>
      </c>
      <c r="S42" s="5">
        <f t="shared" si="5"/>
        <v>38</v>
      </c>
      <c r="T42" s="5">
        <f t="shared" si="6"/>
        <v>131</v>
      </c>
    </row>
    <row r="43" spans="1:20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4"/>
        <v>91</v>
      </c>
      <c r="S43" s="5">
        <f t="shared" si="5"/>
        <v>54</v>
      </c>
      <c r="T43" s="5">
        <f t="shared" si="6"/>
        <v>145</v>
      </c>
    </row>
    <row r="44" spans="1:20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4"/>
        <v>0</v>
      </c>
      <c r="S44" s="5">
        <f t="shared" si="5"/>
        <v>0</v>
      </c>
      <c r="T44" s="5">
        <f t="shared" si="6"/>
        <v>0</v>
      </c>
    </row>
    <row r="45" spans="1:20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/>
      <c r="N45" s="5">
        <f t="shared" si="0"/>
        <v>74</v>
      </c>
      <c r="O45" s="1"/>
      <c r="R45" s="5">
        <f t="shared" si="4"/>
        <v>74</v>
      </c>
      <c r="S45" s="5">
        <f t="shared" si="5"/>
        <v>0</v>
      </c>
      <c r="T45" s="5">
        <f t="shared" si="6"/>
        <v>74</v>
      </c>
    </row>
    <row r="46" spans="1:20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4"/>
        <v>0</v>
      </c>
      <c r="S46" s="5">
        <f t="shared" si="5"/>
        <v>0</v>
      </c>
      <c r="T46" s="5">
        <f t="shared" si="6"/>
        <v>0</v>
      </c>
    </row>
    <row r="47" spans="1:20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4"/>
        <v>89</v>
      </c>
      <c r="S47" s="5">
        <f t="shared" si="5"/>
        <v>54</v>
      </c>
      <c r="T47" s="5">
        <f t="shared" si="6"/>
        <v>143</v>
      </c>
    </row>
    <row r="48" spans="1:20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4"/>
        <v>0</v>
      </c>
      <c r="S48" s="5">
        <f t="shared" si="5"/>
        <v>0</v>
      </c>
      <c r="T48" s="5">
        <f t="shared" si="6"/>
        <v>0</v>
      </c>
    </row>
    <row r="49" spans="1:20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4"/>
        <v>84</v>
      </c>
      <c r="S49" s="5">
        <f t="shared" si="5"/>
        <v>50</v>
      </c>
      <c r="T49" s="5">
        <f t="shared" si="6"/>
        <v>134</v>
      </c>
    </row>
    <row r="50" spans="1:20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4"/>
        <v>0</v>
      </c>
      <c r="S50" s="5">
        <f t="shared" si="5"/>
        <v>0</v>
      </c>
      <c r="T50" s="5">
        <f t="shared" si="6"/>
        <v>0</v>
      </c>
    </row>
    <row r="51" spans="1:20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4"/>
        <v>86</v>
      </c>
      <c r="S51" s="5">
        <f t="shared" si="5"/>
        <v>39</v>
      </c>
      <c r="T51" s="5">
        <f t="shared" si="6"/>
        <v>125</v>
      </c>
    </row>
    <row r="52" spans="1:20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4"/>
        <v>87</v>
      </c>
      <c r="S52" s="5">
        <f t="shared" si="5"/>
        <v>52</v>
      </c>
      <c r="T52" s="5">
        <f t="shared" si="6"/>
        <v>139</v>
      </c>
    </row>
    <row r="53" spans="1:20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4"/>
        <v>0</v>
      </c>
      <c r="S53" s="5">
        <f t="shared" si="5"/>
        <v>0</v>
      </c>
      <c r="T53" s="5">
        <f t="shared" si="6"/>
        <v>0</v>
      </c>
    </row>
    <row r="54" spans="1:20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4"/>
        <v>87</v>
      </c>
      <c r="S54" s="5">
        <f t="shared" si="5"/>
        <v>52</v>
      </c>
      <c r="T54" s="5">
        <f t="shared" si="6"/>
        <v>139</v>
      </c>
    </row>
    <row r="55" spans="1:20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4"/>
        <v>87</v>
      </c>
      <c r="S55" s="5">
        <f t="shared" si="5"/>
        <v>44</v>
      </c>
      <c r="T55" s="5">
        <f t="shared" si="6"/>
        <v>131</v>
      </c>
    </row>
    <row r="56" spans="1:20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4"/>
        <v>76</v>
      </c>
      <c r="S56" s="5">
        <f t="shared" si="5"/>
        <v>37</v>
      </c>
      <c r="T56" s="5">
        <f t="shared" si="6"/>
        <v>113</v>
      </c>
    </row>
    <row r="57" spans="1:20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4"/>
        <v>0</v>
      </c>
      <c r="S57" s="5">
        <f t="shared" si="5"/>
        <v>0</v>
      </c>
      <c r="T57" s="5">
        <f t="shared" si="6"/>
        <v>0</v>
      </c>
    </row>
    <row r="58" spans="1:20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4"/>
        <v>0</v>
      </c>
      <c r="S58" s="5">
        <f t="shared" si="5"/>
        <v>0</v>
      </c>
      <c r="T58" s="5">
        <f t="shared" si="6"/>
        <v>0</v>
      </c>
    </row>
    <row r="59" spans="1:20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4"/>
        <v>93</v>
      </c>
      <c r="S59" s="5">
        <f t="shared" si="5"/>
        <v>55</v>
      </c>
      <c r="T59" s="5">
        <f t="shared" si="6"/>
        <v>148</v>
      </c>
    </row>
    <row r="60" spans="1:20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4"/>
        <v>86</v>
      </c>
      <c r="S60" s="5">
        <f t="shared" si="5"/>
        <v>54</v>
      </c>
      <c r="T60" s="5">
        <f t="shared" si="6"/>
        <v>140</v>
      </c>
    </row>
    <row r="61" spans="1:20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4"/>
        <v>86</v>
      </c>
      <c r="S61" s="5">
        <f t="shared" si="5"/>
        <v>51</v>
      </c>
      <c r="T61" s="5">
        <f t="shared" si="6"/>
        <v>137</v>
      </c>
    </row>
    <row r="62" spans="1:20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4"/>
        <v>90</v>
      </c>
      <c r="S62" s="5">
        <f t="shared" si="5"/>
        <v>52</v>
      </c>
      <c r="T62" s="5">
        <f t="shared" si="6"/>
        <v>142</v>
      </c>
    </row>
    <row r="63" spans="1:20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4"/>
        <v>92</v>
      </c>
      <c r="S63" s="5">
        <f t="shared" si="5"/>
        <v>53</v>
      </c>
      <c r="T63" s="5">
        <f t="shared" si="6"/>
        <v>145</v>
      </c>
    </row>
    <row r="64" spans="1:20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4"/>
        <v>93</v>
      </c>
      <c r="S64" s="5">
        <f t="shared" si="5"/>
        <v>52</v>
      </c>
      <c r="T64" s="5">
        <f t="shared" si="6"/>
        <v>145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66"/>
  <sheetViews>
    <sheetView workbookViewId="0">
      <selection activeCell="N4" sqref="N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4.7109375" bestFit="1" customWidth="1"/>
  </cols>
  <sheetData>
    <row r="1" spans="1:15" ht="24.75" x14ac:dyDescent="0.4">
      <c r="A1" s="43" t="s">
        <v>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7" t="s">
        <v>11</v>
      </c>
      <c r="O4" s="3" t="s">
        <v>12</v>
      </c>
    </row>
    <row r="5" spans="1:15" x14ac:dyDescent="0.25">
      <c r="A5" s="5"/>
      <c r="B5" s="5" t="s"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4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4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4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4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4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4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4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4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4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4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4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4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4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4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4">
        <f>'Mid Sem'!B22</f>
        <v>590029079</v>
      </c>
      <c r="B22" s="4" t="str">
        <f>'Mid Sem'!A22</f>
        <v>Radhe Patel</v>
      </c>
    </row>
    <row r="23" spans="1:15" x14ac:dyDescent="0.25">
      <c r="A23" s="4">
        <f>'Mid Sem'!B23</f>
        <v>590029145</v>
      </c>
      <c r="B23" s="4" t="str">
        <f>'Mid Sem'!A23</f>
        <v>Rishika Purushotham</v>
      </c>
    </row>
    <row r="24" spans="1:15" x14ac:dyDescent="0.25">
      <c r="A24" s="4">
        <f>'Mid Sem'!B24</f>
        <v>590029209</v>
      </c>
      <c r="B24" s="4" t="str">
        <f>'Mid Sem'!A24</f>
        <v>Rishiv Kumar</v>
      </c>
    </row>
    <row r="25" spans="1:15" x14ac:dyDescent="0.25">
      <c r="A25" s="4">
        <f>'Mid Sem'!B25</f>
        <v>590027268</v>
      </c>
      <c r="B25" s="4" t="str">
        <f>'Mid Sem'!A25</f>
        <v>Sankalp Sunil Ronge</v>
      </c>
    </row>
    <row r="26" spans="1:15" x14ac:dyDescent="0.25">
      <c r="A26" s="4">
        <f>'Mid Sem'!B26</f>
        <v>590029227</v>
      </c>
      <c r="B26" s="4" t="str">
        <f>'Mid Sem'!A26</f>
        <v>Sartaj Singh</v>
      </c>
    </row>
    <row r="27" spans="1:15" x14ac:dyDescent="0.25">
      <c r="A27" s="4">
        <f>'Mid Sem'!B27</f>
        <v>590029241</v>
      </c>
      <c r="B27" s="4" t="str">
        <f>'Mid Sem'!A27</f>
        <v>Satakshi Gupta</v>
      </c>
    </row>
    <row r="28" spans="1:15" x14ac:dyDescent="0.25">
      <c r="A28" s="4">
        <f>'Mid Sem'!B28</f>
        <v>590023855</v>
      </c>
      <c r="B28" s="4" t="str">
        <f>'Mid Sem'!A28</f>
        <v>Shaswat Shantanu</v>
      </c>
    </row>
    <row r="29" spans="1:15" x14ac:dyDescent="0.25">
      <c r="A29" s="4">
        <f>'Mid Sem'!B29</f>
        <v>590029215</v>
      </c>
      <c r="B29" s="4" t="str">
        <f>'Mid Sem'!A29</f>
        <v>Siddhant Rai</v>
      </c>
    </row>
    <row r="30" spans="1:15" x14ac:dyDescent="0.25">
      <c r="A30" s="4">
        <f>'Mid Sem'!B30</f>
        <v>590029111</v>
      </c>
      <c r="B30" s="4" t="str">
        <f>'Mid Sem'!A30</f>
        <v>Sidhaant Singh Jyrwa</v>
      </c>
    </row>
    <row r="31" spans="1:15" x14ac:dyDescent="0.25">
      <c r="A31" s="4">
        <f>'Mid Sem'!B31</f>
        <v>590028683</v>
      </c>
      <c r="B31" s="4" t="str">
        <f>'Mid Sem'!A31</f>
        <v>Subrat Singh Jadaun</v>
      </c>
    </row>
    <row r="32" spans="1:15" x14ac:dyDescent="0.25">
      <c r="A32" s="4">
        <f>'Mid Sem'!B32</f>
        <v>590029121</v>
      </c>
      <c r="B32" s="4" t="str">
        <f>'Mid Sem'!A32</f>
        <v>Tushita Sharma</v>
      </c>
    </row>
    <row r="33" spans="1:2" x14ac:dyDescent="0.25">
      <c r="A33" s="4">
        <f>'Mid Sem'!B33</f>
        <v>590029048</v>
      </c>
      <c r="B33" s="4" t="str">
        <f>'Mid Sem'!A33</f>
        <v>Vaishnavi Kumari</v>
      </c>
    </row>
    <row r="34" spans="1:2" x14ac:dyDescent="0.25">
      <c r="A34" s="4">
        <f>'Mid Sem'!B34</f>
        <v>590029184</v>
      </c>
      <c r="B34" s="4" t="str">
        <f>'Mid Sem'!A34</f>
        <v>Vivek Chauhan</v>
      </c>
    </row>
    <row r="35" spans="1:2" x14ac:dyDescent="0.25">
      <c r="A35" s="4">
        <f>'Mid Sem'!B35</f>
        <v>590029330</v>
      </c>
      <c r="B35" s="4" t="str">
        <f>'Mid Sem'!A35</f>
        <v>Aadarshi Bisht</v>
      </c>
    </row>
    <row r="36" spans="1:2" x14ac:dyDescent="0.25">
      <c r="A36" s="4">
        <f>'Mid Sem'!B36</f>
        <v>590027630</v>
      </c>
      <c r="B36" s="4" t="str">
        <f>'Mid Sem'!A36</f>
        <v>Aarush Prasad</v>
      </c>
    </row>
    <row r="37" spans="1:2" x14ac:dyDescent="0.25">
      <c r="A37" s="4">
        <f>'Mid Sem'!B37</f>
        <v>590029219</v>
      </c>
      <c r="B37" s="4" t="str">
        <f>'Mid Sem'!A37</f>
        <v>Aditya Mishra</v>
      </c>
    </row>
    <row r="38" spans="1:2" x14ac:dyDescent="0.25">
      <c r="A38" s="4">
        <f>'Mid Sem'!B38</f>
        <v>590028933</v>
      </c>
      <c r="B38" s="4" t="str">
        <f>'Mid Sem'!A38</f>
        <v>Aman Barnwal</v>
      </c>
    </row>
    <row r="39" spans="1:2" x14ac:dyDescent="0.25">
      <c r="A39" s="4">
        <f>'Mid Sem'!B39</f>
        <v>590027859</v>
      </c>
      <c r="B39" s="4" t="str">
        <f>'Mid Sem'!A39</f>
        <v>Ashutosh Shrivastava</v>
      </c>
    </row>
    <row r="40" spans="1:2" x14ac:dyDescent="0.25">
      <c r="A40" s="4">
        <f>'Mid Sem'!B40</f>
        <v>590028682</v>
      </c>
      <c r="B40" s="4" t="str">
        <f>'Mid Sem'!A40</f>
        <v>Ayan Pande</v>
      </c>
    </row>
    <row r="41" spans="1:2" x14ac:dyDescent="0.25">
      <c r="A41" s="4">
        <f>'Mid Sem'!B41</f>
        <v>590023917</v>
      </c>
      <c r="B41" s="4" t="str">
        <f>'Mid Sem'!A41</f>
        <v>Ayush Pratap Singh</v>
      </c>
    </row>
    <row r="42" spans="1:2" x14ac:dyDescent="0.25">
      <c r="A42" s="4">
        <f>'Mid Sem'!B42</f>
        <v>590023785</v>
      </c>
      <c r="B42" s="4" t="str">
        <f>'Mid Sem'!A42</f>
        <v>Gayatri Bhatt</v>
      </c>
    </row>
    <row r="43" spans="1:2" x14ac:dyDescent="0.25">
      <c r="A43" s="4">
        <f>'Mid Sem'!B43</f>
        <v>590029264</v>
      </c>
      <c r="B43" s="4" t="str">
        <f>'Mid Sem'!A43</f>
        <v>Harsh Mudgal</v>
      </c>
    </row>
    <row r="44" spans="1:2" x14ac:dyDescent="0.25">
      <c r="A44" s="4">
        <f>'Mid Sem'!B44</f>
        <v>590029042</v>
      </c>
      <c r="B44" s="4" t="str">
        <f>'Mid Sem'!A44</f>
        <v>Kanan Nidhania</v>
      </c>
    </row>
    <row r="45" spans="1:2" x14ac:dyDescent="0.25">
      <c r="A45" s="4">
        <f>'Mid Sem'!B45</f>
        <v>590029336</v>
      </c>
      <c r="B45" s="4" t="str">
        <f>'Mid Sem'!A45</f>
        <v>Kanishka Diwakar</v>
      </c>
    </row>
    <row r="46" spans="1:2" x14ac:dyDescent="0.25">
      <c r="A46" s="4">
        <f>'Mid Sem'!B46</f>
        <v>590029233</v>
      </c>
      <c r="B46" s="4" t="str">
        <f>'Mid Sem'!A46</f>
        <v>Keshav Chahda</v>
      </c>
    </row>
    <row r="47" spans="1:2" x14ac:dyDescent="0.25">
      <c r="A47" s="4">
        <f>'Mid Sem'!B47</f>
        <v>590029328</v>
      </c>
      <c r="B47" s="4" t="str">
        <f>'Mid Sem'!A47</f>
        <v>Lakshay Dhanda</v>
      </c>
    </row>
    <row r="48" spans="1:2" x14ac:dyDescent="0.25">
      <c r="A48" s="4">
        <f>'Mid Sem'!B48</f>
        <v>590028608</v>
      </c>
      <c r="B48" s="4" t="str">
        <f>'Mid Sem'!A48</f>
        <v>Lakshya Singh</v>
      </c>
    </row>
    <row r="49" spans="1:2" x14ac:dyDescent="0.25">
      <c r="A49" s="4">
        <f>'Mid Sem'!B49</f>
        <v>590028605</v>
      </c>
      <c r="B49" s="4" t="str">
        <f>'Mid Sem'!A49</f>
        <v>Mayank Chand Ramola</v>
      </c>
    </row>
    <row r="50" spans="1:2" x14ac:dyDescent="0.25">
      <c r="A50" s="4">
        <f>'Mid Sem'!B50</f>
        <v>590026626</v>
      </c>
      <c r="B50" s="4" t="str">
        <f>'Mid Sem'!A50</f>
        <v>Mukesh Patel</v>
      </c>
    </row>
    <row r="51" spans="1:2" x14ac:dyDescent="0.25">
      <c r="A51" s="4">
        <f>'Mid Sem'!B51</f>
        <v>590029310</v>
      </c>
      <c r="B51" s="4" t="str">
        <f>'Mid Sem'!A51</f>
        <v>Nipun Singh</v>
      </c>
    </row>
    <row r="52" spans="1:2" x14ac:dyDescent="0.25">
      <c r="A52" s="4">
        <f>'Mid Sem'!B52</f>
        <v>590029319</v>
      </c>
      <c r="B52" s="4" t="str">
        <f>'Mid Sem'!A52</f>
        <v>Paras Bhall</v>
      </c>
    </row>
    <row r="53" spans="1:2" x14ac:dyDescent="0.25">
      <c r="A53" s="4">
        <f>'Mid Sem'!B53</f>
        <v>590029339</v>
      </c>
      <c r="B53" s="4" t="str">
        <f>'Mid Sem'!A53</f>
        <v>Raghav Kumar Goyal</v>
      </c>
    </row>
    <row r="54" spans="1:2" x14ac:dyDescent="0.25">
      <c r="A54" s="4">
        <f>'Mid Sem'!B54</f>
        <v>590029148</v>
      </c>
      <c r="B54" s="4" t="str">
        <f>'Mid Sem'!A54</f>
        <v>Rahul</v>
      </c>
    </row>
    <row r="55" spans="1:2" x14ac:dyDescent="0.25">
      <c r="A55" s="4">
        <f>'Mid Sem'!B55</f>
        <v>590029309</v>
      </c>
      <c r="B55" s="4" t="str">
        <f>'Mid Sem'!A55</f>
        <v>Rahul Singh</v>
      </c>
    </row>
    <row r="56" spans="1:2" x14ac:dyDescent="0.25">
      <c r="A56" s="4">
        <f>'Mid Sem'!B56</f>
        <v>590028838</v>
      </c>
      <c r="B56" s="4" t="str">
        <f>'Mid Sem'!A56</f>
        <v>Satyam Singh</v>
      </c>
    </row>
    <row r="57" spans="1:2" x14ac:dyDescent="0.25">
      <c r="A57" s="4">
        <f>'Mid Sem'!B57</f>
        <v>590029107</v>
      </c>
      <c r="B57" s="4" t="str">
        <f>'Mid Sem'!A57</f>
        <v>Shashwat Agrawal</v>
      </c>
    </row>
    <row r="58" spans="1:2" x14ac:dyDescent="0.25">
      <c r="A58" s="4">
        <f>'Mid Sem'!B58</f>
        <v>590029266</v>
      </c>
      <c r="B58" s="4" t="str">
        <f>'Mid Sem'!A58</f>
        <v>Siddhant Gurung</v>
      </c>
    </row>
    <row r="59" spans="1:2" x14ac:dyDescent="0.25">
      <c r="A59" s="4">
        <f>'Mid Sem'!B59</f>
        <v>590029354</v>
      </c>
      <c r="B59" s="4" t="str">
        <f>'Mid Sem'!A59</f>
        <v>Simarjot Kaur Gill</v>
      </c>
    </row>
    <row r="60" spans="1:2" x14ac:dyDescent="0.25">
      <c r="A60" s="4">
        <f>'Mid Sem'!B60</f>
        <v>590029349</v>
      </c>
      <c r="B60" s="4" t="str">
        <f>'Mid Sem'!A60</f>
        <v>Tanishq Bansal</v>
      </c>
    </row>
    <row r="61" spans="1:2" x14ac:dyDescent="0.25">
      <c r="A61" s="4">
        <f>'Mid Sem'!B61</f>
        <v>590029302</v>
      </c>
      <c r="B61" s="4" t="str">
        <f>'Mid Sem'!A61</f>
        <v>Tanmay Amit Verma</v>
      </c>
    </row>
    <row r="62" spans="1:2" x14ac:dyDescent="0.25">
      <c r="A62" s="4">
        <f>'Mid Sem'!B62</f>
        <v>590029262</v>
      </c>
      <c r="B62" s="4" t="str">
        <f>'Mid Sem'!A62</f>
        <v>Vandana Yadav</v>
      </c>
    </row>
    <row r="63" spans="1:2" x14ac:dyDescent="0.25">
      <c r="A63" s="4">
        <f>'Mid Sem'!B63</f>
        <v>590029285</v>
      </c>
      <c r="B63" s="4" t="str">
        <f>'Mid Sem'!A63</f>
        <v>Vidit Ahuja</v>
      </c>
    </row>
    <row r="64" spans="1:2" x14ac:dyDescent="0.25">
      <c r="A64" s="4">
        <f>'Mid Sem'!B64</f>
        <v>590029353</v>
      </c>
      <c r="B64" s="4" t="str">
        <f>'Mid Sem'!A64</f>
        <v>Vinit Kumar</v>
      </c>
    </row>
    <row r="65" spans="1:2" x14ac:dyDescent="0.25">
      <c r="A65" s="4">
        <f>'Mid Sem'!B65</f>
        <v>0</v>
      </c>
      <c r="B65" s="4">
        <f>'Mid Sem'!A65</f>
        <v>0</v>
      </c>
    </row>
    <row r="66" spans="1:2" x14ac:dyDescent="0.25">
      <c r="A66" s="4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65"/>
  <sheetViews>
    <sheetView workbookViewId="0">
      <selection activeCell="N6" sqref="N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3" t="s">
        <v>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ht="24.75" x14ac:dyDescent="0.4">
      <c r="A2" s="43" t="str">
        <f>Marksheet!A2</f>
        <v xml:space="preserve">Physics for Computer Engineers (PHYS 1036) 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5"/>
      <c r="B5" s="5" t="s"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>
        <v>40</v>
      </c>
      <c r="O5" s="5"/>
    </row>
    <row r="6" spans="1:15" x14ac:dyDescent="0.25">
      <c r="A6" s="4">
        <f>Marksheet!B5</f>
        <v>590029213</v>
      </c>
      <c r="B6" s="4" t="str">
        <f>Marksheet!A5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4">
        <f>Marksheet!B6</f>
        <v>590029270</v>
      </c>
      <c r="B7" s="4" t="str">
        <f>Marksheet!A6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4">
        <f>Marksheet!B7</f>
        <v>590029204</v>
      </c>
      <c r="B8" s="4" t="str">
        <f>Marksheet!A7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4">
        <f>Marksheet!B8</f>
        <v>590029109</v>
      </c>
      <c r="B9" s="4" t="str">
        <f>Marksheet!A8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4">
        <f>Marksheet!B9</f>
        <v>590029070</v>
      </c>
      <c r="B10" s="4" t="str">
        <f>Marksheet!A9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4">
        <f>Marksheet!B10</f>
        <v>590029157</v>
      </c>
      <c r="B11" s="4" t="str">
        <f>Marksheet!A10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4">
        <f>Marksheet!B11</f>
        <v>590027157</v>
      </c>
      <c r="B12" s="4" t="str">
        <f>Marksheet!A11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4">
        <f>Marksheet!B12</f>
        <v>590029274</v>
      </c>
      <c r="B13" s="4" t="str">
        <f>Marksheet!A12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4">
        <f>Marksheet!B13</f>
        <v>590028572</v>
      </c>
      <c r="B14" s="4" t="str">
        <f>Marksheet!A13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4">
        <f>Marksheet!B14</f>
        <v>590029230</v>
      </c>
      <c r="B15" s="4" t="str">
        <f>Marksheet!A14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4">
        <f>Marksheet!B15</f>
        <v>590029169</v>
      </c>
      <c r="B16" s="4" t="str">
        <f>Marksheet!A15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4">
        <f>Marksheet!B16</f>
        <v>590029112</v>
      </c>
      <c r="B17" s="4" t="str">
        <f>Marksheet!A16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4">
        <f>Marksheet!B17</f>
        <v>590025556</v>
      </c>
      <c r="B18" s="4" t="str">
        <f>Marksheet!A17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4">
        <f>Marksheet!B18</f>
        <v>590027830</v>
      </c>
      <c r="B19" s="4" t="str">
        <f>Marksheet!A18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4">
        <f>Marksheet!B19</f>
        <v>590028360</v>
      </c>
      <c r="B20" s="4" t="str">
        <f>Marksheet!A19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4">
        <f>Marksheet!B20</f>
        <v>590029237</v>
      </c>
      <c r="B21" s="4" t="str">
        <f>Marksheet!A20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4">
        <f>Marksheet!B21</f>
        <v>590029079</v>
      </c>
      <c r="B22" s="4" t="str">
        <f>Marksheet!A21</f>
        <v>Radhe Patel</v>
      </c>
    </row>
    <row r="23" spans="1:15" x14ac:dyDescent="0.25">
      <c r="A23" s="4">
        <f>Marksheet!B22</f>
        <v>590029145</v>
      </c>
      <c r="B23" s="4" t="str">
        <f>Marksheet!A22</f>
        <v>Rishika Purushotham</v>
      </c>
    </row>
    <row r="24" spans="1:15" x14ac:dyDescent="0.25">
      <c r="A24" s="4">
        <f>Marksheet!B23</f>
        <v>590029209</v>
      </c>
      <c r="B24" s="4" t="str">
        <f>Marksheet!A23</f>
        <v>Rishiv Kumar</v>
      </c>
    </row>
    <row r="25" spans="1:15" x14ac:dyDescent="0.25">
      <c r="A25" s="4">
        <f>Marksheet!B24</f>
        <v>590027268</v>
      </c>
      <c r="B25" s="4" t="str">
        <f>Marksheet!A24</f>
        <v>Sankalp Sunil Ronge</v>
      </c>
    </row>
    <row r="26" spans="1:15" x14ac:dyDescent="0.25">
      <c r="A26" s="4">
        <f>Marksheet!B25</f>
        <v>590029227</v>
      </c>
      <c r="B26" s="4" t="str">
        <f>Marksheet!A25</f>
        <v>Sartaj Singh</v>
      </c>
    </row>
    <row r="27" spans="1:15" x14ac:dyDescent="0.25">
      <c r="A27" s="4">
        <f>Marksheet!B26</f>
        <v>590029241</v>
      </c>
      <c r="B27" s="4" t="str">
        <f>Marksheet!A26</f>
        <v>Satakshi Gupta</v>
      </c>
    </row>
    <row r="28" spans="1:15" x14ac:dyDescent="0.25">
      <c r="A28" s="4">
        <f>Marksheet!B27</f>
        <v>590023855</v>
      </c>
      <c r="B28" s="4" t="str">
        <f>Marksheet!A27</f>
        <v>Shaswat Shantanu</v>
      </c>
    </row>
    <row r="29" spans="1:15" x14ac:dyDescent="0.25">
      <c r="A29" s="4">
        <f>Marksheet!B28</f>
        <v>590029215</v>
      </c>
      <c r="B29" s="4" t="str">
        <f>Marksheet!A28</f>
        <v>Siddhant Rai</v>
      </c>
    </row>
    <row r="30" spans="1:15" x14ac:dyDescent="0.25">
      <c r="A30" s="4">
        <f>Marksheet!B29</f>
        <v>590029111</v>
      </c>
      <c r="B30" s="4" t="str">
        <f>Marksheet!A29</f>
        <v>Sidhaant Singh Jyrwa</v>
      </c>
    </row>
    <row r="31" spans="1:15" x14ac:dyDescent="0.25">
      <c r="A31" s="4">
        <f>Marksheet!B30</f>
        <v>590028683</v>
      </c>
      <c r="B31" s="4" t="str">
        <f>Marksheet!A30</f>
        <v>Subrat Singh Jadaun</v>
      </c>
    </row>
    <row r="32" spans="1:15" x14ac:dyDescent="0.25">
      <c r="A32" s="4">
        <f>Marksheet!B31</f>
        <v>590029121</v>
      </c>
      <c r="B32" s="4" t="str">
        <f>Marksheet!A31</f>
        <v>Tushita Sharma</v>
      </c>
    </row>
    <row r="33" spans="1:2" x14ac:dyDescent="0.25">
      <c r="A33" s="4">
        <f>Marksheet!B32</f>
        <v>590029048</v>
      </c>
      <c r="B33" s="4" t="str">
        <f>Marksheet!A32</f>
        <v>Vaishnavi Kumari</v>
      </c>
    </row>
    <row r="34" spans="1:2" x14ac:dyDescent="0.25">
      <c r="A34" s="4">
        <f>Marksheet!B33</f>
        <v>590029184</v>
      </c>
      <c r="B34" s="4" t="str">
        <f>Marksheet!A33</f>
        <v>Vivek Chauhan</v>
      </c>
    </row>
    <row r="35" spans="1:2" x14ac:dyDescent="0.25">
      <c r="A35" s="4">
        <f>Marksheet!B34</f>
        <v>590029330</v>
      </c>
      <c r="B35" s="4" t="str">
        <f>Marksheet!A34</f>
        <v>Aadarshi Bisht</v>
      </c>
    </row>
    <row r="36" spans="1:2" x14ac:dyDescent="0.25">
      <c r="A36" s="4">
        <f>Marksheet!B35</f>
        <v>590027630</v>
      </c>
      <c r="B36" s="4" t="str">
        <f>Marksheet!A35</f>
        <v>Aarush Prasad</v>
      </c>
    </row>
    <row r="37" spans="1:2" x14ac:dyDescent="0.25">
      <c r="A37" s="4">
        <f>Marksheet!B36</f>
        <v>590029219</v>
      </c>
      <c r="B37" s="4" t="str">
        <f>Marksheet!A36</f>
        <v>Aditya Mishra</v>
      </c>
    </row>
    <row r="38" spans="1:2" x14ac:dyDescent="0.25">
      <c r="A38" s="4">
        <f>Marksheet!B37</f>
        <v>590028933</v>
      </c>
      <c r="B38" s="4" t="str">
        <f>Marksheet!A37</f>
        <v>Aman Barnwal</v>
      </c>
    </row>
    <row r="39" spans="1:2" x14ac:dyDescent="0.25">
      <c r="A39" s="4">
        <f>Marksheet!B38</f>
        <v>590027859</v>
      </c>
      <c r="B39" s="4" t="str">
        <f>Marksheet!A38</f>
        <v>Ashutosh Shrivastava</v>
      </c>
    </row>
    <row r="40" spans="1:2" x14ac:dyDescent="0.25">
      <c r="A40" s="4">
        <f>Marksheet!B39</f>
        <v>590028682</v>
      </c>
      <c r="B40" s="4" t="str">
        <f>Marksheet!A39</f>
        <v>Ayan Pande</v>
      </c>
    </row>
    <row r="41" spans="1:2" x14ac:dyDescent="0.25">
      <c r="A41" s="4">
        <f>Marksheet!B40</f>
        <v>590023917</v>
      </c>
      <c r="B41" s="4" t="str">
        <f>Marksheet!A40</f>
        <v>Ayush Pratap Singh</v>
      </c>
    </row>
    <row r="42" spans="1:2" x14ac:dyDescent="0.25">
      <c r="A42" s="4">
        <f>Marksheet!B41</f>
        <v>590023785</v>
      </c>
      <c r="B42" s="4" t="str">
        <f>Marksheet!A41</f>
        <v>Gayatri Bhatt</v>
      </c>
    </row>
    <row r="43" spans="1:2" x14ac:dyDescent="0.25">
      <c r="A43" s="4">
        <f>Marksheet!B42</f>
        <v>590029264</v>
      </c>
      <c r="B43" s="4" t="str">
        <f>Marksheet!A42</f>
        <v>Harsh Mudgal</v>
      </c>
    </row>
    <row r="44" spans="1:2" x14ac:dyDescent="0.25">
      <c r="A44" s="4">
        <f>Marksheet!B43</f>
        <v>590029042</v>
      </c>
      <c r="B44" s="4" t="str">
        <f>Marksheet!A43</f>
        <v>Kanan Nidhania</v>
      </c>
    </row>
    <row r="45" spans="1:2" x14ac:dyDescent="0.25">
      <c r="A45" s="4">
        <f>Marksheet!B44</f>
        <v>590029336</v>
      </c>
      <c r="B45" s="4" t="str">
        <f>Marksheet!A44</f>
        <v>Kanishka Diwakar</v>
      </c>
    </row>
    <row r="46" spans="1:2" x14ac:dyDescent="0.25">
      <c r="A46" s="4">
        <f>Marksheet!B45</f>
        <v>590029233</v>
      </c>
      <c r="B46" s="4" t="str">
        <f>Marksheet!A45</f>
        <v>Keshav Chahda</v>
      </c>
    </row>
    <row r="47" spans="1:2" x14ac:dyDescent="0.25">
      <c r="A47" s="4">
        <f>Marksheet!B46</f>
        <v>590029328</v>
      </c>
      <c r="B47" s="4" t="str">
        <f>Marksheet!A46</f>
        <v>Lakshay Dhanda</v>
      </c>
    </row>
    <row r="48" spans="1:2" x14ac:dyDescent="0.25">
      <c r="A48" s="4">
        <f>Marksheet!B47</f>
        <v>590028608</v>
      </c>
      <c r="B48" s="4" t="str">
        <f>Marksheet!A47</f>
        <v>Lakshya Singh</v>
      </c>
    </row>
    <row r="49" spans="1:2" x14ac:dyDescent="0.25">
      <c r="A49" s="4">
        <f>Marksheet!B48</f>
        <v>590028605</v>
      </c>
      <c r="B49" s="4" t="str">
        <f>Marksheet!A48</f>
        <v>Mayank Chand Ramola</v>
      </c>
    </row>
    <row r="50" spans="1:2" x14ac:dyDescent="0.25">
      <c r="A50" s="4">
        <f>Marksheet!B49</f>
        <v>590026626</v>
      </c>
      <c r="B50" s="4" t="str">
        <f>Marksheet!A49</f>
        <v>Mukesh Patel</v>
      </c>
    </row>
    <row r="51" spans="1:2" x14ac:dyDescent="0.25">
      <c r="A51" s="4">
        <f>Marksheet!B50</f>
        <v>590029310</v>
      </c>
      <c r="B51" s="4" t="str">
        <f>Marksheet!A50</f>
        <v>Nipun Singh</v>
      </c>
    </row>
    <row r="52" spans="1:2" x14ac:dyDescent="0.25">
      <c r="A52" s="4">
        <f>Marksheet!B51</f>
        <v>590029319</v>
      </c>
      <c r="B52" s="4" t="str">
        <f>Marksheet!A51</f>
        <v>Paras Bhall</v>
      </c>
    </row>
    <row r="53" spans="1:2" x14ac:dyDescent="0.25">
      <c r="A53" s="4">
        <f>Marksheet!B52</f>
        <v>590029339</v>
      </c>
      <c r="B53" s="4" t="str">
        <f>Marksheet!A52</f>
        <v>Raghav Kumar Goyal</v>
      </c>
    </row>
    <row r="54" spans="1:2" x14ac:dyDescent="0.25">
      <c r="A54" s="4">
        <f>Marksheet!B53</f>
        <v>590029148</v>
      </c>
      <c r="B54" s="4" t="str">
        <f>Marksheet!A53</f>
        <v>Rahul</v>
      </c>
    </row>
    <row r="55" spans="1:2" x14ac:dyDescent="0.25">
      <c r="A55" s="4">
        <f>Marksheet!B54</f>
        <v>590029309</v>
      </c>
      <c r="B55" s="4" t="str">
        <f>Marksheet!A54</f>
        <v>Rahul Singh</v>
      </c>
    </row>
    <row r="56" spans="1:2" x14ac:dyDescent="0.25">
      <c r="A56" s="4">
        <f>Marksheet!B55</f>
        <v>590028838</v>
      </c>
      <c r="B56" s="4" t="str">
        <f>Marksheet!A55</f>
        <v>Satyam Singh</v>
      </c>
    </row>
    <row r="57" spans="1:2" x14ac:dyDescent="0.25">
      <c r="A57" s="4">
        <f>Marksheet!B56</f>
        <v>590029107</v>
      </c>
      <c r="B57" s="4" t="str">
        <f>Marksheet!A56</f>
        <v>Shashwat Agrawal</v>
      </c>
    </row>
    <row r="58" spans="1:2" x14ac:dyDescent="0.25">
      <c r="A58" s="4">
        <f>Marksheet!B57</f>
        <v>590029266</v>
      </c>
      <c r="B58" s="4" t="str">
        <f>Marksheet!A57</f>
        <v>Siddhant Gurung</v>
      </c>
    </row>
    <row r="59" spans="1:2" x14ac:dyDescent="0.25">
      <c r="A59" s="4">
        <f>Marksheet!B58</f>
        <v>590029354</v>
      </c>
      <c r="B59" s="4" t="str">
        <f>Marksheet!A58</f>
        <v>Simarjot Kaur Gill</v>
      </c>
    </row>
    <row r="60" spans="1:2" x14ac:dyDescent="0.25">
      <c r="A60" s="4">
        <f>Marksheet!B59</f>
        <v>590029349</v>
      </c>
      <c r="B60" s="4" t="str">
        <f>Marksheet!A59</f>
        <v>Tanishq Bansal</v>
      </c>
    </row>
    <row r="61" spans="1:2" x14ac:dyDescent="0.25">
      <c r="A61" s="4">
        <f>Marksheet!B60</f>
        <v>590029302</v>
      </c>
      <c r="B61" s="4" t="str">
        <f>Marksheet!A60</f>
        <v>Tanmay Amit Verma</v>
      </c>
    </row>
    <row r="62" spans="1:2" x14ac:dyDescent="0.25">
      <c r="A62" s="4">
        <f>Marksheet!B61</f>
        <v>590029262</v>
      </c>
      <c r="B62" s="4" t="str">
        <f>Marksheet!A61</f>
        <v>Vandana Yadav</v>
      </c>
    </row>
    <row r="63" spans="1:2" x14ac:dyDescent="0.25">
      <c r="A63" s="4">
        <f>Marksheet!B62</f>
        <v>590029285</v>
      </c>
      <c r="B63" s="4" t="str">
        <f>Marksheet!A62</f>
        <v>Vidit Ahuja</v>
      </c>
    </row>
    <row r="64" spans="1:2" x14ac:dyDescent="0.25">
      <c r="A64" s="4">
        <f>Marksheet!B63</f>
        <v>590029353</v>
      </c>
      <c r="B64" s="4" t="str">
        <f>Marksheet!A63</f>
        <v>Vinit Kumar</v>
      </c>
    </row>
    <row r="65" spans="1:2" x14ac:dyDescent="0.25">
      <c r="A65" s="4">
        <f>Marksheet!B64</f>
        <v>0</v>
      </c>
      <c r="B65" s="4">
        <f>Marksheet!A64</f>
        <v>0</v>
      </c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2</v>
      </c>
      <c r="B1" s="22" t="s">
        <v>138</v>
      </c>
      <c r="C1" s="22" t="s">
        <v>154</v>
      </c>
      <c r="D1" s="22" t="s">
        <v>155</v>
      </c>
      <c r="E1" s="22" t="s">
        <v>156</v>
      </c>
      <c r="F1" s="22" t="s">
        <v>3</v>
      </c>
    </row>
    <row r="2" spans="1:6" x14ac:dyDescent="0.25">
      <c r="A2" s="22">
        <v>590029330</v>
      </c>
      <c r="B2" s="22" t="s">
        <v>74</v>
      </c>
      <c r="C2" s="22" t="s">
        <v>75</v>
      </c>
      <c r="D2" s="22">
        <v>25010104997</v>
      </c>
      <c r="E2" s="22" t="s">
        <v>157</v>
      </c>
      <c r="F2" s="22" t="s">
        <v>158</v>
      </c>
    </row>
    <row r="3" spans="1:6" hidden="1" x14ac:dyDescent="0.25">
      <c r="A3" s="22">
        <v>590029213</v>
      </c>
      <c r="B3" s="22" t="s">
        <v>16</v>
      </c>
      <c r="C3" s="22" t="s">
        <v>17</v>
      </c>
      <c r="D3" s="22">
        <v>122507103</v>
      </c>
      <c r="E3" s="22" t="s">
        <v>157</v>
      </c>
      <c r="F3" s="22" t="s">
        <v>159</v>
      </c>
    </row>
    <row r="4" spans="1:6" x14ac:dyDescent="0.25">
      <c r="A4" s="22">
        <v>590027630</v>
      </c>
      <c r="B4" s="22" t="s">
        <v>76</v>
      </c>
      <c r="C4" s="22" t="s">
        <v>77</v>
      </c>
      <c r="D4" s="22">
        <v>25010105001</v>
      </c>
      <c r="E4" s="22" t="s">
        <v>157</v>
      </c>
      <c r="F4" s="22" t="s">
        <v>158</v>
      </c>
    </row>
    <row r="5" spans="1:6" hidden="1" x14ac:dyDescent="0.25">
      <c r="A5" s="22">
        <v>590029270</v>
      </c>
      <c r="B5" s="22" t="s">
        <v>18</v>
      </c>
      <c r="C5" s="22" t="s">
        <v>19</v>
      </c>
      <c r="D5" s="22">
        <v>25010104938</v>
      </c>
      <c r="E5" s="22" t="s">
        <v>157</v>
      </c>
      <c r="F5" s="22" t="s">
        <v>159</v>
      </c>
    </row>
    <row r="6" spans="1:6" x14ac:dyDescent="0.25">
      <c r="A6" s="22">
        <v>590029219</v>
      </c>
      <c r="B6" s="22" t="s">
        <v>78</v>
      </c>
      <c r="C6" s="22" t="s">
        <v>79</v>
      </c>
      <c r="D6" s="22">
        <v>25010104956</v>
      </c>
      <c r="E6" s="22" t="s">
        <v>157</v>
      </c>
      <c r="F6" s="22" t="s">
        <v>158</v>
      </c>
    </row>
    <row r="7" spans="1:6" hidden="1" x14ac:dyDescent="0.25">
      <c r="A7" s="22">
        <v>590029204</v>
      </c>
      <c r="B7" s="22" t="s">
        <v>20</v>
      </c>
      <c r="C7" s="22" t="s">
        <v>21</v>
      </c>
      <c r="D7" s="22">
        <v>25010104918</v>
      </c>
      <c r="E7" s="22" t="s">
        <v>157</v>
      </c>
      <c r="F7" s="22" t="s">
        <v>159</v>
      </c>
    </row>
    <row r="8" spans="1:6" hidden="1" x14ac:dyDescent="0.25">
      <c r="A8" s="22">
        <v>590029109</v>
      </c>
      <c r="B8" s="22" t="s">
        <v>22</v>
      </c>
      <c r="C8" s="22" t="s">
        <v>23</v>
      </c>
      <c r="D8" s="22">
        <v>25010104943</v>
      </c>
      <c r="E8" s="22" t="s">
        <v>157</v>
      </c>
      <c r="F8" s="22" t="s">
        <v>159</v>
      </c>
    </row>
    <row r="9" spans="1:6" x14ac:dyDescent="0.25">
      <c r="A9" s="22">
        <v>590028933</v>
      </c>
      <c r="B9" s="22" t="s">
        <v>80</v>
      </c>
      <c r="C9" s="22" t="s">
        <v>81</v>
      </c>
      <c r="D9" s="22">
        <v>25010104948</v>
      </c>
      <c r="E9" s="22" t="s">
        <v>157</v>
      </c>
      <c r="F9" s="22" t="s">
        <v>158</v>
      </c>
    </row>
    <row r="10" spans="1:6" hidden="1" x14ac:dyDescent="0.25">
      <c r="A10" s="22">
        <v>590029070</v>
      </c>
      <c r="B10" s="22" t="s">
        <v>24</v>
      </c>
      <c r="C10" s="22" t="s">
        <v>25</v>
      </c>
      <c r="D10" s="22">
        <v>25010104926</v>
      </c>
      <c r="E10" s="22" t="s">
        <v>157</v>
      </c>
      <c r="F10" s="22" t="s">
        <v>159</v>
      </c>
    </row>
    <row r="11" spans="1:6" x14ac:dyDescent="0.25">
      <c r="A11" s="22">
        <v>590027859</v>
      </c>
      <c r="B11" s="22" t="s">
        <v>82</v>
      </c>
      <c r="C11" s="22" t="s">
        <v>83</v>
      </c>
      <c r="D11" s="22">
        <v>25010104974</v>
      </c>
      <c r="E11" s="22" t="s">
        <v>157</v>
      </c>
      <c r="F11" s="22" t="s">
        <v>158</v>
      </c>
    </row>
    <row r="12" spans="1:6" hidden="1" x14ac:dyDescent="0.25">
      <c r="A12" s="22">
        <v>590029157</v>
      </c>
      <c r="B12" s="22" t="s">
        <v>26</v>
      </c>
      <c r="C12" s="22" t="s">
        <v>27</v>
      </c>
      <c r="D12" s="22">
        <v>25010104890</v>
      </c>
      <c r="E12" s="22" t="s">
        <v>157</v>
      </c>
      <c r="F12" s="22" t="s">
        <v>159</v>
      </c>
    </row>
    <row r="13" spans="1:6" hidden="1" x14ac:dyDescent="0.25">
      <c r="A13" s="22">
        <v>590027157</v>
      </c>
      <c r="B13" s="22" t="s">
        <v>28</v>
      </c>
      <c r="C13" s="22" t="s">
        <v>29</v>
      </c>
      <c r="D13" s="22">
        <v>25010104880</v>
      </c>
      <c r="E13" s="22" t="s">
        <v>157</v>
      </c>
      <c r="F13" s="22" t="s">
        <v>159</v>
      </c>
    </row>
    <row r="14" spans="1:6" x14ac:dyDescent="0.25">
      <c r="A14" s="22">
        <v>590028682</v>
      </c>
      <c r="B14" s="22" t="s">
        <v>84</v>
      </c>
      <c r="C14" s="22" t="s">
        <v>85</v>
      </c>
      <c r="D14" s="22">
        <v>25010104995</v>
      </c>
      <c r="E14" s="22" t="s">
        <v>157</v>
      </c>
      <c r="F14" s="22" t="s">
        <v>158</v>
      </c>
    </row>
    <row r="15" spans="1:6" x14ac:dyDescent="0.25">
      <c r="A15" s="22">
        <v>590023917</v>
      </c>
      <c r="B15" s="22" t="s">
        <v>86</v>
      </c>
      <c r="C15" s="22" t="s">
        <v>87</v>
      </c>
      <c r="D15" s="22">
        <v>25010105012</v>
      </c>
      <c r="E15" s="22" t="s">
        <v>157</v>
      </c>
      <c r="F15" s="22" t="s">
        <v>158</v>
      </c>
    </row>
    <row r="16" spans="1:6" x14ac:dyDescent="0.25">
      <c r="A16" s="22">
        <v>590023785</v>
      </c>
      <c r="B16" s="22" t="s">
        <v>88</v>
      </c>
      <c r="C16" s="22" t="s">
        <v>89</v>
      </c>
      <c r="D16" s="22">
        <v>25010104947</v>
      </c>
      <c r="E16" s="22" t="s">
        <v>157</v>
      </c>
      <c r="F16" s="22" t="s">
        <v>158</v>
      </c>
    </row>
    <row r="17" spans="1:6" hidden="1" x14ac:dyDescent="0.25">
      <c r="A17" s="22">
        <v>590029274</v>
      </c>
      <c r="B17" s="22" t="s">
        <v>30</v>
      </c>
      <c r="C17" s="22" t="s">
        <v>31</v>
      </c>
      <c r="D17" s="22">
        <v>25010104928</v>
      </c>
      <c r="E17" s="22" t="s">
        <v>157</v>
      </c>
      <c r="F17" s="22" t="s">
        <v>159</v>
      </c>
    </row>
    <row r="18" spans="1:6" x14ac:dyDescent="0.25">
      <c r="A18" s="22">
        <v>590029264</v>
      </c>
      <c r="B18" s="22" t="s">
        <v>90</v>
      </c>
      <c r="C18" s="22" t="s">
        <v>91</v>
      </c>
      <c r="D18" s="22">
        <v>25010104986</v>
      </c>
      <c r="E18" s="22" t="s">
        <v>157</v>
      </c>
      <c r="F18" s="22" t="s">
        <v>158</v>
      </c>
    </row>
    <row r="19" spans="1:6" x14ac:dyDescent="0.25">
      <c r="A19" s="22">
        <v>590029042</v>
      </c>
      <c r="B19" s="22" t="s">
        <v>92</v>
      </c>
      <c r="C19" s="22" t="s">
        <v>93</v>
      </c>
      <c r="D19" s="22">
        <v>25010104982</v>
      </c>
      <c r="E19" s="22" t="s">
        <v>157</v>
      </c>
      <c r="F19" s="22" t="s">
        <v>158</v>
      </c>
    </row>
    <row r="20" spans="1:6" x14ac:dyDescent="0.25">
      <c r="A20" s="22">
        <v>590029336</v>
      </c>
      <c r="B20" s="22" t="s">
        <v>94</v>
      </c>
      <c r="C20" s="22" t="s">
        <v>95</v>
      </c>
      <c r="D20" s="22">
        <v>25010104998</v>
      </c>
      <c r="E20" s="22" t="s">
        <v>157</v>
      </c>
      <c r="F20" s="22" t="s">
        <v>158</v>
      </c>
    </row>
    <row r="21" spans="1:6" hidden="1" x14ac:dyDescent="0.25">
      <c r="A21" s="22">
        <v>590028572</v>
      </c>
      <c r="B21" s="22" t="s">
        <v>32</v>
      </c>
      <c r="C21" s="22" t="s">
        <v>33</v>
      </c>
      <c r="D21" s="22">
        <v>25010104903</v>
      </c>
      <c r="E21" s="22" t="s">
        <v>157</v>
      </c>
      <c r="F21" s="22" t="s">
        <v>159</v>
      </c>
    </row>
    <row r="22" spans="1:6" hidden="1" x14ac:dyDescent="0.25">
      <c r="A22" s="22">
        <v>590029230</v>
      </c>
      <c r="B22" s="22" t="s">
        <v>34</v>
      </c>
      <c r="C22" s="22" t="s">
        <v>35</v>
      </c>
      <c r="D22" s="22">
        <v>25010104910</v>
      </c>
      <c r="E22" s="22" t="s">
        <v>157</v>
      </c>
      <c r="F22" s="22" t="s">
        <v>159</v>
      </c>
    </row>
    <row r="23" spans="1:6" hidden="1" x14ac:dyDescent="0.25">
      <c r="A23" s="22">
        <v>590029169</v>
      </c>
      <c r="B23" s="22" t="s">
        <v>36</v>
      </c>
      <c r="C23" s="22" t="s">
        <v>37</v>
      </c>
      <c r="D23" s="22">
        <v>25010104944</v>
      </c>
      <c r="E23" s="22" t="s">
        <v>157</v>
      </c>
      <c r="F23" s="22" t="s">
        <v>159</v>
      </c>
    </row>
    <row r="24" spans="1:6" x14ac:dyDescent="0.25">
      <c r="A24" s="22">
        <v>590029233</v>
      </c>
      <c r="B24" s="22" t="s">
        <v>96</v>
      </c>
      <c r="C24" s="22" t="s">
        <v>97</v>
      </c>
      <c r="D24" s="22">
        <v>25010104996</v>
      </c>
      <c r="E24" s="22" t="s">
        <v>157</v>
      </c>
      <c r="F24" s="22" t="s">
        <v>158</v>
      </c>
    </row>
    <row r="25" spans="1:6" hidden="1" x14ac:dyDescent="0.25">
      <c r="A25" s="22">
        <v>590029112</v>
      </c>
      <c r="B25" s="22" t="s">
        <v>38</v>
      </c>
      <c r="C25" s="22" t="s">
        <v>39</v>
      </c>
      <c r="D25" s="22">
        <v>25010104876</v>
      </c>
      <c r="E25" s="22" t="s">
        <v>157</v>
      </c>
      <c r="F25" s="22" t="s">
        <v>159</v>
      </c>
    </row>
    <row r="26" spans="1:6" hidden="1" x14ac:dyDescent="0.25">
      <c r="A26" s="22">
        <v>590025556</v>
      </c>
      <c r="B26" s="22" t="s">
        <v>40</v>
      </c>
      <c r="C26" s="22" t="s">
        <v>41</v>
      </c>
      <c r="D26" s="22">
        <v>122515743</v>
      </c>
      <c r="E26" s="22" t="s">
        <v>157</v>
      </c>
      <c r="F26" s="22" t="s">
        <v>159</v>
      </c>
    </row>
    <row r="27" spans="1:6" hidden="1" x14ac:dyDescent="0.25">
      <c r="A27" s="22">
        <v>590027830</v>
      </c>
      <c r="B27" s="22" t="s">
        <v>42</v>
      </c>
      <c r="C27" s="22" t="s">
        <v>43</v>
      </c>
      <c r="D27" s="22">
        <v>25010104886</v>
      </c>
      <c r="E27" s="22" t="s">
        <v>157</v>
      </c>
      <c r="F27" s="22" t="s">
        <v>159</v>
      </c>
    </row>
    <row r="28" spans="1:6" hidden="1" x14ac:dyDescent="0.25">
      <c r="A28" s="22">
        <v>590028360</v>
      </c>
      <c r="B28" s="22" t="s">
        <v>44</v>
      </c>
      <c r="C28" s="22" t="s">
        <v>45</v>
      </c>
      <c r="D28" s="22">
        <v>25010104881</v>
      </c>
      <c r="E28" s="22" t="s">
        <v>157</v>
      </c>
      <c r="F28" s="22" t="s">
        <v>159</v>
      </c>
    </row>
    <row r="29" spans="1:6" hidden="1" x14ac:dyDescent="0.25">
      <c r="A29" s="22">
        <v>590029237</v>
      </c>
      <c r="B29" s="22" t="s">
        <v>46</v>
      </c>
      <c r="C29" s="22" t="s">
        <v>47</v>
      </c>
      <c r="D29" s="22">
        <v>25010104909</v>
      </c>
      <c r="E29" s="22" t="s">
        <v>157</v>
      </c>
      <c r="F29" s="22" t="s">
        <v>159</v>
      </c>
    </row>
    <row r="30" spans="1:6" x14ac:dyDescent="0.25">
      <c r="A30" s="22">
        <v>590029328</v>
      </c>
      <c r="B30" s="22" t="s">
        <v>98</v>
      </c>
      <c r="C30" s="22" t="s">
        <v>99</v>
      </c>
      <c r="D30" s="22">
        <v>25010105010</v>
      </c>
      <c r="E30" s="22" t="s">
        <v>157</v>
      </c>
      <c r="F30" s="22" t="s">
        <v>158</v>
      </c>
    </row>
    <row r="31" spans="1:6" hidden="1" x14ac:dyDescent="0.25">
      <c r="A31" s="22">
        <v>590029079</v>
      </c>
      <c r="B31" s="22" t="s">
        <v>48</v>
      </c>
      <c r="C31" s="22" t="s">
        <v>49</v>
      </c>
      <c r="D31" s="22">
        <v>25010104906</v>
      </c>
      <c r="E31" s="22" t="s">
        <v>157</v>
      </c>
      <c r="F31" s="22" t="s">
        <v>159</v>
      </c>
    </row>
    <row r="32" spans="1:6" hidden="1" x14ac:dyDescent="0.25">
      <c r="A32" s="22">
        <v>590029145</v>
      </c>
      <c r="B32" s="22" t="s">
        <v>50</v>
      </c>
      <c r="C32" s="22" t="s">
        <v>51</v>
      </c>
      <c r="D32" s="22">
        <v>25010104892</v>
      </c>
      <c r="E32" s="22" t="s">
        <v>157</v>
      </c>
      <c r="F32" s="22" t="s">
        <v>159</v>
      </c>
    </row>
    <row r="33" spans="1:6" hidden="1" x14ac:dyDescent="0.25">
      <c r="A33" s="22">
        <v>590029209</v>
      </c>
      <c r="B33" s="22" t="s">
        <v>52</v>
      </c>
      <c r="C33" s="22" t="s">
        <v>53</v>
      </c>
      <c r="D33" s="22">
        <v>25010104887</v>
      </c>
      <c r="E33" s="22" t="s">
        <v>157</v>
      </c>
      <c r="F33" s="22" t="s">
        <v>159</v>
      </c>
    </row>
    <row r="34" spans="1:6" hidden="1" x14ac:dyDescent="0.25">
      <c r="A34" s="22">
        <v>590027268</v>
      </c>
      <c r="B34" s="22" t="s">
        <v>54</v>
      </c>
      <c r="C34" s="22" t="s">
        <v>55</v>
      </c>
      <c r="D34" s="22">
        <v>25010104933</v>
      </c>
      <c r="E34" s="22" t="s">
        <v>160</v>
      </c>
      <c r="F34" s="22" t="s">
        <v>159</v>
      </c>
    </row>
    <row r="35" spans="1:6" hidden="1" x14ac:dyDescent="0.25">
      <c r="A35" s="22">
        <v>590029227</v>
      </c>
      <c r="B35" s="22" t="s">
        <v>56</v>
      </c>
      <c r="C35" s="22" t="s">
        <v>57</v>
      </c>
      <c r="D35" s="22">
        <v>25010104900</v>
      </c>
      <c r="E35" s="22" t="s">
        <v>157</v>
      </c>
      <c r="F35" s="22" t="s">
        <v>159</v>
      </c>
    </row>
    <row r="36" spans="1:6" hidden="1" x14ac:dyDescent="0.25">
      <c r="A36" s="22">
        <v>590029241</v>
      </c>
      <c r="B36" s="22" t="s">
        <v>58</v>
      </c>
      <c r="C36" s="22" t="s">
        <v>59</v>
      </c>
      <c r="D36" s="22">
        <v>25010104915</v>
      </c>
      <c r="E36" s="22" t="s">
        <v>157</v>
      </c>
      <c r="F36" s="22" t="s">
        <v>159</v>
      </c>
    </row>
    <row r="37" spans="1:6" hidden="1" x14ac:dyDescent="0.25">
      <c r="A37" s="22">
        <v>590023855</v>
      </c>
      <c r="B37" s="22" t="s">
        <v>60</v>
      </c>
      <c r="C37" s="22" t="s">
        <v>61</v>
      </c>
      <c r="D37" s="22">
        <v>25010104868</v>
      </c>
      <c r="E37" s="22" t="s">
        <v>157</v>
      </c>
      <c r="F37" s="22" t="s">
        <v>159</v>
      </c>
    </row>
    <row r="38" spans="1:6" x14ac:dyDescent="0.25">
      <c r="A38" s="22">
        <v>590028608</v>
      </c>
      <c r="B38" s="22" t="s">
        <v>100</v>
      </c>
      <c r="C38" s="22" t="s">
        <v>101</v>
      </c>
      <c r="D38" s="22">
        <v>25010104999</v>
      </c>
      <c r="E38" s="22" t="s">
        <v>157</v>
      </c>
      <c r="F38" s="22" t="s">
        <v>158</v>
      </c>
    </row>
    <row r="39" spans="1:6" hidden="1" x14ac:dyDescent="0.25">
      <c r="A39" s="22">
        <v>590029215</v>
      </c>
      <c r="B39" s="22" t="s">
        <v>62</v>
      </c>
      <c r="C39" s="22" t="s">
        <v>63</v>
      </c>
      <c r="D39" s="22">
        <v>25010104884</v>
      </c>
      <c r="E39" s="22" t="s">
        <v>157</v>
      </c>
      <c r="F39" s="22" t="s">
        <v>159</v>
      </c>
    </row>
    <row r="40" spans="1:6" hidden="1" x14ac:dyDescent="0.25">
      <c r="A40" s="22">
        <v>590029111</v>
      </c>
      <c r="B40" s="22" t="s">
        <v>64</v>
      </c>
      <c r="C40" s="22" t="s">
        <v>65</v>
      </c>
      <c r="D40" s="22">
        <v>25010104888</v>
      </c>
      <c r="E40" s="22" t="s">
        <v>157</v>
      </c>
      <c r="F40" s="22" t="s">
        <v>159</v>
      </c>
    </row>
    <row r="41" spans="1:6" x14ac:dyDescent="0.25">
      <c r="A41" s="22">
        <v>590028605</v>
      </c>
      <c r="B41" s="22" t="s">
        <v>102</v>
      </c>
      <c r="C41" s="22" t="s">
        <v>103</v>
      </c>
      <c r="D41" s="22">
        <v>25010104326</v>
      </c>
      <c r="E41" s="22" t="s">
        <v>157</v>
      </c>
      <c r="F41" s="22" t="s">
        <v>158</v>
      </c>
    </row>
    <row r="42" spans="1:6" hidden="1" x14ac:dyDescent="0.25">
      <c r="A42" s="22">
        <v>590028683</v>
      </c>
      <c r="B42" s="22" t="s">
        <v>66</v>
      </c>
      <c r="C42" s="22" t="s">
        <v>67</v>
      </c>
      <c r="D42" s="22">
        <v>25010104936</v>
      </c>
      <c r="E42" s="22" t="s">
        <v>157</v>
      </c>
      <c r="F42" s="22" t="s">
        <v>159</v>
      </c>
    </row>
    <row r="43" spans="1:6" hidden="1" x14ac:dyDescent="0.25">
      <c r="A43" s="22">
        <v>590029121</v>
      </c>
      <c r="B43" s="22" t="s">
        <v>68</v>
      </c>
      <c r="C43" s="22" t="s">
        <v>69</v>
      </c>
      <c r="D43" s="22">
        <v>25010104875</v>
      </c>
      <c r="E43" s="22" t="s">
        <v>157</v>
      </c>
      <c r="F43" s="22" t="s">
        <v>159</v>
      </c>
    </row>
    <row r="44" spans="1:6" x14ac:dyDescent="0.25">
      <c r="A44" s="22">
        <v>590026626</v>
      </c>
      <c r="B44" s="22" t="s">
        <v>104</v>
      </c>
      <c r="C44" s="22" t="s">
        <v>105</v>
      </c>
      <c r="D44" s="22">
        <v>25010104601</v>
      </c>
      <c r="E44" s="22" t="s">
        <v>157</v>
      </c>
      <c r="F44" s="22" t="s">
        <v>158</v>
      </c>
    </row>
    <row r="45" spans="1:6" x14ac:dyDescent="0.25">
      <c r="A45" s="22">
        <v>590029310</v>
      </c>
      <c r="B45" s="22" t="s">
        <v>106</v>
      </c>
      <c r="C45" s="22" t="s">
        <v>107</v>
      </c>
      <c r="D45" s="22">
        <v>25010104970</v>
      </c>
      <c r="E45" s="22" t="s">
        <v>157</v>
      </c>
      <c r="F45" s="22" t="s">
        <v>158</v>
      </c>
    </row>
    <row r="46" spans="1:6" x14ac:dyDescent="0.25">
      <c r="A46" s="22">
        <v>590029319</v>
      </c>
      <c r="B46" s="22" t="s">
        <v>108</v>
      </c>
      <c r="C46" s="22" t="s">
        <v>109</v>
      </c>
      <c r="D46" s="22">
        <v>25010105008</v>
      </c>
      <c r="E46" s="22" t="s">
        <v>157</v>
      </c>
      <c r="F46" s="22" t="s">
        <v>158</v>
      </c>
    </row>
    <row r="47" spans="1:6" hidden="1" x14ac:dyDescent="0.25">
      <c r="A47" s="22">
        <v>590029048</v>
      </c>
      <c r="B47" s="22" t="s">
        <v>70</v>
      </c>
      <c r="C47" s="22" t="s">
        <v>71</v>
      </c>
      <c r="D47" s="22">
        <v>25010104925</v>
      </c>
      <c r="E47" s="22" t="s">
        <v>157</v>
      </c>
      <c r="F47" s="22" t="s">
        <v>159</v>
      </c>
    </row>
    <row r="48" spans="1:6" hidden="1" x14ac:dyDescent="0.25">
      <c r="A48" s="22">
        <v>590029184</v>
      </c>
      <c r="B48" s="22" t="s">
        <v>72</v>
      </c>
      <c r="C48" s="22" t="s">
        <v>73</v>
      </c>
      <c r="D48" s="22">
        <v>25010104879</v>
      </c>
      <c r="E48" s="22" t="s">
        <v>157</v>
      </c>
      <c r="F48" s="22" t="s">
        <v>159</v>
      </c>
    </row>
    <row r="49" spans="1:6" x14ac:dyDescent="0.25">
      <c r="A49" s="22">
        <v>590029339</v>
      </c>
      <c r="B49" s="22" t="s">
        <v>110</v>
      </c>
      <c r="C49" s="22" t="s">
        <v>111</v>
      </c>
      <c r="D49" s="22">
        <v>25010105011</v>
      </c>
      <c r="E49" s="22" t="s">
        <v>157</v>
      </c>
      <c r="F49" s="22" t="s">
        <v>158</v>
      </c>
    </row>
    <row r="50" spans="1:6" x14ac:dyDescent="0.25">
      <c r="A50" s="22">
        <v>590029148</v>
      </c>
      <c r="B50" s="22" t="s">
        <v>112</v>
      </c>
      <c r="C50" s="22" t="s">
        <v>113</v>
      </c>
      <c r="D50" s="22">
        <v>25010104992</v>
      </c>
      <c r="E50" s="22" t="s">
        <v>157</v>
      </c>
      <c r="F50" s="22" t="s">
        <v>158</v>
      </c>
    </row>
    <row r="51" spans="1:6" x14ac:dyDescent="0.25">
      <c r="A51" s="22">
        <v>590029309</v>
      </c>
      <c r="B51" s="22" t="s">
        <v>114</v>
      </c>
      <c r="C51" s="22" t="s">
        <v>115</v>
      </c>
      <c r="D51" s="22">
        <v>25010104979</v>
      </c>
      <c r="E51" s="22" t="s">
        <v>157</v>
      </c>
      <c r="F51" s="22" t="s">
        <v>158</v>
      </c>
    </row>
    <row r="52" spans="1:6" x14ac:dyDescent="0.25">
      <c r="A52" s="22">
        <v>590028838</v>
      </c>
      <c r="B52" s="22" t="s">
        <v>116</v>
      </c>
      <c r="C52" s="22" t="s">
        <v>117</v>
      </c>
      <c r="D52" s="22">
        <v>25010104945</v>
      </c>
      <c r="E52" s="22" t="s">
        <v>157</v>
      </c>
      <c r="F52" s="22" t="s">
        <v>158</v>
      </c>
    </row>
    <row r="53" spans="1:6" x14ac:dyDescent="0.25">
      <c r="A53" s="22">
        <v>590029107</v>
      </c>
      <c r="B53" s="22" t="s">
        <v>118</v>
      </c>
      <c r="C53" s="22" t="s">
        <v>119</v>
      </c>
      <c r="D53" s="22">
        <v>25010104988</v>
      </c>
      <c r="E53" s="22" t="s">
        <v>157</v>
      </c>
      <c r="F53" s="22" t="s">
        <v>158</v>
      </c>
    </row>
    <row r="54" spans="1:6" x14ac:dyDescent="0.25">
      <c r="A54" s="22">
        <v>590029266</v>
      </c>
      <c r="B54" s="22" t="s">
        <v>120</v>
      </c>
      <c r="C54" s="22" t="s">
        <v>121</v>
      </c>
      <c r="D54" s="22">
        <v>25010104958</v>
      </c>
      <c r="E54" s="22" t="s">
        <v>157</v>
      </c>
      <c r="F54" s="22" t="s">
        <v>158</v>
      </c>
    </row>
    <row r="55" spans="1:6" x14ac:dyDescent="0.25">
      <c r="A55" s="22">
        <v>590029354</v>
      </c>
      <c r="B55" s="22" t="s">
        <v>122</v>
      </c>
      <c r="C55" s="22" t="s">
        <v>123</v>
      </c>
      <c r="D55" s="22">
        <v>25010105018</v>
      </c>
      <c r="E55" s="22" t="s">
        <v>157</v>
      </c>
      <c r="F55" s="22" t="s">
        <v>158</v>
      </c>
    </row>
    <row r="56" spans="1:6" x14ac:dyDescent="0.25">
      <c r="A56" s="22">
        <v>590029349</v>
      </c>
      <c r="B56" s="22" t="s">
        <v>124</v>
      </c>
      <c r="C56" s="22" t="s">
        <v>125</v>
      </c>
      <c r="D56" s="22">
        <v>25010105017</v>
      </c>
      <c r="E56" s="22" t="s">
        <v>157</v>
      </c>
      <c r="F56" s="22" t="s">
        <v>158</v>
      </c>
    </row>
    <row r="57" spans="1:6" x14ac:dyDescent="0.25">
      <c r="A57" s="22">
        <v>590029302</v>
      </c>
      <c r="B57" s="22" t="s">
        <v>126</v>
      </c>
      <c r="C57" s="22" t="s">
        <v>127</v>
      </c>
      <c r="D57" s="22">
        <v>25010104954</v>
      </c>
      <c r="E57" s="22" t="s">
        <v>157</v>
      </c>
      <c r="F57" s="22" t="s">
        <v>158</v>
      </c>
    </row>
    <row r="58" spans="1:6" x14ac:dyDescent="0.25">
      <c r="A58" s="22">
        <v>590029262</v>
      </c>
      <c r="B58" s="22" t="s">
        <v>128</v>
      </c>
      <c r="C58" s="22" t="s">
        <v>129</v>
      </c>
      <c r="D58" s="22">
        <v>25010104987</v>
      </c>
      <c r="E58" s="22" t="s">
        <v>157</v>
      </c>
      <c r="F58" s="22" t="s">
        <v>158</v>
      </c>
    </row>
    <row r="59" spans="1:6" x14ac:dyDescent="0.25">
      <c r="A59" s="22">
        <v>590029285</v>
      </c>
      <c r="B59" s="22" t="s">
        <v>130</v>
      </c>
      <c r="C59" s="22" t="s">
        <v>131</v>
      </c>
      <c r="D59" s="22">
        <v>25010104949</v>
      </c>
      <c r="E59" s="22" t="s">
        <v>157</v>
      </c>
      <c r="F59" s="22" t="s">
        <v>158</v>
      </c>
    </row>
    <row r="60" spans="1:6" x14ac:dyDescent="0.25">
      <c r="A60" s="22">
        <v>590029353</v>
      </c>
      <c r="B60" s="22" t="s">
        <v>132</v>
      </c>
      <c r="C60" s="22" t="s">
        <v>133</v>
      </c>
      <c r="D60" s="22">
        <v>122514758</v>
      </c>
      <c r="E60" s="22" t="s">
        <v>157</v>
      </c>
      <c r="F60" s="22" t="s">
        <v>158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2026-04-20T18:49:58Z</dcterms:modified>
  <cp:category/>
  <cp:contentStatus/>
</cp:coreProperties>
</file>