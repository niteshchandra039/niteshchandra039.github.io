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india01-my.sharepoint.com/personal/nitesh_kumar_ddn_upes_ac_in/Documents/UPES/2026/Jan-May-2026/Physics for Computer Engineers B77 B78/Marks/"/>
    </mc:Choice>
  </mc:AlternateContent>
  <xr:revisionPtr revIDLastSave="3578" documentId="11_3FC952BF37FB7C428065D6D94F732ED04C5A5A3E" xr6:coauthVersionLast="47" xr6:coauthVersionMax="47" xr10:uidLastSave="{2430891F-A738-483A-AA82-FF0CCB144A0F}"/>
  <bookViews>
    <workbookView xWindow="-120" yWindow="-120" windowWidth="20730" windowHeight="11040" tabRatio="553" xr2:uid="{00000000-000D-0000-FFFF-FFFF00000000}"/>
  </bookViews>
  <sheets>
    <sheet name="Marksheet" sheetId="2" r:id="rId1"/>
    <sheet name="Quiz 1" sheetId="13" r:id="rId2"/>
    <sheet name="Class Test 1" sheetId="7" r:id="rId3"/>
    <sheet name="Mid Sem" sheetId="5" r:id="rId4"/>
    <sheet name="End Sem" sheetId="4" r:id="rId5"/>
    <sheet name="Quiz 2" sheetId="14" r:id="rId6"/>
    <sheet name="Assignment 1" sheetId="6" r:id="rId7"/>
    <sheet name="Assignment 2" sheetId="9" r:id="rId8"/>
    <sheet name="Class Test 2" sheetId="8" r:id="rId9"/>
    <sheet name="Remedial Class" sheetId="15" r:id="rId10"/>
    <sheet name="Sheet2" sheetId="11" state="hidden" r:id="rId11"/>
    <sheet name="Sheet3" sheetId="12" state="hidden" r:id="rId12"/>
  </sheets>
  <definedNames>
    <definedName name="_xlnm._FilterDatabase" localSheetId="8" hidden="1">'Class Test 2'!$A$4:$B$64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8" l="1"/>
  <c r="O8" i="8"/>
  <c r="O9" i="8"/>
  <c r="O10" i="8"/>
  <c r="I9" i="2" s="1"/>
  <c r="O11" i="8"/>
  <c r="I10" i="2" s="1"/>
  <c r="O12" i="8"/>
  <c r="I11" i="2" s="1"/>
  <c r="O13" i="8"/>
  <c r="I12" i="2" s="1"/>
  <c r="O14" i="8"/>
  <c r="I13" i="2" s="1"/>
  <c r="O15" i="8"/>
  <c r="I14" i="2" s="1"/>
  <c r="O16" i="8"/>
  <c r="I15" i="2" s="1"/>
  <c r="O17" i="8"/>
  <c r="I16" i="2" s="1"/>
  <c r="O18" i="8"/>
  <c r="I17" i="2" s="1"/>
  <c r="O19" i="8"/>
  <c r="I18" i="2" s="1"/>
  <c r="O20" i="8"/>
  <c r="I19" i="2" s="1"/>
  <c r="O21" i="8"/>
  <c r="I20" i="2" s="1"/>
  <c r="O22" i="8"/>
  <c r="I21" i="2" s="1"/>
  <c r="O23" i="8"/>
  <c r="I22" i="2" s="1"/>
  <c r="O24" i="8"/>
  <c r="I23" i="2" s="1"/>
  <c r="O25" i="8"/>
  <c r="I24" i="2" s="1"/>
  <c r="O26" i="8"/>
  <c r="I25" i="2" s="1"/>
  <c r="O27" i="8"/>
  <c r="I26" i="2" s="1"/>
  <c r="O28" i="8"/>
  <c r="I27" i="2" s="1"/>
  <c r="O29" i="8"/>
  <c r="I28" i="2" s="1"/>
  <c r="O30" i="8"/>
  <c r="I29" i="2" s="1"/>
  <c r="O31" i="8"/>
  <c r="O32" i="8"/>
  <c r="O33" i="8"/>
  <c r="I32" i="2" s="1"/>
  <c r="O34" i="8"/>
  <c r="I33" i="2" s="1"/>
  <c r="O35" i="8"/>
  <c r="I34" i="2" s="1"/>
  <c r="O36" i="8"/>
  <c r="I35" i="2" s="1"/>
  <c r="O37" i="8"/>
  <c r="I36" i="2" s="1"/>
  <c r="O38" i="8"/>
  <c r="I37" i="2" s="1"/>
  <c r="O39" i="8"/>
  <c r="I38" i="2" s="1"/>
  <c r="O40" i="8"/>
  <c r="I39" i="2" s="1"/>
  <c r="O41" i="8"/>
  <c r="I40" i="2" s="1"/>
  <c r="O42" i="8"/>
  <c r="I41" i="2" s="1"/>
  <c r="O43" i="8"/>
  <c r="O44" i="8"/>
  <c r="I43" i="2" s="1"/>
  <c r="O45" i="8"/>
  <c r="O46" i="8"/>
  <c r="I45" i="2" s="1"/>
  <c r="O47" i="8"/>
  <c r="I46" i="2" s="1"/>
  <c r="O48" i="8"/>
  <c r="I47" i="2" s="1"/>
  <c r="O49" i="8"/>
  <c r="I48" i="2" s="1"/>
  <c r="O50" i="8"/>
  <c r="I49" i="2" s="1"/>
  <c r="O51" i="8"/>
  <c r="I50" i="2" s="1"/>
  <c r="O52" i="8"/>
  <c r="I51" i="2" s="1"/>
  <c r="O53" i="8"/>
  <c r="I52" i="2" s="1"/>
  <c r="O54" i="8"/>
  <c r="I53" i="2" s="1"/>
  <c r="O55" i="8"/>
  <c r="O56" i="8"/>
  <c r="O57" i="8"/>
  <c r="I56" i="2" s="1"/>
  <c r="O58" i="8"/>
  <c r="I57" i="2" s="1"/>
  <c r="O59" i="8"/>
  <c r="I58" i="2" s="1"/>
  <c r="O60" i="8"/>
  <c r="I59" i="2" s="1"/>
  <c r="O61" i="8"/>
  <c r="I60" i="2" s="1"/>
  <c r="O62" i="8"/>
  <c r="I61" i="2" s="1"/>
  <c r="O63" i="8"/>
  <c r="I62" i="2" s="1"/>
  <c r="O64" i="8"/>
  <c r="I63" i="2" s="1"/>
  <c r="O6" i="8"/>
  <c r="I5" i="2"/>
  <c r="I6" i="2"/>
  <c r="I7" i="2"/>
  <c r="I8" i="2"/>
  <c r="I30" i="2"/>
  <c r="I31" i="2"/>
  <c r="I42" i="2"/>
  <c r="I44" i="2"/>
  <c r="I54" i="2"/>
  <c r="I5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4" i="2"/>
  <c r="S6" i="8"/>
  <c r="T6" i="8"/>
  <c r="U6" i="8"/>
  <c r="S7" i="8"/>
  <c r="T7" i="8"/>
  <c r="U7" i="8"/>
  <c r="S8" i="8"/>
  <c r="T8" i="8"/>
  <c r="U8" i="8"/>
  <c r="S9" i="8"/>
  <c r="T9" i="8"/>
  <c r="U9" i="8"/>
  <c r="S10" i="8"/>
  <c r="T10" i="8"/>
  <c r="U10" i="8"/>
  <c r="S11" i="8"/>
  <c r="T11" i="8"/>
  <c r="U11" i="8"/>
  <c r="S12" i="8"/>
  <c r="T12" i="8"/>
  <c r="U12" i="8"/>
  <c r="S13" i="8"/>
  <c r="T13" i="8"/>
  <c r="U13" i="8"/>
  <c r="S14" i="8"/>
  <c r="T14" i="8"/>
  <c r="U14" i="8"/>
  <c r="S15" i="8"/>
  <c r="T15" i="8"/>
  <c r="U15" i="8"/>
  <c r="S16" i="8"/>
  <c r="T16" i="8"/>
  <c r="U16" i="8"/>
  <c r="S17" i="8"/>
  <c r="T17" i="8"/>
  <c r="U17" i="8"/>
  <c r="S18" i="8"/>
  <c r="T18" i="8"/>
  <c r="U18" i="8"/>
  <c r="S19" i="8"/>
  <c r="T19" i="8"/>
  <c r="U19" i="8"/>
  <c r="S20" i="8"/>
  <c r="T20" i="8"/>
  <c r="U20" i="8"/>
  <c r="S21" i="8"/>
  <c r="T21" i="8"/>
  <c r="U21" i="8"/>
  <c r="S22" i="8"/>
  <c r="T22" i="8"/>
  <c r="U22" i="8"/>
  <c r="S23" i="8"/>
  <c r="T23" i="8"/>
  <c r="U23" i="8"/>
  <c r="S24" i="8"/>
  <c r="T24" i="8"/>
  <c r="U24" i="8"/>
  <c r="S25" i="8"/>
  <c r="T25" i="8"/>
  <c r="U25" i="8"/>
  <c r="S26" i="8"/>
  <c r="T26" i="8"/>
  <c r="U26" i="8"/>
  <c r="S27" i="8"/>
  <c r="T27" i="8"/>
  <c r="U27" i="8"/>
  <c r="S28" i="8"/>
  <c r="T28" i="8"/>
  <c r="U28" i="8"/>
  <c r="S29" i="8"/>
  <c r="T29" i="8"/>
  <c r="U29" i="8"/>
  <c r="S30" i="8"/>
  <c r="T30" i="8"/>
  <c r="U30" i="8"/>
  <c r="S31" i="8"/>
  <c r="T31" i="8"/>
  <c r="U31" i="8"/>
  <c r="S32" i="8"/>
  <c r="T32" i="8"/>
  <c r="U32" i="8"/>
  <c r="S33" i="8"/>
  <c r="T33" i="8"/>
  <c r="U33" i="8"/>
  <c r="S34" i="8"/>
  <c r="T34" i="8"/>
  <c r="U34" i="8"/>
  <c r="S35" i="8"/>
  <c r="T35" i="8"/>
  <c r="U35" i="8"/>
  <c r="S36" i="8"/>
  <c r="T36" i="8"/>
  <c r="U36" i="8"/>
  <c r="S37" i="8"/>
  <c r="T37" i="8"/>
  <c r="U37" i="8"/>
  <c r="S38" i="8"/>
  <c r="T38" i="8"/>
  <c r="U38" i="8"/>
  <c r="S39" i="8"/>
  <c r="T39" i="8"/>
  <c r="U39" i="8"/>
  <c r="S40" i="8"/>
  <c r="T40" i="8"/>
  <c r="U40" i="8"/>
  <c r="S41" i="8"/>
  <c r="T41" i="8"/>
  <c r="U41" i="8"/>
  <c r="S42" i="8"/>
  <c r="T42" i="8"/>
  <c r="U42" i="8"/>
  <c r="S43" i="8"/>
  <c r="T43" i="8"/>
  <c r="U43" i="8"/>
  <c r="S44" i="8"/>
  <c r="T44" i="8"/>
  <c r="U44" i="8"/>
  <c r="S45" i="8"/>
  <c r="T45" i="8"/>
  <c r="U45" i="8"/>
  <c r="S46" i="8"/>
  <c r="T46" i="8"/>
  <c r="U46" i="8"/>
  <c r="S47" i="8"/>
  <c r="T47" i="8"/>
  <c r="U47" i="8"/>
  <c r="S48" i="8"/>
  <c r="T48" i="8"/>
  <c r="U48" i="8"/>
  <c r="S49" i="8"/>
  <c r="T49" i="8"/>
  <c r="U49" i="8"/>
  <c r="S50" i="8"/>
  <c r="T50" i="8"/>
  <c r="U50" i="8"/>
  <c r="S51" i="8"/>
  <c r="T51" i="8"/>
  <c r="U51" i="8"/>
  <c r="S52" i="8"/>
  <c r="T52" i="8"/>
  <c r="U52" i="8"/>
  <c r="S53" i="8"/>
  <c r="T53" i="8"/>
  <c r="U53" i="8"/>
  <c r="S54" i="8"/>
  <c r="T54" i="8"/>
  <c r="U54" i="8"/>
  <c r="S55" i="8"/>
  <c r="T55" i="8"/>
  <c r="U55" i="8"/>
  <c r="S56" i="8"/>
  <c r="T56" i="8"/>
  <c r="U56" i="8"/>
  <c r="S57" i="8"/>
  <c r="T57" i="8"/>
  <c r="U57" i="8"/>
  <c r="V57" i="8" s="1"/>
  <c r="S58" i="8"/>
  <c r="T58" i="8"/>
  <c r="U58" i="8"/>
  <c r="S59" i="8"/>
  <c r="T59" i="8"/>
  <c r="U59" i="8"/>
  <c r="S60" i="8"/>
  <c r="T60" i="8"/>
  <c r="U60" i="8"/>
  <c r="S61" i="8"/>
  <c r="T61" i="8"/>
  <c r="U61" i="8"/>
  <c r="S62" i="8"/>
  <c r="T62" i="8"/>
  <c r="U62" i="8"/>
  <c r="S63" i="8"/>
  <c r="T63" i="8"/>
  <c r="U63" i="8"/>
  <c r="S64" i="8"/>
  <c r="T64" i="8"/>
  <c r="U64" i="8"/>
  <c r="S65" i="8"/>
  <c r="T65" i="8"/>
  <c r="U65" i="8"/>
  <c r="V65" i="8"/>
  <c r="R6" i="9"/>
  <c r="S6" i="9"/>
  <c r="T6" i="9"/>
  <c r="U6" i="9"/>
  <c r="R7" i="9"/>
  <c r="S7" i="9"/>
  <c r="T7" i="9"/>
  <c r="U7" i="9"/>
  <c r="R8" i="9"/>
  <c r="S8" i="9"/>
  <c r="T8" i="9"/>
  <c r="U8" i="9"/>
  <c r="R9" i="9"/>
  <c r="S9" i="9"/>
  <c r="T9" i="9"/>
  <c r="U9" i="9"/>
  <c r="R10" i="9"/>
  <c r="S10" i="9"/>
  <c r="T10" i="9"/>
  <c r="U10" i="9"/>
  <c r="R11" i="9"/>
  <c r="S11" i="9"/>
  <c r="T11" i="9"/>
  <c r="U11" i="9"/>
  <c r="R12" i="9"/>
  <c r="S12" i="9"/>
  <c r="T12" i="9"/>
  <c r="U12" i="9"/>
  <c r="R13" i="9"/>
  <c r="S13" i="9"/>
  <c r="T13" i="9"/>
  <c r="U13" i="9"/>
  <c r="R14" i="9"/>
  <c r="S14" i="9"/>
  <c r="T14" i="9"/>
  <c r="U14" i="9"/>
  <c r="R15" i="9"/>
  <c r="S15" i="9"/>
  <c r="T15" i="9"/>
  <c r="U15" i="9"/>
  <c r="R16" i="9"/>
  <c r="S16" i="9"/>
  <c r="T16" i="9"/>
  <c r="U16" i="9"/>
  <c r="R17" i="9"/>
  <c r="S17" i="9"/>
  <c r="T17" i="9"/>
  <c r="U17" i="9"/>
  <c r="R18" i="9"/>
  <c r="S18" i="9"/>
  <c r="T18" i="9"/>
  <c r="U18" i="9"/>
  <c r="R19" i="9"/>
  <c r="S19" i="9"/>
  <c r="T19" i="9"/>
  <c r="U19" i="9"/>
  <c r="R20" i="9"/>
  <c r="S20" i="9"/>
  <c r="T20" i="9"/>
  <c r="U20" i="9"/>
  <c r="R21" i="9"/>
  <c r="S21" i="9"/>
  <c r="T21" i="9"/>
  <c r="U21" i="9"/>
  <c r="R22" i="9"/>
  <c r="S22" i="9"/>
  <c r="T22" i="9"/>
  <c r="U22" i="9"/>
  <c r="R23" i="9"/>
  <c r="S23" i="9"/>
  <c r="T23" i="9"/>
  <c r="U23" i="9"/>
  <c r="R24" i="9"/>
  <c r="S24" i="9"/>
  <c r="T24" i="9"/>
  <c r="U24" i="9"/>
  <c r="R25" i="9"/>
  <c r="S25" i="9"/>
  <c r="T25" i="9"/>
  <c r="U25" i="9"/>
  <c r="R26" i="9"/>
  <c r="S26" i="9"/>
  <c r="T26" i="9"/>
  <c r="R27" i="9"/>
  <c r="S27" i="9"/>
  <c r="T27" i="9"/>
  <c r="U27" i="9"/>
  <c r="R28" i="9"/>
  <c r="S28" i="9"/>
  <c r="T28" i="9"/>
  <c r="U28" i="9"/>
  <c r="R29" i="9"/>
  <c r="S29" i="9"/>
  <c r="T29" i="9"/>
  <c r="U29" i="9"/>
  <c r="R30" i="9"/>
  <c r="S30" i="9"/>
  <c r="T30" i="9"/>
  <c r="U30" i="9"/>
  <c r="R31" i="9"/>
  <c r="S31" i="9"/>
  <c r="T31" i="9"/>
  <c r="U31" i="9"/>
  <c r="R32" i="9"/>
  <c r="S32" i="9"/>
  <c r="T32" i="9"/>
  <c r="U32" i="9"/>
  <c r="R33" i="9"/>
  <c r="S33" i="9"/>
  <c r="T33" i="9"/>
  <c r="U33" i="9"/>
  <c r="R34" i="9"/>
  <c r="S34" i="9"/>
  <c r="T34" i="9"/>
  <c r="U34" i="9"/>
  <c r="R35" i="9"/>
  <c r="S35" i="9"/>
  <c r="T35" i="9"/>
  <c r="U35" i="9"/>
  <c r="R36" i="9"/>
  <c r="S36" i="9"/>
  <c r="T36" i="9"/>
  <c r="U36" i="9"/>
  <c r="R37" i="9"/>
  <c r="S37" i="9"/>
  <c r="T37" i="9"/>
  <c r="U37" i="9"/>
  <c r="R38" i="9"/>
  <c r="S38" i="9"/>
  <c r="T38" i="9"/>
  <c r="U38" i="9"/>
  <c r="R39" i="9"/>
  <c r="S39" i="9"/>
  <c r="T39" i="9"/>
  <c r="U39" i="9"/>
  <c r="R40" i="9"/>
  <c r="S40" i="9"/>
  <c r="T40" i="9"/>
  <c r="U40" i="9"/>
  <c r="R41" i="9"/>
  <c r="S41" i="9"/>
  <c r="T41" i="9"/>
  <c r="U41" i="9"/>
  <c r="R42" i="9"/>
  <c r="S42" i="9"/>
  <c r="T42" i="9"/>
  <c r="U42" i="9"/>
  <c r="R43" i="9"/>
  <c r="S43" i="9"/>
  <c r="T43" i="9"/>
  <c r="U43" i="9"/>
  <c r="R44" i="9"/>
  <c r="S44" i="9"/>
  <c r="T44" i="9"/>
  <c r="U44" i="9"/>
  <c r="R45" i="9"/>
  <c r="S45" i="9"/>
  <c r="T45" i="9"/>
  <c r="U45" i="9"/>
  <c r="R46" i="9"/>
  <c r="S46" i="9"/>
  <c r="T46" i="9"/>
  <c r="U46" i="9"/>
  <c r="R47" i="9"/>
  <c r="S47" i="9"/>
  <c r="T47" i="9"/>
  <c r="U47" i="9"/>
  <c r="R48" i="9"/>
  <c r="S48" i="9"/>
  <c r="T48" i="9"/>
  <c r="U48" i="9"/>
  <c r="R49" i="9"/>
  <c r="S49" i="9"/>
  <c r="T49" i="9"/>
  <c r="U49" i="9"/>
  <c r="R50" i="9"/>
  <c r="S50" i="9"/>
  <c r="T50" i="9"/>
  <c r="U50" i="9"/>
  <c r="R51" i="9"/>
  <c r="S51" i="9"/>
  <c r="T51" i="9"/>
  <c r="U51" i="9"/>
  <c r="R52" i="9"/>
  <c r="S52" i="9"/>
  <c r="T52" i="9"/>
  <c r="U52" i="9"/>
  <c r="R53" i="9"/>
  <c r="S53" i="9"/>
  <c r="T53" i="9"/>
  <c r="U53" i="9"/>
  <c r="R54" i="9"/>
  <c r="S54" i="9"/>
  <c r="T54" i="9"/>
  <c r="U54" i="9"/>
  <c r="R55" i="9"/>
  <c r="S55" i="9"/>
  <c r="T55" i="9"/>
  <c r="U55" i="9"/>
  <c r="R56" i="9"/>
  <c r="S56" i="9"/>
  <c r="T56" i="9"/>
  <c r="U56" i="9"/>
  <c r="R57" i="9"/>
  <c r="S57" i="9"/>
  <c r="T57" i="9"/>
  <c r="U57" i="9"/>
  <c r="R58" i="9"/>
  <c r="S58" i="9"/>
  <c r="T58" i="9"/>
  <c r="U58" i="9"/>
  <c r="R59" i="9"/>
  <c r="S59" i="9"/>
  <c r="T59" i="9"/>
  <c r="U59" i="9"/>
  <c r="R60" i="9"/>
  <c r="S60" i="9"/>
  <c r="T60" i="9"/>
  <c r="U60" i="9"/>
  <c r="R61" i="9"/>
  <c r="S61" i="9"/>
  <c r="T61" i="9"/>
  <c r="U61" i="9"/>
  <c r="R62" i="9"/>
  <c r="S62" i="9"/>
  <c r="T62" i="9"/>
  <c r="U62" i="9"/>
  <c r="R63" i="9"/>
  <c r="S63" i="9"/>
  <c r="T63" i="9"/>
  <c r="U63" i="9"/>
  <c r="R64" i="9"/>
  <c r="S64" i="9"/>
  <c r="T64" i="9"/>
  <c r="U64" i="9"/>
  <c r="U5" i="9"/>
  <c r="T5" i="9"/>
  <c r="S5" i="9"/>
  <c r="R5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H25" i="2" s="1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" i="9"/>
  <c r="V7" i="6"/>
  <c r="V8" i="6"/>
  <c r="V9" i="6"/>
  <c r="V10" i="6"/>
  <c r="V11" i="6"/>
  <c r="V12" i="6"/>
  <c r="V13" i="6"/>
  <c r="V14" i="6"/>
  <c r="V15" i="6"/>
  <c r="V16" i="6"/>
  <c r="V18" i="6"/>
  <c r="V19" i="6"/>
  <c r="V20" i="6"/>
  <c r="V21" i="6"/>
  <c r="V22" i="6"/>
  <c r="V23" i="6"/>
  <c r="V24" i="6"/>
  <c r="V25" i="6"/>
  <c r="V26" i="6"/>
  <c r="V27" i="6"/>
  <c r="V28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U7" i="6"/>
  <c r="U8" i="6"/>
  <c r="U9" i="6"/>
  <c r="U10" i="6"/>
  <c r="U11" i="6"/>
  <c r="U12" i="6"/>
  <c r="U13" i="6"/>
  <c r="U14" i="6"/>
  <c r="U15" i="6"/>
  <c r="U16" i="6"/>
  <c r="U18" i="6"/>
  <c r="U19" i="6"/>
  <c r="U20" i="6"/>
  <c r="U21" i="6"/>
  <c r="U22" i="6"/>
  <c r="U23" i="6"/>
  <c r="U24" i="6"/>
  <c r="U25" i="6"/>
  <c r="U26" i="6"/>
  <c r="U27" i="6"/>
  <c r="U28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V6" i="6"/>
  <c r="U6" i="6"/>
  <c r="U5" i="8"/>
  <c r="T5" i="8"/>
  <c r="S5" i="8"/>
  <c r="O5" i="8"/>
  <c r="I4" i="2" s="1"/>
  <c r="G6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5" i="2"/>
  <c r="G4" i="2"/>
  <c r="U26" i="9" l="1"/>
  <c r="V50" i="8"/>
  <c r="V46" i="8"/>
  <c r="V37" i="8"/>
  <c r="V47" i="8"/>
  <c r="V39" i="8"/>
  <c r="V9" i="8"/>
  <c r="V62" i="8"/>
  <c r="V44" i="8"/>
  <c r="V43" i="8"/>
  <c r="V60" i="8"/>
  <c r="V22" i="8"/>
  <c r="V28" i="8"/>
  <c r="V14" i="8"/>
  <c r="V25" i="8"/>
  <c r="V40" i="8"/>
  <c r="V8" i="8"/>
  <c r="V29" i="8"/>
  <c r="V19" i="8"/>
  <c r="V13" i="8"/>
  <c r="V59" i="8"/>
  <c r="V17" i="8"/>
  <c r="V49" i="8"/>
  <c r="V31" i="8"/>
  <c r="V20" i="8"/>
  <c r="V10" i="8"/>
  <c r="V56" i="8"/>
  <c r="V42" i="8"/>
  <c r="V38" i="8"/>
  <c r="V45" i="8"/>
  <c r="V26" i="8"/>
  <c r="V33" i="8"/>
  <c r="V12" i="8"/>
  <c r="V15" i="8"/>
  <c r="V64" i="8"/>
  <c r="V18" i="8"/>
  <c r="V53" i="8"/>
  <c r="V21" i="8"/>
  <c r="V63" i="8"/>
  <c r="V51" i="8"/>
  <c r="V24" i="8"/>
  <c r="V34" i="8"/>
  <c r="V27" i="8"/>
  <c r="V41" i="8"/>
  <c r="V36" i="8"/>
  <c r="V16" i="8"/>
  <c r="V32" i="8"/>
  <c r="V6" i="8"/>
  <c r="V58" i="8"/>
  <c r="V55" i="8"/>
  <c r="V61" i="8"/>
  <c r="V23" i="8"/>
  <c r="V7" i="8"/>
  <c r="V35" i="8"/>
  <c r="V48" i="8"/>
  <c r="V52" i="8"/>
  <c r="V54" i="8"/>
  <c r="V30" i="8"/>
  <c r="V11" i="8"/>
  <c r="V5" i="8"/>
  <c r="S6" i="14" l="1"/>
  <c r="T6" i="14"/>
  <c r="U6" i="14"/>
  <c r="V6" i="14"/>
  <c r="S7" i="14"/>
  <c r="T7" i="14"/>
  <c r="U7" i="14"/>
  <c r="V7" i="14"/>
  <c r="S8" i="14"/>
  <c r="T8" i="14"/>
  <c r="U8" i="14"/>
  <c r="V8" i="14"/>
  <c r="S9" i="14"/>
  <c r="T9" i="14"/>
  <c r="U9" i="14"/>
  <c r="V9" i="14"/>
  <c r="S10" i="14"/>
  <c r="T10" i="14"/>
  <c r="U10" i="14"/>
  <c r="V10" i="14"/>
  <c r="S11" i="14"/>
  <c r="T11" i="14"/>
  <c r="V11" i="14" s="1"/>
  <c r="U11" i="14"/>
  <c r="S12" i="14"/>
  <c r="T12" i="14"/>
  <c r="U12" i="14"/>
  <c r="V12" i="14"/>
  <c r="S13" i="14"/>
  <c r="T13" i="14"/>
  <c r="U13" i="14"/>
  <c r="V13" i="14"/>
  <c r="S14" i="14"/>
  <c r="T14" i="14"/>
  <c r="V14" i="14" s="1"/>
  <c r="U14" i="14"/>
  <c r="S15" i="14"/>
  <c r="T15" i="14"/>
  <c r="U15" i="14"/>
  <c r="V15" i="14"/>
  <c r="S16" i="14"/>
  <c r="T16" i="14"/>
  <c r="U16" i="14"/>
  <c r="V16" i="14"/>
  <c r="S17" i="14"/>
  <c r="T17" i="14"/>
  <c r="U17" i="14"/>
  <c r="S18" i="14"/>
  <c r="T18" i="14"/>
  <c r="U18" i="14"/>
  <c r="V18" i="14"/>
  <c r="S19" i="14"/>
  <c r="T19" i="14"/>
  <c r="U19" i="14"/>
  <c r="V19" i="14"/>
  <c r="S20" i="14"/>
  <c r="T20" i="14"/>
  <c r="U20" i="14"/>
  <c r="V20" i="14"/>
  <c r="S21" i="14"/>
  <c r="T21" i="14"/>
  <c r="V21" i="14" s="1"/>
  <c r="U21" i="14"/>
  <c r="S22" i="14"/>
  <c r="T22" i="14"/>
  <c r="U22" i="14"/>
  <c r="V22" i="14"/>
  <c r="S23" i="14"/>
  <c r="T23" i="14"/>
  <c r="U23" i="14"/>
  <c r="V23" i="14"/>
  <c r="S24" i="14"/>
  <c r="T24" i="14"/>
  <c r="U24" i="14"/>
  <c r="V24" i="14" s="1"/>
  <c r="S25" i="14"/>
  <c r="T25" i="14"/>
  <c r="U25" i="14"/>
  <c r="V25" i="14" s="1"/>
  <c r="S26" i="14"/>
  <c r="T26" i="14"/>
  <c r="U26" i="14"/>
  <c r="V26" i="14"/>
  <c r="S27" i="14"/>
  <c r="T27" i="14"/>
  <c r="U27" i="14"/>
  <c r="S28" i="14"/>
  <c r="T28" i="14"/>
  <c r="U28" i="14"/>
  <c r="V28" i="14"/>
  <c r="S29" i="14"/>
  <c r="T29" i="14"/>
  <c r="U29" i="14"/>
  <c r="V29" i="14"/>
  <c r="S30" i="14"/>
  <c r="T30" i="14"/>
  <c r="V30" i="14" s="1"/>
  <c r="U30" i="14"/>
  <c r="S31" i="14"/>
  <c r="T31" i="14"/>
  <c r="V31" i="14" s="1"/>
  <c r="U31" i="14"/>
  <c r="S32" i="14"/>
  <c r="T32" i="14"/>
  <c r="U32" i="14"/>
  <c r="V32" i="14"/>
  <c r="S33" i="14"/>
  <c r="T33" i="14"/>
  <c r="U33" i="14"/>
  <c r="V33" i="14"/>
  <c r="S34" i="14"/>
  <c r="T34" i="14"/>
  <c r="U34" i="14"/>
  <c r="V34" i="14"/>
  <c r="S35" i="14"/>
  <c r="T35" i="14"/>
  <c r="U35" i="14"/>
  <c r="V35" i="14"/>
  <c r="S36" i="14"/>
  <c r="T36" i="14"/>
  <c r="U36" i="14"/>
  <c r="V36" i="14"/>
  <c r="S37" i="14"/>
  <c r="T37" i="14"/>
  <c r="U37" i="14"/>
  <c r="V37" i="14"/>
  <c r="S38" i="14"/>
  <c r="V38" i="14" s="1"/>
  <c r="T38" i="14"/>
  <c r="U38" i="14"/>
  <c r="S39" i="14"/>
  <c r="V39" i="14" s="1"/>
  <c r="T39" i="14"/>
  <c r="U39" i="14"/>
  <c r="S40" i="14"/>
  <c r="T40" i="14"/>
  <c r="U40" i="14"/>
  <c r="V40" i="14" s="1"/>
  <c r="S41" i="14"/>
  <c r="T41" i="14"/>
  <c r="U41" i="14"/>
  <c r="V41" i="14"/>
  <c r="S42" i="14"/>
  <c r="V42" i="14" s="1"/>
  <c r="T42" i="14"/>
  <c r="U42" i="14"/>
  <c r="S43" i="14"/>
  <c r="V43" i="14" s="1"/>
  <c r="T43" i="14"/>
  <c r="U43" i="14"/>
  <c r="S44" i="14"/>
  <c r="T44" i="14"/>
  <c r="U44" i="14"/>
  <c r="V44" i="14"/>
  <c r="S45" i="14"/>
  <c r="T45" i="14"/>
  <c r="U45" i="14"/>
  <c r="V45" i="14"/>
  <c r="S46" i="14"/>
  <c r="V46" i="14" s="1"/>
  <c r="T46" i="14"/>
  <c r="U46" i="14"/>
  <c r="S47" i="14"/>
  <c r="T47" i="14"/>
  <c r="U47" i="14"/>
  <c r="V47" i="14"/>
  <c r="S48" i="14"/>
  <c r="T48" i="14"/>
  <c r="U48" i="14"/>
  <c r="V48" i="14"/>
  <c r="S49" i="14"/>
  <c r="T49" i="14"/>
  <c r="V49" i="14" s="1"/>
  <c r="U49" i="14"/>
  <c r="S50" i="14"/>
  <c r="V50" i="14" s="1"/>
  <c r="T50" i="14"/>
  <c r="U50" i="14"/>
  <c r="S51" i="14"/>
  <c r="T51" i="14"/>
  <c r="U51" i="14"/>
  <c r="V51" i="14"/>
  <c r="S52" i="14"/>
  <c r="T52" i="14"/>
  <c r="U52" i="14"/>
  <c r="V52" i="14"/>
  <c r="S53" i="14"/>
  <c r="T53" i="14"/>
  <c r="U53" i="14"/>
  <c r="V53" i="14"/>
  <c r="S54" i="14"/>
  <c r="T54" i="14"/>
  <c r="U54" i="14"/>
  <c r="V54" i="14"/>
  <c r="S55" i="14"/>
  <c r="T55" i="14"/>
  <c r="U55" i="14"/>
  <c r="V55" i="14"/>
  <c r="S56" i="14"/>
  <c r="T56" i="14"/>
  <c r="U56" i="14"/>
  <c r="V56" i="14" s="1"/>
  <c r="S57" i="14"/>
  <c r="T57" i="14"/>
  <c r="U57" i="14"/>
  <c r="V57" i="14"/>
  <c r="S58" i="14"/>
  <c r="T58" i="14"/>
  <c r="U58" i="14"/>
  <c r="V58" i="14"/>
  <c r="S59" i="14"/>
  <c r="T59" i="14"/>
  <c r="U59" i="14"/>
  <c r="V59" i="14"/>
  <c r="S60" i="14"/>
  <c r="V60" i="14" s="1"/>
  <c r="T60" i="14"/>
  <c r="U60" i="14"/>
  <c r="S61" i="14"/>
  <c r="T61" i="14"/>
  <c r="U61" i="14"/>
  <c r="V61" i="14"/>
  <c r="S62" i="14"/>
  <c r="T62" i="14"/>
  <c r="V62" i="14" s="1"/>
  <c r="U62" i="14"/>
  <c r="S63" i="14"/>
  <c r="T63" i="14"/>
  <c r="U63" i="14"/>
  <c r="V63" i="14"/>
  <c r="S64" i="14"/>
  <c r="T64" i="14"/>
  <c r="U64" i="14"/>
  <c r="V64" i="14"/>
  <c r="U5" i="14"/>
  <c r="T5" i="14"/>
  <c r="S5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" i="14"/>
  <c r="O5" i="14"/>
  <c r="P68" i="2" a="1"/>
  <c r="P68" i="2" s="1"/>
  <c r="F68" i="2" a="1"/>
  <c r="F68" i="2" s="1"/>
  <c r="G68" i="2" a="1"/>
  <c r="G68" i="2" s="1"/>
  <c r="H68" i="2" a="1"/>
  <c r="H68" i="2" s="1"/>
  <c r="I68" i="2" a="1"/>
  <c r="I68" i="2" s="1"/>
  <c r="K68" i="2" a="1"/>
  <c r="K68" i="2" s="1"/>
  <c r="Q68" i="2" a="1"/>
  <c r="Q68" i="2" s="1"/>
  <c r="D68" i="2" a="1"/>
  <c r="D68" i="2" s="1"/>
  <c r="G67" i="2"/>
  <c r="H67" i="2"/>
  <c r="I67" i="2"/>
  <c r="K67" i="2"/>
  <c r="P67" i="2"/>
  <c r="Q67" i="2"/>
  <c r="S67" i="2"/>
  <c r="G66" i="2"/>
  <c r="H66" i="2"/>
  <c r="I66" i="2"/>
  <c r="K66" i="2"/>
  <c r="P66" i="2"/>
  <c r="Q66" i="2"/>
  <c r="S66" i="2"/>
  <c r="H65" i="2"/>
  <c r="I65" i="2"/>
  <c r="K65" i="2"/>
  <c r="P65" i="2"/>
  <c r="Q65" i="2"/>
  <c r="S65" i="2"/>
  <c r="S7" i="5"/>
  <c r="T7" i="5"/>
  <c r="S8" i="5"/>
  <c r="T8" i="5"/>
  <c r="S9" i="5"/>
  <c r="T9" i="5"/>
  <c r="S10" i="5"/>
  <c r="T10" i="5"/>
  <c r="S11" i="5"/>
  <c r="T11" i="5"/>
  <c r="S12" i="5"/>
  <c r="T12" i="5"/>
  <c r="S13" i="5"/>
  <c r="T13" i="5"/>
  <c r="S14" i="5"/>
  <c r="T14" i="5"/>
  <c r="S15" i="5"/>
  <c r="T15" i="5"/>
  <c r="S16" i="5"/>
  <c r="T16" i="5"/>
  <c r="S17" i="5"/>
  <c r="T17" i="5"/>
  <c r="S18" i="5"/>
  <c r="T18" i="5"/>
  <c r="S19" i="5"/>
  <c r="T19" i="5"/>
  <c r="S20" i="5"/>
  <c r="T20" i="5"/>
  <c r="S21" i="5"/>
  <c r="T21" i="5"/>
  <c r="S22" i="5"/>
  <c r="T22" i="5"/>
  <c r="S23" i="5"/>
  <c r="T23" i="5"/>
  <c r="S24" i="5"/>
  <c r="T24" i="5"/>
  <c r="S25" i="5"/>
  <c r="T25" i="5"/>
  <c r="S26" i="5"/>
  <c r="T26" i="5"/>
  <c r="S27" i="5"/>
  <c r="T27" i="5"/>
  <c r="S28" i="5"/>
  <c r="T28" i="5"/>
  <c r="S29" i="5"/>
  <c r="T29" i="5"/>
  <c r="S30" i="5"/>
  <c r="T30" i="5"/>
  <c r="S31" i="5"/>
  <c r="T31" i="5"/>
  <c r="S32" i="5"/>
  <c r="T32" i="5"/>
  <c r="S33" i="5"/>
  <c r="T33" i="5"/>
  <c r="S34" i="5"/>
  <c r="T34" i="5"/>
  <c r="S35" i="5"/>
  <c r="T35" i="5"/>
  <c r="S36" i="5"/>
  <c r="T36" i="5"/>
  <c r="S37" i="5"/>
  <c r="T37" i="5"/>
  <c r="S38" i="5"/>
  <c r="T38" i="5"/>
  <c r="S39" i="5"/>
  <c r="T39" i="5"/>
  <c r="S40" i="5"/>
  <c r="T40" i="5"/>
  <c r="S41" i="5"/>
  <c r="T41" i="5"/>
  <c r="S42" i="5"/>
  <c r="T42" i="5"/>
  <c r="S43" i="5"/>
  <c r="T43" i="5"/>
  <c r="S44" i="5"/>
  <c r="T44" i="5"/>
  <c r="S45" i="5"/>
  <c r="T45" i="5"/>
  <c r="S46" i="5"/>
  <c r="T46" i="5"/>
  <c r="S47" i="5"/>
  <c r="T47" i="5"/>
  <c r="S48" i="5"/>
  <c r="T48" i="5"/>
  <c r="S49" i="5"/>
  <c r="T49" i="5"/>
  <c r="S50" i="5"/>
  <c r="T50" i="5"/>
  <c r="S51" i="5"/>
  <c r="T51" i="5"/>
  <c r="S52" i="5"/>
  <c r="T52" i="5"/>
  <c r="S53" i="5"/>
  <c r="T53" i="5"/>
  <c r="S54" i="5"/>
  <c r="T54" i="5"/>
  <c r="S55" i="5"/>
  <c r="T55" i="5"/>
  <c r="S56" i="5"/>
  <c r="T56" i="5"/>
  <c r="S57" i="5"/>
  <c r="T57" i="5"/>
  <c r="S58" i="5"/>
  <c r="T58" i="5"/>
  <c r="S59" i="5"/>
  <c r="T59" i="5"/>
  <c r="S60" i="5"/>
  <c r="T60" i="5"/>
  <c r="S61" i="5"/>
  <c r="T61" i="5"/>
  <c r="S62" i="5"/>
  <c r="T62" i="5"/>
  <c r="S63" i="5"/>
  <c r="T63" i="5"/>
  <c r="S64" i="5"/>
  <c r="T64" i="5"/>
  <c r="S65" i="5"/>
  <c r="T65" i="5"/>
  <c r="S6" i="5"/>
  <c r="T6" i="5"/>
  <c r="T5" i="5"/>
  <c r="S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1" i="2" s="1"/>
  <c r="N21" i="2" s="1"/>
  <c r="O23" i="5"/>
  <c r="O22" i="2" s="1"/>
  <c r="N22" i="2" s="1"/>
  <c r="O24" i="5"/>
  <c r="O23" i="2" s="1"/>
  <c r="N23" i="2" s="1"/>
  <c r="O25" i="5"/>
  <c r="O24" i="2" s="1"/>
  <c r="N24" i="2" s="1"/>
  <c r="O26" i="5"/>
  <c r="O25" i="2" s="1"/>
  <c r="N25" i="2" s="1"/>
  <c r="O27" i="5"/>
  <c r="O26" i="2" s="1"/>
  <c r="N26" i="2" s="1"/>
  <c r="O28" i="5"/>
  <c r="O27" i="2" s="1"/>
  <c r="N27" i="2" s="1"/>
  <c r="O29" i="5"/>
  <c r="O28" i="2" s="1"/>
  <c r="N28" i="2" s="1"/>
  <c r="O30" i="5"/>
  <c r="O29" i="2" s="1"/>
  <c r="N29" i="2" s="1"/>
  <c r="O31" i="5"/>
  <c r="O30" i="2" s="1"/>
  <c r="N30" i="2" s="1"/>
  <c r="O32" i="5"/>
  <c r="O31" i="2" s="1"/>
  <c r="N31" i="2" s="1"/>
  <c r="O33" i="5"/>
  <c r="O32" i="2" s="1"/>
  <c r="N32" i="2" s="1"/>
  <c r="O34" i="5"/>
  <c r="O33" i="2" s="1"/>
  <c r="N33" i="2" s="1"/>
  <c r="O35" i="5"/>
  <c r="O34" i="2" s="1"/>
  <c r="N34" i="2" s="1"/>
  <c r="O36" i="5"/>
  <c r="O35" i="2" s="1"/>
  <c r="N35" i="2" s="1"/>
  <c r="O37" i="5"/>
  <c r="O36" i="2" s="1"/>
  <c r="N36" i="2" s="1"/>
  <c r="O38" i="5"/>
  <c r="O37" i="2" s="1"/>
  <c r="N37" i="2" s="1"/>
  <c r="O39" i="5"/>
  <c r="O38" i="2" s="1"/>
  <c r="N38" i="2" s="1"/>
  <c r="O40" i="5"/>
  <c r="O39" i="2" s="1"/>
  <c r="N39" i="2" s="1"/>
  <c r="O41" i="5"/>
  <c r="O40" i="2" s="1"/>
  <c r="N40" i="2" s="1"/>
  <c r="O42" i="5"/>
  <c r="O41" i="2" s="1"/>
  <c r="N41" i="2" s="1"/>
  <c r="O43" i="5"/>
  <c r="O42" i="2" s="1"/>
  <c r="N42" i="2" s="1"/>
  <c r="O44" i="5"/>
  <c r="O43" i="2" s="1"/>
  <c r="N43" i="2" s="1"/>
  <c r="O45" i="5"/>
  <c r="O44" i="2" s="1"/>
  <c r="N44" i="2" s="1"/>
  <c r="O46" i="5"/>
  <c r="O45" i="2" s="1"/>
  <c r="N45" i="2" s="1"/>
  <c r="O47" i="5"/>
  <c r="O46" i="2" s="1"/>
  <c r="N46" i="2" s="1"/>
  <c r="O48" i="5"/>
  <c r="O47" i="2" s="1"/>
  <c r="N47" i="2" s="1"/>
  <c r="O49" i="5"/>
  <c r="O48" i="2" s="1"/>
  <c r="N48" i="2" s="1"/>
  <c r="O50" i="5"/>
  <c r="O49" i="2" s="1"/>
  <c r="N49" i="2" s="1"/>
  <c r="O51" i="5"/>
  <c r="O50" i="2" s="1"/>
  <c r="N50" i="2" s="1"/>
  <c r="O52" i="5"/>
  <c r="O51" i="2" s="1"/>
  <c r="N51" i="2" s="1"/>
  <c r="O53" i="5"/>
  <c r="O52" i="2" s="1"/>
  <c r="N52" i="2" s="1"/>
  <c r="O54" i="5"/>
  <c r="O53" i="2" s="1"/>
  <c r="N53" i="2" s="1"/>
  <c r="O55" i="5"/>
  <c r="O54" i="2" s="1"/>
  <c r="N54" i="2" s="1"/>
  <c r="O56" i="5"/>
  <c r="O55" i="2" s="1"/>
  <c r="N55" i="2" s="1"/>
  <c r="O57" i="5"/>
  <c r="O56" i="2" s="1"/>
  <c r="N56" i="2" s="1"/>
  <c r="O58" i="5"/>
  <c r="O57" i="2" s="1"/>
  <c r="N57" i="2" s="1"/>
  <c r="O59" i="5"/>
  <c r="O58" i="2" s="1"/>
  <c r="N58" i="2" s="1"/>
  <c r="O60" i="5"/>
  <c r="O59" i="2" s="1"/>
  <c r="N59" i="2" s="1"/>
  <c r="O61" i="5"/>
  <c r="O60" i="2" s="1"/>
  <c r="N60" i="2" s="1"/>
  <c r="O62" i="5"/>
  <c r="O61" i="2" s="1"/>
  <c r="N61" i="2" s="1"/>
  <c r="O63" i="5"/>
  <c r="O62" i="2" s="1"/>
  <c r="N62" i="2" s="1"/>
  <c r="O64" i="5"/>
  <c r="O63" i="2" s="1"/>
  <c r="N63" i="2" s="1"/>
  <c r="O65" i="5"/>
  <c r="O5" i="5"/>
  <c r="D6" i="2"/>
  <c r="D7" i="2"/>
  <c r="D8" i="2"/>
  <c r="D9" i="2"/>
  <c r="D66" i="2" s="1"/>
  <c r="D10" i="2"/>
  <c r="D11" i="2"/>
  <c r="J11" i="2" s="1"/>
  <c r="L11" i="2" s="1"/>
  <c r="M11" i="2" s="1"/>
  <c r="D12" i="2"/>
  <c r="D13" i="2"/>
  <c r="J13" i="2" s="1"/>
  <c r="L13" i="2" s="1"/>
  <c r="M13" i="2" s="1"/>
  <c r="D14" i="2"/>
  <c r="D15" i="2"/>
  <c r="J15" i="2" s="1"/>
  <c r="L15" i="2" s="1"/>
  <c r="M15" i="2" s="1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J38" i="2" s="1"/>
  <c r="L38" i="2" s="1"/>
  <c r="M38" i="2" s="1"/>
  <c r="D39" i="2"/>
  <c r="D40" i="2"/>
  <c r="J40" i="2" s="1"/>
  <c r="L40" i="2" s="1"/>
  <c r="M40" i="2" s="1"/>
  <c r="D41" i="2"/>
  <c r="D42" i="2"/>
  <c r="D43" i="2"/>
  <c r="D44" i="2"/>
  <c r="D45" i="2"/>
  <c r="D46" i="2"/>
  <c r="D47" i="2"/>
  <c r="J47" i="2" s="1"/>
  <c r="L47" i="2" s="1"/>
  <c r="M47" i="2" s="1"/>
  <c r="D48" i="2"/>
  <c r="D49" i="2"/>
  <c r="D50" i="2"/>
  <c r="J50" i="2" s="1"/>
  <c r="L50" i="2" s="1"/>
  <c r="M50" i="2" s="1"/>
  <c r="D51" i="2"/>
  <c r="J51" i="2" s="1"/>
  <c r="L51" i="2" s="1"/>
  <c r="M51" i="2" s="1"/>
  <c r="D52" i="2"/>
  <c r="D53" i="2"/>
  <c r="D54" i="2"/>
  <c r="D55" i="2"/>
  <c r="D56" i="2"/>
  <c r="D57" i="2"/>
  <c r="D58" i="2"/>
  <c r="D59" i="2"/>
  <c r="D60" i="2"/>
  <c r="D61" i="2"/>
  <c r="D62" i="2"/>
  <c r="D63" i="2"/>
  <c r="D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5" i="2"/>
  <c r="J10" i="2"/>
  <c r="L10" i="2" s="1"/>
  <c r="M10" i="2" s="1"/>
  <c r="J18" i="2"/>
  <c r="L18" i="2" s="1"/>
  <c r="M18" i="2" s="1"/>
  <c r="J19" i="2"/>
  <c r="L19" i="2" s="1"/>
  <c r="M19" i="2" s="1"/>
  <c r="J20" i="2"/>
  <c r="L20" i="2" s="1"/>
  <c r="M20" i="2" s="1"/>
  <c r="J32" i="2"/>
  <c r="L32" i="2" s="1"/>
  <c r="M32" i="2" s="1"/>
  <c r="J36" i="2"/>
  <c r="L36" i="2" s="1"/>
  <c r="M36" i="2" s="1"/>
  <c r="N4" i="2"/>
  <c r="F7" i="2"/>
  <c r="J7" i="2" s="1"/>
  <c r="L7" i="2" s="1"/>
  <c r="M7" i="2" s="1"/>
  <c r="F9" i="2"/>
  <c r="F10" i="2"/>
  <c r="F11" i="2"/>
  <c r="F12" i="2"/>
  <c r="F13" i="2"/>
  <c r="F14" i="2"/>
  <c r="F15" i="2"/>
  <c r="F16" i="2"/>
  <c r="F17" i="2"/>
  <c r="J17" i="2" s="1"/>
  <c r="L17" i="2" s="1"/>
  <c r="M17" i="2" s="1"/>
  <c r="F18" i="2"/>
  <c r="F19" i="2"/>
  <c r="F20" i="2"/>
  <c r="F22" i="2"/>
  <c r="J22" i="2" s="1"/>
  <c r="L22" i="2" s="1"/>
  <c r="M22" i="2" s="1"/>
  <c r="F24" i="2"/>
  <c r="F25" i="2"/>
  <c r="F28" i="2"/>
  <c r="F32" i="2"/>
  <c r="F35" i="2"/>
  <c r="J35" i="2" s="1"/>
  <c r="L35" i="2" s="1"/>
  <c r="M35" i="2" s="1"/>
  <c r="F36" i="2"/>
  <c r="F37" i="2"/>
  <c r="F38" i="2"/>
  <c r="F40" i="2"/>
  <c r="F41" i="2"/>
  <c r="J41" i="2" s="1"/>
  <c r="L41" i="2" s="1"/>
  <c r="M41" i="2" s="1"/>
  <c r="F47" i="2"/>
  <c r="F49" i="2"/>
  <c r="F50" i="2"/>
  <c r="F51" i="2"/>
  <c r="F52" i="2"/>
  <c r="F53" i="2"/>
  <c r="J53" i="2" s="1"/>
  <c r="L53" i="2" s="1"/>
  <c r="M53" i="2" s="1"/>
  <c r="F54" i="2"/>
  <c r="J54" i="2" s="1"/>
  <c r="L54" i="2" s="1"/>
  <c r="M54" i="2" s="1"/>
  <c r="F57" i="2"/>
  <c r="J57" i="2" s="1"/>
  <c r="L57" i="2" s="1"/>
  <c r="M57" i="2" s="1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5" i="2"/>
  <c r="J5" i="2" s="1"/>
  <c r="L5" i="2" s="1"/>
  <c r="R15" i="6"/>
  <c r="S15" i="6"/>
  <c r="T15" i="6"/>
  <c r="R16" i="6"/>
  <c r="S16" i="6"/>
  <c r="T16" i="6"/>
  <c r="R17" i="6"/>
  <c r="U17" i="6" s="1"/>
  <c r="S17" i="6"/>
  <c r="V17" i="6" s="1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T23" i="6" s="1"/>
  <c r="S23" i="6"/>
  <c r="R24" i="6"/>
  <c r="S24" i="6"/>
  <c r="T24" i="6"/>
  <c r="R25" i="6"/>
  <c r="S25" i="6"/>
  <c r="T25" i="6"/>
  <c r="R26" i="6"/>
  <c r="S26" i="6"/>
  <c r="T26" i="6"/>
  <c r="R27" i="6"/>
  <c r="T27" i="6" s="1"/>
  <c r="S27" i="6"/>
  <c r="R28" i="6"/>
  <c r="S28" i="6"/>
  <c r="T28" i="6"/>
  <c r="R29" i="6"/>
  <c r="U29" i="6" s="1"/>
  <c r="S29" i="6"/>
  <c r="V29" i="6" s="1"/>
  <c r="R30" i="6"/>
  <c r="U30" i="6" s="1"/>
  <c r="S30" i="6"/>
  <c r="V30" i="6" s="1"/>
  <c r="R31" i="6"/>
  <c r="T31" i="6" s="1"/>
  <c r="S31" i="6"/>
  <c r="R32" i="6"/>
  <c r="S32" i="6"/>
  <c r="T32" i="6"/>
  <c r="R33" i="6"/>
  <c r="S33" i="6"/>
  <c r="T33" i="6"/>
  <c r="R34" i="6"/>
  <c r="S34" i="6"/>
  <c r="T34" i="6"/>
  <c r="R35" i="6"/>
  <c r="T35" i="6" s="1"/>
  <c r="S35" i="6"/>
  <c r="R36" i="6"/>
  <c r="S36" i="6"/>
  <c r="T36" i="6"/>
  <c r="R37" i="6"/>
  <c r="S37" i="6"/>
  <c r="T37" i="6"/>
  <c r="R38" i="6"/>
  <c r="S38" i="6"/>
  <c r="T38" i="6"/>
  <c r="R39" i="6"/>
  <c r="T39" i="6" s="1"/>
  <c r="S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U45" i="6" s="1"/>
  <c r="S45" i="6"/>
  <c r="V45" i="6" s="1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T56" i="6" s="1"/>
  <c r="S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E28" i="2" s="1"/>
  <c r="N30" i="6"/>
  <c r="E29" i="2" s="1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E44" i="2" s="1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T6" i="6"/>
  <c r="T7" i="6"/>
  <c r="T8" i="6"/>
  <c r="T9" i="6"/>
  <c r="T10" i="6"/>
  <c r="T11" i="6"/>
  <c r="T12" i="6"/>
  <c r="T13" i="6"/>
  <c r="T14" i="6"/>
  <c r="S6" i="6"/>
  <c r="S7" i="6"/>
  <c r="S8" i="6"/>
  <c r="S9" i="6"/>
  <c r="S10" i="6"/>
  <c r="S11" i="6"/>
  <c r="S12" i="6"/>
  <c r="S13" i="6"/>
  <c r="S14" i="6"/>
  <c r="R6" i="6"/>
  <c r="R7" i="6"/>
  <c r="R8" i="6"/>
  <c r="R9" i="6"/>
  <c r="R10" i="6"/>
  <c r="R11" i="6"/>
  <c r="R12" i="6"/>
  <c r="R13" i="6"/>
  <c r="R14" i="6"/>
  <c r="N6" i="6"/>
  <c r="N7" i="6"/>
  <c r="N8" i="6"/>
  <c r="N9" i="6"/>
  <c r="N10" i="6"/>
  <c r="N11" i="6"/>
  <c r="N12" i="6"/>
  <c r="N13" i="6"/>
  <c r="N14" i="6"/>
  <c r="T7" i="7"/>
  <c r="U7" i="7"/>
  <c r="V7" i="7" s="1"/>
  <c r="T8" i="7"/>
  <c r="U8" i="7"/>
  <c r="T9" i="7"/>
  <c r="U9" i="7"/>
  <c r="V9" i="7"/>
  <c r="T10" i="7"/>
  <c r="U10" i="7"/>
  <c r="V10" i="7"/>
  <c r="T11" i="7"/>
  <c r="U11" i="7"/>
  <c r="T12" i="7"/>
  <c r="U12" i="7"/>
  <c r="T13" i="7"/>
  <c r="U13" i="7"/>
  <c r="T14" i="7"/>
  <c r="U14" i="7"/>
  <c r="V14" i="7"/>
  <c r="T15" i="7"/>
  <c r="U15" i="7"/>
  <c r="V15" i="7"/>
  <c r="T16" i="7"/>
  <c r="U16" i="7"/>
  <c r="T17" i="7"/>
  <c r="U17" i="7"/>
  <c r="T18" i="7"/>
  <c r="U18" i="7"/>
  <c r="V18" i="7"/>
  <c r="T19" i="7"/>
  <c r="U19" i="7"/>
  <c r="T20" i="7"/>
  <c r="U20" i="7"/>
  <c r="T21" i="7"/>
  <c r="U21" i="7"/>
  <c r="T22" i="7"/>
  <c r="U22" i="7"/>
  <c r="T23" i="7"/>
  <c r="U23" i="7"/>
  <c r="T24" i="7"/>
  <c r="U24" i="7"/>
  <c r="T25" i="7"/>
  <c r="U25" i="7"/>
  <c r="V25" i="7"/>
  <c r="T26" i="7"/>
  <c r="U26" i="7"/>
  <c r="T27" i="7"/>
  <c r="U27" i="7"/>
  <c r="T28" i="7"/>
  <c r="U28" i="7"/>
  <c r="T29" i="7"/>
  <c r="U29" i="7"/>
  <c r="T30" i="7"/>
  <c r="U30" i="7"/>
  <c r="T31" i="7"/>
  <c r="U31" i="7"/>
  <c r="T32" i="7"/>
  <c r="U32" i="7"/>
  <c r="T33" i="7"/>
  <c r="U33" i="7"/>
  <c r="V33" i="7"/>
  <c r="T34" i="7"/>
  <c r="U34" i="7"/>
  <c r="V34" i="7"/>
  <c r="T35" i="7"/>
  <c r="U35" i="7"/>
  <c r="T36" i="7"/>
  <c r="U36" i="7"/>
  <c r="T37" i="7"/>
  <c r="V37" i="7" s="1"/>
  <c r="U37" i="7"/>
  <c r="T38" i="7"/>
  <c r="U38" i="7"/>
  <c r="T39" i="7"/>
  <c r="U39" i="7"/>
  <c r="V39" i="7"/>
  <c r="T40" i="7"/>
  <c r="U40" i="7"/>
  <c r="T41" i="7"/>
  <c r="U41" i="7"/>
  <c r="T42" i="7"/>
  <c r="U42" i="7"/>
  <c r="T43" i="7"/>
  <c r="U43" i="7"/>
  <c r="V43" i="7" s="1"/>
  <c r="T44" i="7"/>
  <c r="U44" i="7"/>
  <c r="T45" i="7"/>
  <c r="U45" i="7"/>
  <c r="T46" i="7"/>
  <c r="U46" i="7"/>
  <c r="T47" i="7"/>
  <c r="U47" i="7"/>
  <c r="T48" i="7"/>
  <c r="U48" i="7"/>
  <c r="T49" i="7"/>
  <c r="U49" i="7"/>
  <c r="T50" i="7"/>
  <c r="U50" i="7"/>
  <c r="V50" i="7"/>
  <c r="T51" i="7"/>
  <c r="U51" i="7"/>
  <c r="T52" i="7"/>
  <c r="U52" i="7"/>
  <c r="T53" i="7"/>
  <c r="U53" i="7"/>
  <c r="T54" i="7"/>
  <c r="U54" i="7"/>
  <c r="T55" i="7"/>
  <c r="U55" i="7"/>
  <c r="V55" i="7"/>
  <c r="T56" i="7"/>
  <c r="U56" i="7"/>
  <c r="T57" i="7"/>
  <c r="U57" i="7"/>
  <c r="T58" i="7"/>
  <c r="U58" i="7"/>
  <c r="T59" i="7"/>
  <c r="U59" i="7"/>
  <c r="V59" i="7"/>
  <c r="T60" i="7"/>
  <c r="U60" i="7"/>
  <c r="T61" i="7"/>
  <c r="U61" i="7"/>
  <c r="T62" i="7"/>
  <c r="U62" i="7"/>
  <c r="T63" i="7"/>
  <c r="U63" i="7"/>
  <c r="T64" i="7"/>
  <c r="U64" i="7"/>
  <c r="T6" i="7"/>
  <c r="U6" i="7"/>
  <c r="V6" i="7"/>
  <c r="P7" i="7"/>
  <c r="F6" i="2" s="1"/>
  <c r="J6" i="2" s="1"/>
  <c r="L6" i="2" s="1"/>
  <c r="M6" i="2" s="1"/>
  <c r="P8" i="7"/>
  <c r="P9" i="7"/>
  <c r="F8" i="2" s="1"/>
  <c r="J8" i="2" s="1"/>
  <c r="L8" i="2" s="1"/>
  <c r="M8" i="2" s="1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F21" i="2" s="1"/>
  <c r="P23" i="7"/>
  <c r="P24" i="7"/>
  <c r="F23" i="2" s="1"/>
  <c r="P25" i="7"/>
  <c r="P26" i="7"/>
  <c r="P27" i="7"/>
  <c r="F26" i="2" s="1"/>
  <c r="P28" i="7"/>
  <c r="F27" i="2" s="1"/>
  <c r="P29" i="7"/>
  <c r="P30" i="7"/>
  <c r="F29" i="2" s="1"/>
  <c r="P31" i="7"/>
  <c r="F30" i="2" s="1"/>
  <c r="J30" i="2" s="1"/>
  <c r="L30" i="2" s="1"/>
  <c r="M30" i="2" s="1"/>
  <c r="P32" i="7"/>
  <c r="F31" i="2" s="1"/>
  <c r="J31" i="2" s="1"/>
  <c r="L31" i="2" s="1"/>
  <c r="M31" i="2" s="1"/>
  <c r="P33" i="7"/>
  <c r="P34" i="7"/>
  <c r="F33" i="2" s="1"/>
  <c r="J33" i="2" s="1"/>
  <c r="L33" i="2" s="1"/>
  <c r="M33" i="2" s="1"/>
  <c r="P35" i="7"/>
  <c r="F34" i="2" s="1"/>
  <c r="J34" i="2" s="1"/>
  <c r="L34" i="2" s="1"/>
  <c r="M34" i="2" s="1"/>
  <c r="P36" i="7"/>
  <c r="P37" i="7"/>
  <c r="P38" i="7"/>
  <c r="P39" i="7"/>
  <c r="P40" i="7"/>
  <c r="F39" i="2" s="1"/>
  <c r="P41" i="7"/>
  <c r="P42" i="7"/>
  <c r="P43" i="7"/>
  <c r="F42" i="2" s="1"/>
  <c r="J42" i="2" s="1"/>
  <c r="L42" i="2" s="1"/>
  <c r="M42" i="2" s="1"/>
  <c r="P44" i="7"/>
  <c r="F43" i="2" s="1"/>
  <c r="J43" i="2" s="1"/>
  <c r="L43" i="2" s="1"/>
  <c r="M43" i="2" s="1"/>
  <c r="P45" i="7"/>
  <c r="F44" i="2" s="1"/>
  <c r="P46" i="7"/>
  <c r="F45" i="2" s="1"/>
  <c r="J45" i="2" s="1"/>
  <c r="L45" i="2" s="1"/>
  <c r="M45" i="2" s="1"/>
  <c r="P47" i="7"/>
  <c r="F46" i="2" s="1"/>
  <c r="J46" i="2" s="1"/>
  <c r="L46" i="2" s="1"/>
  <c r="M46" i="2" s="1"/>
  <c r="P48" i="7"/>
  <c r="P49" i="7"/>
  <c r="F48" i="2" s="1"/>
  <c r="P50" i="7"/>
  <c r="P51" i="7"/>
  <c r="P52" i="7"/>
  <c r="P53" i="7"/>
  <c r="P54" i="7"/>
  <c r="P55" i="7"/>
  <c r="P56" i="7"/>
  <c r="F55" i="2" s="1"/>
  <c r="J55" i="2" s="1"/>
  <c r="L55" i="2" s="1"/>
  <c r="M55" i="2" s="1"/>
  <c r="P57" i="7"/>
  <c r="F56" i="2" s="1"/>
  <c r="J56" i="2" s="1"/>
  <c r="L56" i="2" s="1"/>
  <c r="M56" i="2" s="1"/>
  <c r="P58" i="7"/>
  <c r="P59" i="7"/>
  <c r="F58" i="2" s="1"/>
  <c r="J58" i="2" s="1"/>
  <c r="L58" i="2" s="1"/>
  <c r="M58" i="2" s="1"/>
  <c r="P60" i="7"/>
  <c r="F59" i="2" s="1"/>
  <c r="P61" i="7"/>
  <c r="F60" i="2" s="1"/>
  <c r="P62" i="7"/>
  <c r="F61" i="2" s="1"/>
  <c r="P63" i="7"/>
  <c r="F62" i="2" s="1"/>
  <c r="P64" i="7"/>
  <c r="F63" i="2" s="1"/>
  <c r="P6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U5" i="7"/>
  <c r="T5" i="7"/>
  <c r="O51" i="13"/>
  <c r="S7" i="13"/>
  <c r="T7" i="13"/>
  <c r="S8" i="13"/>
  <c r="T8" i="13"/>
  <c r="S9" i="13"/>
  <c r="T9" i="13"/>
  <c r="U9" i="13"/>
  <c r="S10" i="13"/>
  <c r="U10" i="13" s="1"/>
  <c r="T10" i="13"/>
  <c r="S11" i="13"/>
  <c r="T11" i="13"/>
  <c r="S12" i="13"/>
  <c r="T12" i="13"/>
  <c r="S13" i="13"/>
  <c r="T13" i="13"/>
  <c r="S14" i="13"/>
  <c r="T14" i="13"/>
  <c r="U14" i="13"/>
  <c r="S15" i="13"/>
  <c r="T15" i="13"/>
  <c r="S16" i="13"/>
  <c r="T16" i="13"/>
  <c r="S17" i="13"/>
  <c r="U17" i="13" s="1"/>
  <c r="T17" i="13"/>
  <c r="S18" i="13"/>
  <c r="T18" i="13"/>
  <c r="S19" i="13"/>
  <c r="T19" i="13"/>
  <c r="S20" i="13"/>
  <c r="T20" i="13"/>
  <c r="S21" i="13"/>
  <c r="T21" i="13"/>
  <c r="S22" i="13"/>
  <c r="T22" i="13"/>
  <c r="S23" i="13"/>
  <c r="T23" i="13"/>
  <c r="S24" i="13"/>
  <c r="T24" i="13"/>
  <c r="S25" i="13"/>
  <c r="T25" i="13"/>
  <c r="S26" i="13"/>
  <c r="T26" i="13"/>
  <c r="U26" i="13" s="1"/>
  <c r="S27" i="13"/>
  <c r="T27" i="13"/>
  <c r="S28" i="13"/>
  <c r="T28" i="13"/>
  <c r="S29" i="13"/>
  <c r="T29" i="13"/>
  <c r="S30" i="13"/>
  <c r="T30" i="13"/>
  <c r="S31" i="13"/>
  <c r="T31" i="13"/>
  <c r="S32" i="13"/>
  <c r="T32" i="13"/>
  <c r="S33" i="13"/>
  <c r="T33" i="13"/>
  <c r="S34" i="13"/>
  <c r="T34" i="13"/>
  <c r="S35" i="13"/>
  <c r="T35" i="13"/>
  <c r="S36" i="13"/>
  <c r="T36" i="13"/>
  <c r="S37" i="13"/>
  <c r="T37" i="13"/>
  <c r="S38" i="13"/>
  <c r="T38" i="13"/>
  <c r="S39" i="13"/>
  <c r="T39" i="13"/>
  <c r="S40" i="13"/>
  <c r="T40" i="13"/>
  <c r="S41" i="13"/>
  <c r="T41" i="13"/>
  <c r="S42" i="13"/>
  <c r="T42" i="13"/>
  <c r="U42" i="13" s="1"/>
  <c r="S43" i="13"/>
  <c r="T43" i="13"/>
  <c r="S44" i="13"/>
  <c r="T44" i="13"/>
  <c r="S45" i="13"/>
  <c r="T45" i="13"/>
  <c r="S46" i="13"/>
  <c r="T46" i="13"/>
  <c r="S47" i="13"/>
  <c r="T47" i="13"/>
  <c r="S48" i="13"/>
  <c r="T48" i="13"/>
  <c r="S49" i="13"/>
  <c r="T49" i="13"/>
  <c r="S50" i="13"/>
  <c r="T50" i="13"/>
  <c r="S51" i="13"/>
  <c r="T51" i="13"/>
  <c r="S52" i="13"/>
  <c r="T52" i="13"/>
  <c r="S53" i="13"/>
  <c r="T53" i="13"/>
  <c r="S54" i="13"/>
  <c r="T54" i="13"/>
  <c r="S55" i="13"/>
  <c r="T55" i="13"/>
  <c r="S56" i="13"/>
  <c r="T56" i="13"/>
  <c r="S57" i="13"/>
  <c r="T57" i="13"/>
  <c r="S58" i="13"/>
  <c r="T58" i="13"/>
  <c r="S59" i="13"/>
  <c r="T59" i="13"/>
  <c r="S60" i="13"/>
  <c r="T60" i="13"/>
  <c r="S61" i="13"/>
  <c r="T61" i="13"/>
  <c r="S62" i="13"/>
  <c r="T62" i="13"/>
  <c r="S63" i="13"/>
  <c r="T63" i="13"/>
  <c r="S64" i="13"/>
  <c r="T64" i="13"/>
  <c r="T6" i="13"/>
  <c r="S6" i="13"/>
  <c r="U6" i="13" s="1"/>
  <c r="O7" i="13"/>
  <c r="O8" i="13"/>
  <c r="O9" i="13"/>
  <c r="O10" i="13"/>
  <c r="O11" i="13"/>
  <c r="O12" i="13"/>
  <c r="O13" i="13"/>
  <c r="O14" i="13"/>
  <c r="O16" i="13"/>
  <c r="O17" i="13"/>
  <c r="O20" i="13"/>
  <c r="O21" i="13"/>
  <c r="O23" i="13"/>
  <c r="O24" i="13"/>
  <c r="O25" i="13"/>
  <c r="O26" i="13"/>
  <c r="O27" i="13"/>
  <c r="O28" i="13"/>
  <c r="O30" i="13"/>
  <c r="O31" i="13"/>
  <c r="O32" i="13"/>
  <c r="O33" i="13"/>
  <c r="O34" i="13"/>
  <c r="O35" i="13"/>
  <c r="O36" i="13"/>
  <c r="O37" i="13"/>
  <c r="O38" i="13"/>
  <c r="O39" i="13"/>
  <c r="O40" i="13"/>
  <c r="O42" i="13"/>
  <c r="O45" i="13"/>
  <c r="O46" i="13"/>
  <c r="O47" i="13"/>
  <c r="O48" i="13"/>
  <c r="O49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" i="13"/>
  <c r="S5" i="6"/>
  <c r="R5" i="6"/>
  <c r="T5" i="6"/>
  <c r="N5" i="6"/>
  <c r="T5" i="13"/>
  <c r="S5" i="13"/>
  <c r="O5" i="13"/>
  <c r="J4" i="2"/>
  <c r="L4" i="2" s="1"/>
  <c r="M4" i="2" s="1"/>
  <c r="A2" i="14"/>
  <c r="A2" i="13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B6" i="8"/>
  <c r="A6" i="8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" i="7"/>
  <c r="B65" i="4"/>
  <c r="B66" i="4"/>
  <c r="A65" i="4"/>
  <c r="A66" i="4"/>
  <c r="B7" i="5"/>
  <c r="A7" i="14" s="1"/>
  <c r="B8" i="5"/>
  <c r="B9" i="5"/>
  <c r="A9" i="13" s="1"/>
  <c r="B10" i="5"/>
  <c r="A10" i="14" s="1"/>
  <c r="B11" i="5"/>
  <c r="A11" i="14" s="1"/>
  <c r="B12" i="5"/>
  <c r="A12" i="14" s="1"/>
  <c r="B13" i="5"/>
  <c r="B14" i="5"/>
  <c r="A14" i="13" s="1"/>
  <c r="B15" i="5"/>
  <c r="A15" i="14" s="1"/>
  <c r="B16" i="5"/>
  <c r="A16" i="14" s="1"/>
  <c r="B17" i="5"/>
  <c r="A17" i="14" s="1"/>
  <c r="B18" i="5"/>
  <c r="A18" i="6" s="1"/>
  <c r="B19" i="5"/>
  <c r="A19" i="4" s="1"/>
  <c r="B20" i="5"/>
  <c r="A20" i="9" s="1"/>
  <c r="B21" i="5"/>
  <c r="A21" i="9" s="1"/>
  <c r="B22" i="5"/>
  <c r="A22" i="14" s="1"/>
  <c r="B23" i="5"/>
  <c r="A23" i="14" s="1"/>
  <c r="B24" i="5"/>
  <c r="A24" i="6" s="1"/>
  <c r="B25" i="5"/>
  <c r="A25" i="4" s="1"/>
  <c r="B26" i="5"/>
  <c r="A26" i="9" s="1"/>
  <c r="B27" i="5"/>
  <c r="A27" i="9" s="1"/>
  <c r="B28" i="5"/>
  <c r="A28" i="6" s="1"/>
  <c r="B29" i="5"/>
  <c r="A29" i="14" s="1"/>
  <c r="B30" i="5"/>
  <c r="A30" i="6" s="1"/>
  <c r="B31" i="5"/>
  <c r="A31" i="4" s="1"/>
  <c r="B32" i="5"/>
  <c r="B33" i="5"/>
  <c r="A33" i="9" s="1"/>
  <c r="B34" i="5"/>
  <c r="A34" i="14" s="1"/>
  <c r="B35" i="5"/>
  <c r="A35" i="14" s="1"/>
  <c r="B36" i="5"/>
  <c r="A36" i="6" s="1"/>
  <c r="B37" i="5"/>
  <c r="A37" i="9" s="1"/>
  <c r="B38" i="5"/>
  <c r="A38" i="9" s="1"/>
  <c r="B39" i="5"/>
  <c r="A39" i="9" s="1"/>
  <c r="B40" i="5"/>
  <c r="A40" i="6" s="1"/>
  <c r="B41" i="5"/>
  <c r="A41" i="14" s="1"/>
  <c r="B42" i="5"/>
  <c r="A42" i="6" s="1"/>
  <c r="B43" i="5"/>
  <c r="A43" i="4" s="1"/>
  <c r="B44" i="5"/>
  <c r="A44" i="9" s="1"/>
  <c r="B45" i="5"/>
  <c r="A45" i="9" s="1"/>
  <c r="B46" i="5"/>
  <c r="A46" i="14" s="1"/>
  <c r="B47" i="5"/>
  <c r="A47" i="14" s="1"/>
  <c r="B48" i="5"/>
  <c r="A48" i="4" s="1"/>
  <c r="B49" i="5"/>
  <c r="A49" i="9" s="1"/>
  <c r="B50" i="5"/>
  <c r="A50" i="9" s="1"/>
  <c r="B51" i="5"/>
  <c r="A51" i="9" s="1"/>
  <c r="B52" i="5"/>
  <c r="A52" i="6" s="1"/>
  <c r="B53" i="5"/>
  <c r="A53" i="14" s="1"/>
  <c r="B54" i="5"/>
  <c r="A54" i="6" s="1"/>
  <c r="B55" i="5"/>
  <c r="A55" i="9" s="1"/>
  <c r="B56" i="5"/>
  <c r="A56" i="9" s="1"/>
  <c r="B57" i="5"/>
  <c r="A57" i="9" s="1"/>
  <c r="B58" i="5"/>
  <c r="A58" i="14" s="1"/>
  <c r="B59" i="5"/>
  <c r="A59" i="14" s="1"/>
  <c r="B60" i="5"/>
  <c r="A60" i="4" s="1"/>
  <c r="B61" i="5"/>
  <c r="A61" i="9" s="1"/>
  <c r="B62" i="5"/>
  <c r="A62" i="9" s="1"/>
  <c r="B63" i="5"/>
  <c r="A63" i="9" s="1"/>
  <c r="B64" i="5"/>
  <c r="A64" i="6" s="1"/>
  <c r="B6" i="5"/>
  <c r="A6" i="14" s="1"/>
  <c r="A57" i="5"/>
  <c r="B57" i="14" s="1"/>
  <c r="A58" i="5"/>
  <c r="B58" i="14" s="1"/>
  <c r="A59" i="5"/>
  <c r="B59" i="9" s="1"/>
  <c r="A60" i="5"/>
  <c r="B60" i="9" s="1"/>
  <c r="A61" i="5"/>
  <c r="B61" i="14" s="1"/>
  <c r="A62" i="5"/>
  <c r="B62" i="9" s="1"/>
  <c r="A63" i="5"/>
  <c r="B63" i="6" s="1"/>
  <c r="A64" i="5"/>
  <c r="A56" i="5"/>
  <c r="B56" i="9" s="1"/>
  <c r="A55" i="5"/>
  <c r="B55" i="14" s="1"/>
  <c r="A54" i="5"/>
  <c r="B54" i="9" s="1"/>
  <c r="A53" i="5"/>
  <c r="B53" i="13" s="1"/>
  <c r="A52" i="5"/>
  <c r="B52" i="14" s="1"/>
  <c r="A51" i="5"/>
  <c r="B51" i="6" s="1"/>
  <c r="A50" i="5"/>
  <c r="A49" i="5"/>
  <c r="B49" i="14" s="1"/>
  <c r="A48" i="5"/>
  <c r="B48" i="9" s="1"/>
  <c r="A47" i="5"/>
  <c r="B47" i="13" s="1"/>
  <c r="A46" i="5"/>
  <c r="B46" i="14" s="1"/>
  <c r="A45" i="5"/>
  <c r="B45" i="6" s="1"/>
  <c r="A44" i="5"/>
  <c r="B44" i="9" s="1"/>
  <c r="A43" i="5"/>
  <c r="B43" i="14" s="1"/>
  <c r="A42" i="5"/>
  <c r="B42" i="9" s="1"/>
  <c r="A41" i="5"/>
  <c r="B41" i="13" s="1"/>
  <c r="A40" i="5"/>
  <c r="B40" i="14" s="1"/>
  <c r="A39" i="5"/>
  <c r="B39" i="6" s="1"/>
  <c r="A38" i="5"/>
  <c r="B38" i="6" s="1"/>
  <c r="A37" i="5"/>
  <c r="B37" i="14" s="1"/>
  <c r="A36" i="5"/>
  <c r="B36" i="9" s="1"/>
  <c r="A35" i="5"/>
  <c r="B35" i="13" s="1"/>
  <c r="A34" i="5"/>
  <c r="B34" i="13" s="1"/>
  <c r="A33" i="5"/>
  <c r="A32" i="5"/>
  <c r="B32" i="9" s="1"/>
  <c r="A31" i="5"/>
  <c r="B31" i="14" s="1"/>
  <c r="A30" i="5"/>
  <c r="B30" i="9" s="1"/>
  <c r="A29" i="5"/>
  <c r="B29" i="13" s="1"/>
  <c r="A28" i="5"/>
  <c r="B28" i="14" s="1"/>
  <c r="A27" i="5"/>
  <c r="B27" i="6" s="1"/>
  <c r="A26" i="5"/>
  <c r="B26" i="4" s="1"/>
  <c r="A25" i="5"/>
  <c r="B25" i="14" s="1"/>
  <c r="A24" i="5"/>
  <c r="B24" i="9" s="1"/>
  <c r="A23" i="5"/>
  <c r="B23" i="13" s="1"/>
  <c r="A22" i="5"/>
  <c r="B22" i="14" s="1"/>
  <c r="A21" i="5"/>
  <c r="B21" i="6" s="1"/>
  <c r="A20" i="5"/>
  <c r="B20" i="9" s="1"/>
  <c r="A19" i="5"/>
  <c r="B19" i="14" s="1"/>
  <c r="A18" i="5"/>
  <c r="B18" i="9" s="1"/>
  <c r="A17" i="5"/>
  <c r="B17" i="13" s="1"/>
  <c r="A16" i="5"/>
  <c r="B16" i="14" s="1"/>
  <c r="A15" i="5"/>
  <c r="B15" i="14" s="1"/>
  <c r="A14" i="5"/>
  <c r="A13" i="5"/>
  <c r="B13" i="14" s="1"/>
  <c r="A12" i="5"/>
  <c r="B12" i="14" s="1"/>
  <c r="A11" i="5"/>
  <c r="B11" i="13" s="1"/>
  <c r="A10" i="5"/>
  <c r="B10" i="14" s="1"/>
  <c r="A9" i="5"/>
  <c r="A8" i="5"/>
  <c r="B8" i="14" s="1"/>
  <c r="A7" i="5"/>
  <c r="B7" i="14" s="1"/>
  <c r="A6" i="5"/>
  <c r="B6" i="14" s="1"/>
  <c r="T17" i="6" l="1"/>
  <c r="T29" i="6"/>
  <c r="J28" i="2"/>
  <c r="L28" i="2" s="1"/>
  <c r="M28" i="2" s="1"/>
  <c r="R28" i="2" s="1"/>
  <c r="T30" i="6"/>
  <c r="J29" i="2"/>
  <c r="L29" i="2" s="1"/>
  <c r="M29" i="2" s="1"/>
  <c r="E67" i="2"/>
  <c r="J44" i="2"/>
  <c r="L44" i="2" s="1"/>
  <c r="M44" i="2" s="1"/>
  <c r="T45" i="6"/>
  <c r="E68" i="2" a="1"/>
  <c r="E68" i="2" s="1"/>
  <c r="E66" i="2"/>
  <c r="E65" i="2"/>
  <c r="V17" i="14"/>
  <c r="V27" i="14"/>
  <c r="V5" i="14"/>
  <c r="M5" i="2"/>
  <c r="U55" i="5"/>
  <c r="U43" i="5"/>
  <c r="U24" i="5"/>
  <c r="U50" i="5"/>
  <c r="U20" i="5"/>
  <c r="U8" i="5"/>
  <c r="U60" i="5"/>
  <c r="U52" i="5"/>
  <c r="U59" i="5"/>
  <c r="U19" i="5"/>
  <c r="U64" i="5"/>
  <c r="U48" i="5"/>
  <c r="U46" i="5"/>
  <c r="U34" i="5"/>
  <c r="U28" i="5"/>
  <c r="U7" i="5"/>
  <c r="U39" i="5"/>
  <c r="U38" i="5"/>
  <c r="U15" i="5"/>
  <c r="U22" i="5"/>
  <c r="U12" i="5"/>
  <c r="U56" i="5"/>
  <c r="U51" i="5"/>
  <c r="U32" i="5"/>
  <c r="U47" i="5"/>
  <c r="U42" i="5"/>
  <c r="U26" i="5"/>
  <c r="U11" i="5"/>
  <c r="U54" i="5"/>
  <c r="U45" i="5"/>
  <c r="U40" i="5"/>
  <c r="U35" i="5"/>
  <c r="U30" i="5"/>
  <c r="U49" i="5"/>
  <c r="U58" i="5"/>
  <c r="U16" i="5"/>
  <c r="U63" i="5"/>
  <c r="U53" i="5"/>
  <c r="U44" i="5"/>
  <c r="U62" i="5"/>
  <c r="U10" i="5"/>
  <c r="U14" i="5"/>
  <c r="U23" i="5"/>
  <c r="U18" i="5"/>
  <c r="U27" i="5"/>
  <c r="U36" i="5"/>
  <c r="U31" i="5"/>
  <c r="U57" i="5"/>
  <c r="U9" i="5"/>
  <c r="U61" i="5"/>
  <c r="U65" i="5"/>
  <c r="U21" i="5"/>
  <c r="U25" i="5"/>
  <c r="U29" i="5"/>
  <c r="U33" i="5"/>
  <c r="U37" i="5"/>
  <c r="U41" i="5"/>
  <c r="U5" i="5"/>
  <c r="U13" i="5"/>
  <c r="U17" i="5"/>
  <c r="U6" i="5"/>
  <c r="R47" i="2"/>
  <c r="R45" i="2"/>
  <c r="R33" i="2"/>
  <c r="R56" i="2"/>
  <c r="R44" i="2"/>
  <c r="R36" i="2"/>
  <c r="R32" i="2"/>
  <c r="R57" i="2"/>
  <c r="R35" i="2"/>
  <c r="R42" i="2"/>
  <c r="R29" i="2"/>
  <c r="R30" i="2"/>
  <c r="R58" i="2"/>
  <c r="R31" i="2"/>
  <c r="R50" i="2"/>
  <c r="R54" i="2"/>
  <c r="R53" i="2"/>
  <c r="R46" i="2"/>
  <c r="R34" i="2"/>
  <c r="R22" i="2"/>
  <c r="R40" i="2"/>
  <c r="R41" i="2"/>
  <c r="R51" i="2"/>
  <c r="R55" i="2"/>
  <c r="R43" i="2"/>
  <c r="R38" i="2"/>
  <c r="J9" i="2"/>
  <c r="L9" i="2" s="1"/>
  <c r="M9" i="2" s="1"/>
  <c r="D65" i="2"/>
  <c r="D67" i="2"/>
  <c r="J52" i="2"/>
  <c r="L52" i="2" s="1"/>
  <c r="M52" i="2" s="1"/>
  <c r="R52" i="2" s="1"/>
  <c r="J49" i="2"/>
  <c r="L49" i="2" s="1"/>
  <c r="M49" i="2" s="1"/>
  <c r="R49" i="2" s="1"/>
  <c r="J23" i="2"/>
  <c r="L23" i="2" s="1"/>
  <c r="M23" i="2" s="1"/>
  <c r="R23" i="2" s="1"/>
  <c r="F67" i="2"/>
  <c r="J21" i="2"/>
  <c r="L21" i="2" s="1"/>
  <c r="M21" i="2" s="1"/>
  <c r="R21" i="2" s="1"/>
  <c r="F66" i="2"/>
  <c r="F65" i="2"/>
  <c r="J14" i="2"/>
  <c r="L14" i="2" s="1"/>
  <c r="M14" i="2" s="1"/>
  <c r="A21" i="14"/>
  <c r="B23" i="14"/>
  <c r="A45" i="6"/>
  <c r="J63" i="2"/>
  <c r="L63" i="2" s="1"/>
  <c r="M63" i="2" s="1"/>
  <c r="R63" i="2" s="1"/>
  <c r="J61" i="2"/>
  <c r="L61" i="2" s="1"/>
  <c r="M61" i="2" s="1"/>
  <c r="R61" i="2" s="1"/>
  <c r="J60" i="2"/>
  <c r="L60" i="2" s="1"/>
  <c r="M60" i="2" s="1"/>
  <c r="R60" i="2" s="1"/>
  <c r="J27" i="2"/>
  <c r="L27" i="2" s="1"/>
  <c r="M27" i="2" s="1"/>
  <c r="R27" i="2" s="1"/>
  <c r="J24" i="2"/>
  <c r="L24" i="2" s="1"/>
  <c r="M24" i="2" s="1"/>
  <c r="R24" i="2" s="1"/>
  <c r="J25" i="2"/>
  <c r="L25" i="2" s="1"/>
  <c r="M25" i="2" s="1"/>
  <c r="R25" i="2" s="1"/>
  <c r="V23" i="7"/>
  <c r="J12" i="2"/>
  <c r="L12" i="2" s="1"/>
  <c r="M12" i="2" s="1"/>
  <c r="V13" i="7"/>
  <c r="V38" i="7"/>
  <c r="J37" i="2"/>
  <c r="L37" i="2" s="1"/>
  <c r="M37" i="2" s="1"/>
  <c r="R37" i="2" s="1"/>
  <c r="J48" i="2"/>
  <c r="L48" i="2" s="1"/>
  <c r="M48" i="2" s="1"/>
  <c r="R48" i="2" s="1"/>
  <c r="J59" i="2"/>
  <c r="L59" i="2" s="1"/>
  <c r="M59" i="2" s="1"/>
  <c r="R59" i="2" s="1"/>
  <c r="V47" i="7"/>
  <c r="V63" i="7"/>
  <c r="J62" i="2"/>
  <c r="L62" i="2" s="1"/>
  <c r="M62" i="2" s="1"/>
  <c r="R62" i="2" s="1"/>
  <c r="J39" i="2"/>
  <c r="L39" i="2" s="1"/>
  <c r="M39" i="2" s="1"/>
  <c r="R39" i="2" s="1"/>
  <c r="V30" i="7"/>
  <c r="J26" i="2"/>
  <c r="L26" i="2" s="1"/>
  <c r="M26" i="2" s="1"/>
  <c r="R26" i="2" s="1"/>
  <c r="J16" i="2"/>
  <c r="L16" i="2" s="1"/>
  <c r="M16" i="2" s="1"/>
  <c r="B25" i="9"/>
  <c r="B22" i="9"/>
  <c r="A33" i="14"/>
  <c r="A33" i="4"/>
  <c r="A21" i="4"/>
  <c r="B34" i="9"/>
  <c r="A57" i="6"/>
  <c r="A21" i="6"/>
  <c r="A47" i="6"/>
  <c r="A9" i="14"/>
  <c r="V61" i="7"/>
  <c r="V41" i="7"/>
  <c r="V26" i="7"/>
  <c r="V51" i="7"/>
  <c r="V46" i="7"/>
  <c r="V36" i="7"/>
  <c r="V58" i="7"/>
  <c r="V62" i="7"/>
  <c r="V57" i="7"/>
  <c r="V42" i="7"/>
  <c r="V27" i="7"/>
  <c r="V17" i="7"/>
  <c r="V31" i="7"/>
  <c r="V45" i="7"/>
  <c r="V35" i="7"/>
  <c r="V19" i="7"/>
  <c r="V54" i="7"/>
  <c r="V49" i="7"/>
  <c r="V44" i="7"/>
  <c r="V53" i="7"/>
  <c r="V32" i="7"/>
  <c r="V22" i="7"/>
  <c r="V29" i="7"/>
  <c r="V11" i="7"/>
  <c r="V21" i="7"/>
  <c r="V16" i="7"/>
  <c r="V48" i="7"/>
  <c r="V52" i="7"/>
  <c r="V56" i="7"/>
  <c r="V60" i="7"/>
  <c r="V64" i="7"/>
  <c r="V40" i="7"/>
  <c r="V28" i="7"/>
  <c r="V24" i="7"/>
  <c r="V20" i="7"/>
  <c r="V8" i="7"/>
  <c r="V12" i="7"/>
  <c r="V5" i="7"/>
  <c r="U58" i="13"/>
  <c r="U21" i="13"/>
  <c r="U57" i="13"/>
  <c r="U62" i="13"/>
  <c r="U53" i="13"/>
  <c r="U18" i="13"/>
  <c r="U40" i="13"/>
  <c r="U34" i="13"/>
  <c r="U22" i="13"/>
  <c r="U45" i="13"/>
  <c r="U33" i="13"/>
  <c r="U38" i="13"/>
  <c r="U49" i="13"/>
  <c r="U13" i="13"/>
  <c r="U5" i="13"/>
  <c r="U29" i="13"/>
  <c r="U59" i="13"/>
  <c r="U11" i="13"/>
  <c r="U64" i="13"/>
  <c r="U37" i="13"/>
  <c r="U36" i="13"/>
  <c r="U31" i="13"/>
  <c r="U46" i="13"/>
  <c r="U41" i="13"/>
  <c r="U25" i="13"/>
  <c r="U35" i="13"/>
  <c r="U30" i="13"/>
  <c r="U54" i="13"/>
  <c r="U16" i="13"/>
  <c r="U61" i="13"/>
  <c r="U50" i="13"/>
  <c r="U60" i="13"/>
  <c r="U55" i="13"/>
  <c r="U12" i="13"/>
  <c r="U7" i="13"/>
  <c r="U15" i="13"/>
  <c r="U63" i="13"/>
  <c r="U39" i="13"/>
  <c r="U48" i="13"/>
  <c r="U24" i="13"/>
  <c r="U19" i="13"/>
  <c r="U52" i="13"/>
  <c r="U47" i="13"/>
  <c r="U28" i="13"/>
  <c r="U23" i="13"/>
  <c r="U44" i="13"/>
  <c r="U43" i="13"/>
  <c r="U56" i="13"/>
  <c r="U51" i="13"/>
  <c r="U32" i="13"/>
  <c r="U27" i="13"/>
  <c r="U8" i="13"/>
  <c r="U20" i="13"/>
  <c r="A50" i="6"/>
  <c r="B32" i="6"/>
  <c r="B49" i="4"/>
  <c r="A33" i="13"/>
  <c r="B47" i="4"/>
  <c r="B37" i="13"/>
  <c r="A6" i="13"/>
  <c r="B38" i="4"/>
  <c r="A45" i="13"/>
  <c r="B49" i="13"/>
  <c r="A57" i="13"/>
  <c r="A27" i="4"/>
  <c r="A26" i="4"/>
  <c r="A24" i="4"/>
  <c r="B44" i="4"/>
  <c r="B62" i="6"/>
  <c r="B8" i="13"/>
  <c r="B56" i="6"/>
  <c r="A60" i="13"/>
  <c r="B41" i="6"/>
  <c r="B46" i="9"/>
  <c r="A12" i="13"/>
  <c r="A51" i="14"/>
  <c r="A64" i="4"/>
  <c r="B23" i="4"/>
  <c r="B43" i="9"/>
  <c r="A24" i="13"/>
  <c r="A57" i="14"/>
  <c r="A26" i="14"/>
  <c r="A48" i="13"/>
  <c r="A23" i="4"/>
  <c r="B7" i="13"/>
  <c r="A50" i="14"/>
  <c r="B25" i="4"/>
  <c r="A63" i="13"/>
  <c r="A47" i="4"/>
  <c r="A63" i="4"/>
  <c r="B20" i="4"/>
  <c r="B37" i="6"/>
  <c r="B37" i="9"/>
  <c r="B25" i="13"/>
  <c r="B44" i="13"/>
  <c r="B45" i="4"/>
  <c r="A27" i="14"/>
  <c r="B47" i="14"/>
  <c r="A45" i="4"/>
  <c r="A62" i="4"/>
  <c r="B35" i="6"/>
  <c r="B35" i="9"/>
  <c r="A27" i="13"/>
  <c r="B40" i="9"/>
  <c r="B57" i="6"/>
  <c r="B19" i="4"/>
  <c r="B29" i="14"/>
  <c r="A39" i="4"/>
  <c r="B41" i="4"/>
  <c r="A38" i="6"/>
  <c r="B55" i="6"/>
  <c r="B31" i="6"/>
  <c r="B32" i="13"/>
  <c r="A54" i="13"/>
  <c r="B32" i="14"/>
  <c r="B56" i="14"/>
  <c r="A38" i="4"/>
  <c r="A18" i="4"/>
  <c r="A63" i="6"/>
  <c r="A35" i="6"/>
  <c r="B53" i="6"/>
  <c r="B29" i="6"/>
  <c r="B31" i="9"/>
  <c r="B13" i="13"/>
  <c r="B55" i="13"/>
  <c r="A36" i="4"/>
  <c r="A53" i="4"/>
  <c r="B62" i="4"/>
  <c r="B37" i="4"/>
  <c r="A62" i="6"/>
  <c r="A33" i="6"/>
  <c r="B49" i="6"/>
  <c r="B25" i="6"/>
  <c r="B28" i="9"/>
  <c r="A15" i="13"/>
  <c r="A36" i="13"/>
  <c r="B56" i="13"/>
  <c r="B11" i="14"/>
  <c r="B35" i="14"/>
  <c r="A62" i="14"/>
  <c r="A42" i="4"/>
  <c r="A41" i="6"/>
  <c r="A30" i="13"/>
  <c r="A41" i="4"/>
  <c r="B43" i="4"/>
  <c r="A39" i="6"/>
  <c r="B31" i="13"/>
  <c r="A51" i="13"/>
  <c r="B53" i="14"/>
  <c r="A35" i="4"/>
  <c r="A51" i="4"/>
  <c r="B57" i="4"/>
  <c r="B35" i="4"/>
  <c r="A59" i="6"/>
  <c r="A29" i="6"/>
  <c r="B47" i="6"/>
  <c r="B23" i="6"/>
  <c r="B55" i="9"/>
  <c r="A18" i="13"/>
  <c r="A14" i="14"/>
  <c r="A38" i="14"/>
  <c r="B62" i="14"/>
  <c r="A50" i="4"/>
  <c r="B56" i="4"/>
  <c r="B32" i="4"/>
  <c r="A27" i="6"/>
  <c r="B52" i="9"/>
  <c r="B23" i="9"/>
  <c r="B19" i="13"/>
  <c r="A39" i="13"/>
  <c r="A39" i="14"/>
  <c r="A63" i="14"/>
  <c r="A30" i="4"/>
  <c r="A58" i="4"/>
  <c r="B55" i="4"/>
  <c r="B31" i="4"/>
  <c r="A53" i="6"/>
  <c r="A26" i="6"/>
  <c r="B44" i="6"/>
  <c r="B20" i="6"/>
  <c r="B49" i="9"/>
  <c r="B20" i="13"/>
  <c r="A42" i="13"/>
  <c r="B60" i="13"/>
  <c r="B17" i="14"/>
  <c r="B41" i="14"/>
  <c r="A64" i="14"/>
  <c r="A29" i="4"/>
  <c r="A57" i="4"/>
  <c r="B53" i="4"/>
  <c r="B29" i="4"/>
  <c r="A51" i="6"/>
  <c r="A23" i="6"/>
  <c r="B43" i="6"/>
  <c r="B19" i="6"/>
  <c r="B47" i="9"/>
  <c r="B19" i="9"/>
  <c r="A21" i="13"/>
  <c r="B43" i="13"/>
  <c r="B62" i="13"/>
  <c r="B20" i="14"/>
  <c r="B44" i="14"/>
  <c r="A45" i="14"/>
  <c r="B33" i="14"/>
  <c r="B33" i="13"/>
  <c r="B33" i="9"/>
  <c r="A13" i="14"/>
  <c r="A13" i="13"/>
  <c r="B9" i="14"/>
  <c r="B9" i="13"/>
  <c r="B45" i="14"/>
  <c r="B45" i="13"/>
  <c r="B45" i="9"/>
  <c r="B64" i="14"/>
  <c r="B64" i="6"/>
  <c r="B64" i="4"/>
  <c r="B64" i="13"/>
  <c r="A61" i="4"/>
  <c r="A61" i="14"/>
  <c r="A61" i="13"/>
  <c r="A61" i="6"/>
  <c r="A49" i="4"/>
  <c r="A49" i="14"/>
  <c r="A49" i="13"/>
  <c r="A49" i="6"/>
  <c r="A25" i="14"/>
  <c r="A25" i="13"/>
  <c r="A25" i="6"/>
  <c r="B64" i="9"/>
  <c r="B33" i="6"/>
  <c r="B14" i="14"/>
  <c r="B14" i="13"/>
  <c r="B26" i="14"/>
  <c r="B26" i="13"/>
  <c r="B26" i="9"/>
  <c r="B38" i="14"/>
  <c r="B38" i="13"/>
  <c r="B38" i="9"/>
  <c r="B50" i="14"/>
  <c r="B50" i="13"/>
  <c r="B50" i="9"/>
  <c r="B59" i="14"/>
  <c r="B59" i="13"/>
  <c r="B59" i="6"/>
  <c r="B59" i="4"/>
  <c r="A56" i="14"/>
  <c r="A56" i="6"/>
  <c r="A56" i="13"/>
  <c r="A56" i="4"/>
  <c r="A44" i="4"/>
  <c r="A44" i="6"/>
  <c r="A44" i="14"/>
  <c r="A44" i="13"/>
  <c r="A32" i="4"/>
  <c r="A32" i="6"/>
  <c r="A32" i="14"/>
  <c r="A32" i="13"/>
  <c r="A20" i="4"/>
  <c r="A20" i="6"/>
  <c r="A20" i="14"/>
  <c r="A20" i="13"/>
  <c r="A8" i="14"/>
  <c r="A8" i="13"/>
  <c r="B33" i="4"/>
  <c r="B50" i="6"/>
  <c r="B21" i="14"/>
  <c r="B21" i="13"/>
  <c r="B21" i="9"/>
  <c r="A37" i="14"/>
  <c r="A37" i="13"/>
  <c r="A37" i="6"/>
  <c r="B21" i="4"/>
  <c r="A37" i="4"/>
  <c r="A32" i="9"/>
  <c r="B50" i="4"/>
  <c r="B26" i="6"/>
  <c r="A25" i="9"/>
  <c r="A60" i="14"/>
  <c r="A55" i="4"/>
  <c r="B61" i="4"/>
  <c r="B61" i="6"/>
  <c r="A60" i="9"/>
  <c r="A48" i="9"/>
  <c r="A36" i="9"/>
  <c r="A24" i="9"/>
  <c r="B63" i="9"/>
  <c r="B51" i="9"/>
  <c r="B39" i="9"/>
  <c r="B27" i="9"/>
  <c r="B6" i="13"/>
  <c r="B12" i="13"/>
  <c r="B18" i="13"/>
  <c r="B24" i="13"/>
  <c r="B30" i="13"/>
  <c r="B36" i="13"/>
  <c r="B42" i="13"/>
  <c r="B48" i="13"/>
  <c r="B54" i="13"/>
  <c r="A18" i="14"/>
  <c r="A24" i="14"/>
  <c r="A30" i="14"/>
  <c r="A36" i="14"/>
  <c r="A42" i="14"/>
  <c r="A48" i="14"/>
  <c r="A54" i="14"/>
  <c r="A40" i="4"/>
  <c r="A28" i="4"/>
  <c r="A54" i="4"/>
  <c r="B60" i="4"/>
  <c r="B48" i="4"/>
  <c r="B36" i="4"/>
  <c r="B24" i="4"/>
  <c r="A60" i="6"/>
  <c r="A48" i="6"/>
  <c r="B60" i="6"/>
  <c r="B48" i="6"/>
  <c r="B36" i="6"/>
  <c r="B24" i="6"/>
  <c r="A59" i="9"/>
  <c r="A47" i="9"/>
  <c r="A35" i="9"/>
  <c r="A23" i="9"/>
  <c r="A7" i="13"/>
  <c r="A19" i="13"/>
  <c r="A31" i="13"/>
  <c r="A43" i="13"/>
  <c r="A55" i="13"/>
  <c r="B18" i="14"/>
  <c r="B24" i="14"/>
  <c r="B30" i="14"/>
  <c r="B36" i="14"/>
  <c r="B42" i="14"/>
  <c r="B48" i="14"/>
  <c r="B54" i="14"/>
  <c r="B60" i="14"/>
  <c r="A58" i="9"/>
  <c r="A46" i="9"/>
  <c r="A34" i="9"/>
  <c r="A22" i="9"/>
  <c r="B61" i="9"/>
  <c r="B61" i="13"/>
  <c r="A19" i="14"/>
  <c r="A31" i="14"/>
  <c r="A43" i="14"/>
  <c r="A55" i="14"/>
  <c r="A52" i="4"/>
  <c r="B58" i="4"/>
  <c r="B46" i="4"/>
  <c r="B34" i="4"/>
  <c r="B22" i="4"/>
  <c r="A58" i="6"/>
  <c r="A46" i="6"/>
  <c r="A34" i="6"/>
  <c r="A22" i="6"/>
  <c r="B58" i="6"/>
  <c r="B46" i="6"/>
  <c r="B34" i="6"/>
  <c r="B22" i="6"/>
  <c r="A26" i="13"/>
  <c r="A38" i="13"/>
  <c r="A50" i="13"/>
  <c r="A62" i="13"/>
  <c r="A55" i="6"/>
  <c r="A43" i="6"/>
  <c r="A31" i="6"/>
  <c r="A19" i="6"/>
  <c r="A54" i="9"/>
  <c r="A42" i="9"/>
  <c r="A30" i="9"/>
  <c r="A18" i="9"/>
  <c r="B57" i="9"/>
  <c r="B15" i="13"/>
  <c r="B27" i="13"/>
  <c r="B39" i="13"/>
  <c r="B51" i="13"/>
  <c r="B57" i="13"/>
  <c r="B63" i="13"/>
  <c r="A46" i="4"/>
  <c r="A34" i="4"/>
  <c r="A22" i="4"/>
  <c r="B54" i="4"/>
  <c r="B42" i="4"/>
  <c r="B30" i="4"/>
  <c r="B18" i="4"/>
  <c r="B54" i="6"/>
  <c r="B42" i="6"/>
  <c r="B30" i="6"/>
  <c r="B18" i="6"/>
  <c r="A53" i="9"/>
  <c r="A41" i="9"/>
  <c r="A29" i="9"/>
  <c r="A10" i="13"/>
  <c r="A16" i="13"/>
  <c r="A22" i="13"/>
  <c r="A28" i="13"/>
  <c r="A34" i="13"/>
  <c r="A40" i="13"/>
  <c r="A46" i="13"/>
  <c r="A52" i="13"/>
  <c r="A58" i="13"/>
  <c r="A64" i="13"/>
  <c r="B27" i="14"/>
  <c r="B39" i="14"/>
  <c r="B51" i="14"/>
  <c r="B63" i="14"/>
  <c r="A43" i="9"/>
  <c r="A31" i="9"/>
  <c r="A19" i="9"/>
  <c r="B58" i="9"/>
  <c r="A64" i="9"/>
  <c r="A52" i="9"/>
  <c r="A40" i="9"/>
  <c r="A28" i="9"/>
  <c r="B10" i="13"/>
  <c r="B16" i="13"/>
  <c r="B22" i="13"/>
  <c r="B28" i="13"/>
  <c r="B40" i="13"/>
  <c r="B46" i="13"/>
  <c r="B52" i="13"/>
  <c r="B58" i="13"/>
  <c r="A28" i="14"/>
  <c r="A40" i="14"/>
  <c r="A52" i="14"/>
  <c r="B52" i="4"/>
  <c r="B40" i="4"/>
  <c r="B28" i="4"/>
  <c r="B52" i="6"/>
  <c r="B40" i="6"/>
  <c r="B28" i="6"/>
  <c r="A11" i="13"/>
  <c r="A17" i="13"/>
  <c r="A23" i="13"/>
  <c r="A29" i="13"/>
  <c r="A35" i="13"/>
  <c r="A41" i="13"/>
  <c r="A47" i="13"/>
  <c r="A53" i="13"/>
  <c r="A59" i="13"/>
  <c r="B34" i="14"/>
  <c r="A59" i="4"/>
  <c r="B63" i="4"/>
  <c r="B51" i="4"/>
  <c r="B39" i="4"/>
  <c r="B27" i="4"/>
  <c r="B53" i="9"/>
  <c r="B41" i="9"/>
  <c r="B29" i="9"/>
  <c r="B7" i="4"/>
  <c r="A7" i="9"/>
  <c r="B8" i="9"/>
  <c r="A8" i="9"/>
  <c r="B9" i="6"/>
  <c r="A9" i="9"/>
  <c r="B10" i="6"/>
  <c r="A10" i="9"/>
  <c r="B11" i="6"/>
  <c r="A11" i="6"/>
  <c r="B12" i="9"/>
  <c r="A12" i="9"/>
  <c r="B13" i="4"/>
  <c r="A13" i="9"/>
  <c r="B14" i="9"/>
  <c r="A14" i="4"/>
  <c r="B15" i="6"/>
  <c r="A15" i="4"/>
  <c r="B16" i="9"/>
  <c r="A16" i="4"/>
  <c r="B17" i="9"/>
  <c r="A17" i="4"/>
  <c r="A6" i="9"/>
  <c r="B6" i="9"/>
  <c r="N5" i="4"/>
  <c r="Q4" i="2"/>
  <c r="R4" i="2"/>
  <c r="P5" i="7"/>
  <c r="O5" i="2"/>
  <c r="O6" i="2"/>
  <c r="N6" i="2" s="1"/>
  <c r="R6" i="2" s="1"/>
  <c r="O7" i="2"/>
  <c r="N7" i="2" s="1"/>
  <c r="R7" i="2" s="1"/>
  <c r="O8" i="2"/>
  <c r="N8" i="2" s="1"/>
  <c r="R8" i="2" s="1"/>
  <c r="O9" i="2"/>
  <c r="N9" i="2" s="1"/>
  <c r="O10" i="2"/>
  <c r="N10" i="2" s="1"/>
  <c r="R10" i="2" s="1"/>
  <c r="O11" i="2"/>
  <c r="N11" i="2" s="1"/>
  <c r="R11" i="2" s="1"/>
  <c r="O12" i="2"/>
  <c r="N12" i="2" s="1"/>
  <c r="O13" i="2"/>
  <c r="N13" i="2" s="1"/>
  <c r="R13" i="2" s="1"/>
  <c r="O14" i="2"/>
  <c r="N14" i="2" s="1"/>
  <c r="O15" i="2"/>
  <c r="N15" i="2" s="1"/>
  <c r="R15" i="2" s="1"/>
  <c r="O16" i="2"/>
  <c r="N16" i="2" s="1"/>
  <c r="O17" i="2"/>
  <c r="N17" i="2" s="1"/>
  <c r="R17" i="2" s="1"/>
  <c r="O18" i="2"/>
  <c r="N18" i="2" s="1"/>
  <c r="R18" i="2" s="1"/>
  <c r="O19" i="2"/>
  <c r="N19" i="2" s="1"/>
  <c r="R19" i="2" s="1"/>
  <c r="O20" i="2"/>
  <c r="N20" i="2" s="1"/>
  <c r="R20" i="2" s="1"/>
  <c r="A2" i="9"/>
  <c r="B7" i="9"/>
  <c r="A2" i="4"/>
  <c r="A2" i="8"/>
  <c r="A2" i="7"/>
  <c r="A2" i="6"/>
  <c r="A2" i="5"/>
  <c r="J67" i="2" l="1"/>
  <c r="J65" i="2"/>
  <c r="J68" i="2" a="1"/>
  <c r="J68" i="2" s="1"/>
  <c r="J66" i="2"/>
  <c r="M65" i="2"/>
  <c r="M68" i="2" a="1"/>
  <c r="M68" i="2" s="1"/>
  <c r="M67" i="2"/>
  <c r="L66" i="2"/>
  <c r="M66" i="2"/>
  <c r="L67" i="2"/>
  <c r="L68" i="2" a="1"/>
  <c r="L68" i="2" s="1"/>
  <c r="L65" i="2"/>
  <c r="N5" i="2"/>
  <c r="O68" i="2" a="1"/>
  <c r="O68" i="2" s="1"/>
  <c r="O67" i="2"/>
  <c r="O66" i="2"/>
  <c r="O65" i="2"/>
  <c r="R9" i="2"/>
  <c r="R14" i="2"/>
  <c r="R16" i="2"/>
  <c r="R12" i="2"/>
  <c r="B14" i="6"/>
  <c r="B16" i="4"/>
  <c r="B15" i="4"/>
  <c r="B14" i="4"/>
  <c r="A13" i="4"/>
  <c r="B12" i="4"/>
  <c r="A6" i="6"/>
  <c r="A16" i="6"/>
  <c r="A15" i="6"/>
  <c r="A14" i="6"/>
  <c r="A13" i="6"/>
  <c r="A7" i="6"/>
  <c r="A6" i="4"/>
  <c r="B17" i="6"/>
  <c r="B16" i="6"/>
  <c r="B11" i="4"/>
  <c r="B15" i="9"/>
  <c r="B10" i="4"/>
  <c r="A17" i="9"/>
  <c r="B9" i="4"/>
  <c r="A16" i="9"/>
  <c r="B8" i="6"/>
  <c r="B8" i="4"/>
  <c r="A15" i="9"/>
  <c r="A7" i="4"/>
  <c r="A14" i="9"/>
  <c r="B17" i="4"/>
  <c r="A17" i="6"/>
  <c r="B6" i="4"/>
  <c r="A10" i="4"/>
  <c r="A9" i="4"/>
  <c r="A11" i="9"/>
  <c r="A10" i="6"/>
  <c r="A8" i="4"/>
  <c r="A9" i="6"/>
  <c r="A12" i="4"/>
  <c r="A11" i="4"/>
  <c r="B13" i="9"/>
  <c r="B13" i="6"/>
  <c r="B10" i="9"/>
  <c r="A12" i="6"/>
  <c r="B9" i="9"/>
  <c r="B6" i="6"/>
  <c r="B7" i="6"/>
  <c r="A8" i="6"/>
  <c r="B12" i="6"/>
  <c r="B11" i="9"/>
  <c r="R5" i="2" l="1"/>
  <c r="N68" i="2" a="1"/>
  <c r="N68" i="2" s="1"/>
  <c r="N66" i="2"/>
  <c r="N67" i="2"/>
  <c r="N65" i="2"/>
  <c r="R68" i="2" l="1" a="1"/>
  <c r="R68" i="2" s="1"/>
  <c r="R66" i="2"/>
  <c r="R67" i="2"/>
  <c r="R6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<sst xmlns="http://schemas.openxmlformats.org/spreadsheetml/2006/main" count="897" uniqueCount="176">
  <si>
    <t>Final Marks</t>
  </si>
  <si>
    <t xml:space="preserve">Name </t>
  </si>
  <si>
    <t>SAP ID</t>
  </si>
  <si>
    <t>Batch</t>
  </si>
  <si>
    <t>Assignment 1</t>
  </si>
  <si>
    <t>Assignment 2</t>
  </si>
  <si>
    <t>Class Test 1</t>
  </si>
  <si>
    <t>Class Test 2</t>
  </si>
  <si>
    <t>IA</t>
  </si>
  <si>
    <t>Mid Sem</t>
  </si>
  <si>
    <t>End Sem</t>
  </si>
  <si>
    <t>Total</t>
  </si>
  <si>
    <t>Sign</t>
  </si>
  <si>
    <t>Email Address</t>
  </si>
  <si>
    <t>Roll Number</t>
  </si>
  <si>
    <t>Max Marks</t>
  </si>
  <si>
    <t>Aadya Dubey</t>
  </si>
  <si>
    <t>aadya.29213@stu.upes.ac.in</t>
  </si>
  <si>
    <t>Aditya Vishwakarma</t>
  </si>
  <si>
    <t>aditya.29270@stu.upes.ac.in</t>
  </si>
  <si>
    <t>Arjun</t>
  </si>
  <si>
    <t>arjun.29204@stu.upes.ac.in</t>
  </si>
  <si>
    <t>Aryan Yadav</t>
  </si>
  <si>
    <t>aryan.29109@stu.upes.ac.in</t>
  </si>
  <si>
    <t>Astik Patel</t>
  </si>
  <si>
    <t>astik.29070@stu.upes.ac.in</t>
  </si>
  <si>
    <t>Ayush Mohan</t>
  </si>
  <si>
    <t>ayush.29157@stu.upes.ac.in</t>
  </si>
  <si>
    <t>Bhanu Purohit</t>
  </si>
  <si>
    <t>bhanu.27157@stu.upes.ac.in</t>
  </si>
  <si>
    <t>Biswabandya Mohanty</t>
  </si>
  <si>
    <t>biswabandya.29274@stu.upes.ac.in</t>
  </si>
  <si>
    <t>Eashan Vashisht</t>
  </si>
  <si>
    <t>eashan.28572@stu.upes.ac.in</t>
  </si>
  <si>
    <t>Hardik Joshi</t>
  </si>
  <si>
    <t>hardik.29230@stu.upes.ac.in</t>
  </si>
  <si>
    <t>Hrithvik Bhardwaj</t>
  </si>
  <si>
    <t>hrithvik.29169@stu.upes.ac.in</t>
  </si>
  <si>
    <t>Nitish Kumar</t>
  </si>
  <si>
    <t>nitish.29112@stu.upes.ac.in</t>
  </si>
  <si>
    <t>Omkareshwar Chaubey</t>
  </si>
  <si>
    <t>omkareshwar.25556@stu.upes.ac.in</t>
  </si>
  <si>
    <t>Pavani Jain</t>
  </si>
  <si>
    <t>pavani.27830@stu.upes.ac.in</t>
  </si>
  <si>
    <t>Prapti Uniyal</t>
  </si>
  <si>
    <t>prapti.28360@stu.upes.ac.in</t>
  </si>
  <si>
    <t>Priyadarshi Prabhakar</t>
  </si>
  <si>
    <t>priyadarshi.29237@stu.upes.ac.in</t>
  </si>
  <si>
    <t>Radhe Patel</t>
  </si>
  <si>
    <t>radhe.29079@stu.upes.ac.in</t>
  </si>
  <si>
    <t>Rishika Purushotham</t>
  </si>
  <si>
    <t>rishika.29145@stu.upes.ac.in</t>
  </si>
  <si>
    <t>Rishiv Kumar</t>
  </si>
  <si>
    <t>rishiv.29209@stu.upes.ac.in</t>
  </si>
  <si>
    <t>Sankalp Sunil Ronge</t>
  </si>
  <si>
    <t>sankalp.27268@stu.upes.ac.in</t>
  </si>
  <si>
    <t>Sartaj Singh</t>
  </si>
  <si>
    <t>sartaj.29227@stu.upes.ac.in</t>
  </si>
  <si>
    <t>Satakshi Gupta</t>
  </si>
  <si>
    <t>satakshi.29241@stu.upes.ac.in</t>
  </si>
  <si>
    <t>Shaswat Shantanu</t>
  </si>
  <si>
    <t>shaswat.23855@stu.upes.ac.in</t>
  </si>
  <si>
    <t>Siddhant Rai</t>
  </si>
  <si>
    <t>siddhant.29215@stu.upes.ac.in</t>
  </si>
  <si>
    <t>Sidhaant Singh Jyrwa</t>
  </si>
  <si>
    <t>sidhaant.29111@stu.upes.ac.in</t>
  </si>
  <si>
    <t>Subrat Singh Jadaun</t>
  </si>
  <si>
    <t>subrat.28683@stu.upes.ac.in</t>
  </si>
  <si>
    <t>Tushita Sharma</t>
  </si>
  <si>
    <t>tushita.29121@stu.upes.ac.in</t>
  </si>
  <si>
    <t>Vaishnavi Kumari</t>
  </si>
  <si>
    <t>vaishnavi.29048@stu.upes.ac.in</t>
  </si>
  <si>
    <t>Vivek Chauhan</t>
  </si>
  <si>
    <t>vivek.29184@stu.upes.ac.in</t>
  </si>
  <si>
    <t>Aadarshi Bisht</t>
  </si>
  <si>
    <t>aadarshi.29330@stu.upes.ac.in</t>
  </si>
  <si>
    <t>Aarush Prasad</t>
  </si>
  <si>
    <t>aarush.27630@stu.upes.ac.in</t>
  </si>
  <si>
    <t>Aditya Mishra</t>
  </si>
  <si>
    <t>aditya.29219@stu.upes.ac.in</t>
  </si>
  <si>
    <t>Aman Barnwal</t>
  </si>
  <si>
    <t>aman.28933@stu.upes.ac.in</t>
  </si>
  <si>
    <t>Ashutosh Shrivastava</t>
  </si>
  <si>
    <t>ashutosh.27859@stu.upes.ac.in</t>
  </si>
  <si>
    <t>Ayan Pande</t>
  </si>
  <si>
    <t>ayan.28682@stu.upes.ac.in</t>
  </si>
  <si>
    <t>Ayush Pratap Singh</t>
  </si>
  <si>
    <t>ayush.23917@stu.upes.ac.in</t>
  </si>
  <si>
    <t>Gayatri Bhatt</t>
  </si>
  <si>
    <t>gayatri.23785@stu.upes.ac.in</t>
  </si>
  <si>
    <t>Harsh Mudgal</t>
  </si>
  <si>
    <t>harsh.29264@stu.upes.ac.in</t>
  </si>
  <si>
    <t>Kanan Nidhania</t>
  </si>
  <si>
    <t>kanan.29042@stu.upes.ac.in</t>
  </si>
  <si>
    <t>Kanishka Diwakar</t>
  </si>
  <si>
    <t>kanishka.29336@stu.upes.ac.in</t>
  </si>
  <si>
    <t>Keshav Chahda</t>
  </si>
  <si>
    <t>keshav.29233@stu.upes.ac.in</t>
  </si>
  <si>
    <t>Lakshay Dhanda</t>
  </si>
  <si>
    <t>lakshaydhanda.29328@stu.upes.ac.in</t>
  </si>
  <si>
    <t>Lakshya Singh</t>
  </si>
  <si>
    <t>lakshya.28608@stu.upes.ac.in</t>
  </si>
  <si>
    <t>Mayank Chand Ramola</t>
  </si>
  <si>
    <t>mayank.28605@stu.upes.ac.in</t>
  </si>
  <si>
    <t>Mukesh Patel</t>
  </si>
  <si>
    <t>mukesh.26626@stu.upes.ac.in</t>
  </si>
  <si>
    <t>Nipun Singh</t>
  </si>
  <si>
    <t>nipun.29310@stu.upes.ac.in</t>
  </si>
  <si>
    <t>Paras Bhall</t>
  </si>
  <si>
    <t>parasbhall.29319@stu.upes.ac.in</t>
  </si>
  <si>
    <t>Raghav Kumar Goyal</t>
  </si>
  <si>
    <t>raghav.29339@stu.upes.ac.in</t>
  </si>
  <si>
    <t>Rahul</t>
  </si>
  <si>
    <t>rahul.29148@stu.upes.ac.in</t>
  </si>
  <si>
    <t>Rahul Singh</t>
  </si>
  <si>
    <t>rahul.29309@stu.upes.ac.in</t>
  </si>
  <si>
    <t>Satyam Singh</t>
  </si>
  <si>
    <t>satyam.28838@stu.upes.ac.in</t>
  </si>
  <si>
    <t>Shashwat Agrawal</t>
  </si>
  <si>
    <t>shashwat.29107@stu.upes.ac.in</t>
  </si>
  <si>
    <t>Siddhant Gurung</t>
  </si>
  <si>
    <t>siddhant.29266@stu.upes.ac.in</t>
  </si>
  <si>
    <t>Simarjot Kaur Gill</t>
  </si>
  <si>
    <t>simarjot.29354@stu.upes.ac.in</t>
  </si>
  <si>
    <t>Tanishq Bansal</t>
  </si>
  <si>
    <t>tanishq.29349@stu.upes.ac.in</t>
  </si>
  <si>
    <t>Tanmay Amit Verma</t>
  </si>
  <si>
    <t>tanmay.29302@stu.upes.ac.in</t>
  </si>
  <si>
    <t>Vandana Yadav</t>
  </si>
  <si>
    <t>vandana.29262@stu.upes.ac.in</t>
  </si>
  <si>
    <t>Vidit Ahuja</t>
  </si>
  <si>
    <t>vidit.29285@stu.upes.ac.in</t>
  </si>
  <si>
    <t>Vinit Kumar</t>
  </si>
  <si>
    <t>vinit.29353@stu.upes.ac.in</t>
  </si>
  <si>
    <t>Mid Sem Examination</t>
  </si>
  <si>
    <t>CO1</t>
  </si>
  <si>
    <t>CO2</t>
  </si>
  <si>
    <t>CO3</t>
  </si>
  <si>
    <t>Name</t>
  </si>
  <si>
    <t>Student 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</si>
  <si>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</si>
  <si>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</si>
  <si>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</si>
  <si>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</si>
  <si>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</si>
  <si>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</si>
  <si>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</si>
  <si>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</si>
  <si>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</si>
  <si>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</si>
  <si>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</si>
  <si>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End Sem Examination</t>
  </si>
  <si>
    <t>CO4</t>
  </si>
  <si>
    <t>Student Id</t>
  </si>
  <si>
    <t>Email</t>
  </si>
  <si>
    <t xml:space="preserve">Roll Number </t>
  </si>
  <si>
    <t>Column1</t>
  </si>
  <si>
    <t>Active</t>
  </si>
  <si>
    <t>BT-CSE-II-B78_Physics for Computer Engineers</t>
  </si>
  <si>
    <t>BT-CSE-II-B77_Physics for Computer Engineers</t>
  </si>
  <si>
    <t>Fee Hold</t>
  </si>
  <si>
    <t>Group</t>
  </si>
  <si>
    <t>Quiz 1</t>
  </si>
  <si>
    <t>Quiz 2</t>
  </si>
  <si>
    <t>Lab</t>
  </si>
  <si>
    <t>CIA</t>
  </si>
  <si>
    <t>CIA_Weightage</t>
  </si>
  <si>
    <t>P/A</t>
  </si>
  <si>
    <t xml:space="preserve">Physics for Computer Engineers (PHYS 1036) </t>
  </si>
  <si>
    <t>Max</t>
  </si>
  <si>
    <t>Min</t>
  </si>
  <si>
    <t>Median</t>
  </si>
  <si>
    <t>CO2/CO1</t>
  </si>
  <si>
    <t>Remedial Class Attendance (Batch 77/78) Jan-June 2026</t>
  </si>
  <si>
    <t>CO5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</si>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</sst>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Baguet Script"/>
    </font>
    <font>
      <sz val="18"/>
      <color theme="1"/>
      <name val="Monotype Corsiva"/>
      <family val="4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left" vertical="center"/>
    </xf>
    <xf numFmtId="0" fontId="6" fillId="0" borderId="4" xfId="0" applyFont="1" applyBorder="1"/>
    <xf numFmtId="0" fontId="7" fillId="0" borderId="4" xfId="0" applyFont="1" applyBorder="1"/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top"/>
    </xf>
    <xf numFmtId="0" fontId="8" fillId="0" borderId="1" xfId="0" applyFont="1" applyBorder="1" applyAlignment="1">
      <alignment horizontal="center" vertical="center"/>
    </xf>
    <xf numFmtId="0" fontId="1" fillId="4" borderId="4" xfId="0" applyFont="1" applyFill="1" applyBorder="1" applyAlignment="1">
      <alignment vertical="top"/>
    </xf>
    <xf numFmtId="0" fontId="0" fillId="0" borderId="4" xfId="0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4" fontId="1" fillId="2" borderId="6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top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1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1EC4BE-2A29-484F-96A3-3D5637F91420}" name="Table2" displayName="Table2" ref="A4:O65" totalsRowShown="0" headerRowDxfId="13" headerRowBorderDxfId="12" tableBorderDxfId="11">
  <autoFilter ref="A4:O65" xr:uid="{121EC4BE-2A29-484F-96A3-3D5637F91420}">
    <filterColumn colId="2">
      <customFilters>
        <customFilter operator="notEqual" val=" "/>
      </customFilters>
    </filterColumn>
    <filterColumn colId="14">
      <customFilters>
        <customFilter operator="lessThanOrEqual" val="40"/>
      </customFilters>
    </filterColumn>
  </autoFilter>
  <tableColumns count="15">
    <tableColumn id="1" xr3:uid="{C53A1133-970E-4861-9E6E-0807D65557FC}" name="Name" dataDxfId="10"/>
    <tableColumn id="2" xr3:uid="{4B602A80-1925-4A20-94AA-A2291B2C30B5}" name="Student ID" dataDxfId="9"/>
    <tableColumn id="3" xr3:uid="{0AD0E0FD-3F1D-4F44-AAA0-EFE168C0B262}" name="Batch" dataDxfId="8"/>
    <tableColumn id="4" xr3:uid="{308B239C-2B28-4C3C-B723-5B0554C8E6E8}" name="Q1"/>
    <tableColumn id="5" xr3:uid="{2A1E2E71-A697-4760-8B09-BBADC92D854C}" name="Q2"/>
    <tableColumn id="6" xr3:uid="{B25261D7-4049-4FF9-9E15-9E6774C0B938}" name="Q3"/>
    <tableColumn id="7" xr3:uid="{ED624E09-F497-4D64-982C-72848ECFCE4A}" name="Q4"/>
    <tableColumn id="8" xr3:uid="{6E6912E7-C1ED-48CD-B6F7-125E28BF8213}" name="Q5"/>
    <tableColumn id="9" xr3:uid="{BC810074-0061-48D5-8B3B-3E8B7E9AB360}" name="Q6"/>
    <tableColumn id="10" xr3:uid="{1C280883-8263-4403-A5EF-D927AD664214}" name="Q7"/>
    <tableColumn id="11" xr3:uid="{22E99AC4-D9B9-4B2F-81B4-9C8852D2152B}" name="Q8"/>
    <tableColumn id="12" xr3:uid="{CFD45D22-44B6-4413-B11F-180F0560D52F}" name="Q9"/>
    <tableColumn id="13" xr3:uid="{97137B4C-31C9-4AFA-B6D9-002CD0013F62}" name="Q10"/>
    <tableColumn id="14" xr3:uid="{1E3948FF-31F7-4036-B4EB-9C7D771E30B9}" name="Q11"/>
    <tableColumn id="15" xr3:uid="{E2C418C6-DD0C-4514-A759-B10ADA14B166}" name="Total">
      <calculatedColumnFormula>SUM(D5:L5)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451EC-8F8D-483E-8700-AC40F1E844EE}" name="Table1" displayName="Table1" ref="A1:F60" totalsRowShown="0" headerRowDxfId="7" dataDxfId="6">
  <autoFilter ref="A1:F60" xr:uid="{350451EC-8F8D-483E-8700-AC40F1E844EE}">
    <filterColumn colId="5">
      <filters>
        <filter val="BT-CSE-II-B78_Physics for Computer Engineers"/>
      </filters>
    </filterColumn>
  </autoFilter>
  <sortState xmlns:xlrd2="http://schemas.microsoft.com/office/spreadsheetml/2017/richdata2" ref="A3:F48">
    <sortCondition ref="B1:B60"/>
  </sortState>
  <tableColumns count="6">
    <tableColumn id="1" xr3:uid="{7E15E4DF-7B6A-4D9E-8C24-C95D38FC6981}" name="SAP ID" dataDxfId="5"/>
    <tableColumn id="2" xr3:uid="{02B3B33C-E719-4715-B89B-EDE7363D49E8}" name="Name" dataDxfId="4"/>
    <tableColumn id="3" xr3:uid="{7F2FEB0D-DD82-4FE5-96E7-1FA382E85869}" name="Email" dataDxfId="3"/>
    <tableColumn id="4" xr3:uid="{108DA682-5517-4F07-8D41-C287C33F5513}" name="Roll Number " dataDxfId="2"/>
    <tableColumn id="5" xr3:uid="{980C6DB2-87F4-4F1D-9D34-93B7D8A65906}" name="Column1" dataDxfId="1"/>
    <tableColumn id="6" xr3:uid="{71B2FD01-6815-4795-8346-F2AB4A8501AF}" name="Batc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76A9-80AB-4236-8B1F-676ADE76CB37}">
  <sheetPr>
    <pageSetUpPr fitToPage="1"/>
  </sheetPr>
  <dimension ref="A1:V68"/>
  <sheetViews>
    <sheetView tabSelected="1" topLeftCell="E14" zoomScale="89" zoomScaleNormal="100" workbookViewId="0">
      <selection activeCell="T25" sqref="T25"/>
    </sheetView>
  </sheetViews>
  <sheetFormatPr defaultRowHeight="15" x14ac:dyDescent="0.25"/>
  <cols>
    <col min="1" max="1" width="27.140625" customWidth="1"/>
    <col min="2" max="2" width="22.85546875" style="11" customWidth="1"/>
    <col min="3" max="3" width="10.28515625" bestFit="1" customWidth="1"/>
    <col min="4" max="4" width="13.85546875" customWidth="1"/>
    <col min="5" max="5" width="14.42578125" customWidth="1"/>
    <col min="6" max="6" width="16.140625" customWidth="1"/>
    <col min="7" max="9" width="14.28515625" customWidth="1"/>
    <col min="10" max="10" width="11.85546875" style="11" customWidth="1"/>
    <col min="11" max="12" width="11.85546875" customWidth="1"/>
    <col min="13" max="13" width="11.140625" customWidth="1"/>
    <col min="14" max="14" width="11.85546875" style="15" customWidth="1"/>
    <col min="15" max="18" width="13.42578125" customWidth="1"/>
    <col min="19" max="19" width="12.5703125" customWidth="1"/>
    <col min="21" max="21" width="28.7109375" customWidth="1"/>
    <col min="22" max="22" width="15.7109375" style="21" customWidth="1"/>
    <col min="23" max="23" width="15.28515625" customWidth="1"/>
    <col min="24" max="24" width="17.85546875" customWidth="1"/>
    <col min="26" max="26" width="16" customWidth="1"/>
  </cols>
  <sheetData>
    <row r="1" spans="1:22" ht="24.75" x14ac:dyDescent="0.4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24"/>
    </row>
    <row r="2" spans="1:22" ht="24.75" x14ac:dyDescent="0.4">
      <c r="A2" s="47" t="s">
        <v>168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25"/>
    </row>
    <row r="3" spans="1:22" s="22" customFormat="1" ht="31.5" x14ac:dyDescent="0.25">
      <c r="A3" s="40" t="s">
        <v>1</v>
      </c>
      <c r="B3" s="37" t="s">
        <v>2</v>
      </c>
      <c r="C3" s="7" t="s">
        <v>3</v>
      </c>
      <c r="D3" s="37" t="s">
        <v>162</v>
      </c>
      <c r="E3" s="37" t="s">
        <v>4</v>
      </c>
      <c r="F3" s="37" t="s">
        <v>6</v>
      </c>
      <c r="G3" s="37" t="s">
        <v>163</v>
      </c>
      <c r="H3" s="37" t="s">
        <v>5</v>
      </c>
      <c r="I3" s="37" t="s">
        <v>7</v>
      </c>
      <c r="J3" s="37" t="s">
        <v>8</v>
      </c>
      <c r="K3" s="37" t="s">
        <v>164</v>
      </c>
      <c r="L3" s="37" t="s">
        <v>165</v>
      </c>
      <c r="M3" s="41" t="s">
        <v>166</v>
      </c>
      <c r="N3" s="37" t="s">
        <v>9</v>
      </c>
      <c r="O3" s="37" t="s">
        <v>9</v>
      </c>
      <c r="P3" s="37" t="s">
        <v>10</v>
      </c>
      <c r="Q3" s="37" t="s">
        <v>10</v>
      </c>
      <c r="R3" s="37" t="s">
        <v>11</v>
      </c>
      <c r="S3" s="37" t="s">
        <v>12</v>
      </c>
      <c r="U3" s="42" t="s">
        <v>13</v>
      </c>
      <c r="V3" s="23" t="s">
        <v>14</v>
      </c>
    </row>
    <row r="4" spans="1:22" x14ac:dyDescent="0.25">
      <c r="A4" s="5"/>
      <c r="B4" s="8" t="s">
        <v>15</v>
      </c>
      <c r="C4" s="8"/>
      <c r="D4" s="14">
        <v>15</v>
      </c>
      <c r="E4" s="14">
        <v>15</v>
      </c>
      <c r="F4" s="14">
        <v>20</v>
      </c>
      <c r="G4" s="14">
        <f>'Quiz 2'!O5</f>
        <v>15</v>
      </c>
      <c r="H4" s="14">
        <f>'Assignment 2'!N5</f>
        <v>15</v>
      </c>
      <c r="I4" s="14">
        <f>'Class Test 2'!O5</f>
        <v>20</v>
      </c>
      <c r="J4" s="14">
        <f>SUM(D4:I4)</f>
        <v>100</v>
      </c>
      <c r="K4" s="14">
        <v>100</v>
      </c>
      <c r="L4" s="14">
        <f>SUM(J4:K4)/2</f>
        <v>100</v>
      </c>
      <c r="M4" s="14">
        <f>L4*0.5</f>
        <v>50</v>
      </c>
      <c r="N4" s="14">
        <f>O4/5</f>
        <v>20</v>
      </c>
      <c r="O4" s="14">
        <v>100</v>
      </c>
      <c r="P4" s="14">
        <v>100</v>
      </c>
      <c r="Q4" s="14">
        <f>P4*0.3</f>
        <v>30</v>
      </c>
      <c r="R4" s="5">
        <f>SUM(M4,N4,Q4)</f>
        <v>100</v>
      </c>
      <c r="S4" s="5"/>
      <c r="T4" s="6"/>
    </row>
    <row r="5" spans="1:22" ht="15.75" x14ac:dyDescent="0.25">
      <c r="A5" s="1" t="s">
        <v>16</v>
      </c>
      <c r="B5" s="10">
        <v>590029213</v>
      </c>
      <c r="C5" s="12">
        <v>77</v>
      </c>
      <c r="D5" s="38">
        <f>'Quiz 1'!O6</f>
        <v>14.5</v>
      </c>
      <c r="E5" s="38">
        <f>'Assignment 1'!N6/10</f>
        <v>14.5</v>
      </c>
      <c r="F5" s="38">
        <f>'Class Test 1'!P6</f>
        <v>20</v>
      </c>
      <c r="G5" s="38">
        <f>'Quiz 2'!O6</f>
        <v>15</v>
      </c>
      <c r="H5" s="10">
        <f>'Assignment 2'!N6</f>
        <v>15</v>
      </c>
      <c r="I5" s="10">
        <f>'Class Test 2'!O6</f>
        <v>15</v>
      </c>
      <c r="J5" s="29">
        <f>SUM(D5:I5)</f>
        <v>94</v>
      </c>
      <c r="K5" s="29">
        <v>95.5</v>
      </c>
      <c r="L5" s="29">
        <f>SUM(J5:K5)/2</f>
        <v>94.75</v>
      </c>
      <c r="M5" s="29">
        <f>L5*0.5</f>
        <v>47.375</v>
      </c>
      <c r="N5" s="29">
        <f>O5/5</f>
        <v>17.2</v>
      </c>
      <c r="O5" s="29">
        <f>'Mid Sem'!O6</f>
        <v>86</v>
      </c>
      <c r="P5" s="29">
        <f>'End Sem'!N6</f>
        <v>0</v>
      </c>
      <c r="Q5" s="29">
        <f>P5*0.3</f>
        <v>0</v>
      </c>
      <c r="R5" s="26">
        <f>SUM(M5,N5,Q5)</f>
        <v>64.575000000000003</v>
      </c>
      <c r="S5" s="39"/>
      <c r="U5" t="s">
        <v>17</v>
      </c>
      <c r="V5">
        <v>122507103</v>
      </c>
    </row>
    <row r="6" spans="1:22" ht="15.75" x14ac:dyDescent="0.25">
      <c r="A6" s="1" t="s">
        <v>18</v>
      </c>
      <c r="B6" s="10">
        <v>590029270</v>
      </c>
      <c r="C6" s="12">
        <v>77</v>
      </c>
      <c r="D6" s="38">
        <f>'Quiz 1'!O7</f>
        <v>15</v>
      </c>
      <c r="E6" s="38">
        <f>'Assignment 1'!N7/10</f>
        <v>14</v>
      </c>
      <c r="F6" s="38">
        <f>'Class Test 1'!P7</f>
        <v>12</v>
      </c>
      <c r="G6" s="38">
        <f>'Quiz 2'!O7</f>
        <v>15</v>
      </c>
      <c r="H6" s="10">
        <f>'Assignment 2'!N7</f>
        <v>15</v>
      </c>
      <c r="I6" s="10">
        <f>'Class Test 2'!O7</f>
        <v>11.5</v>
      </c>
      <c r="J6" s="29">
        <f t="shared" ref="J6:J63" si="0">SUM(D6:I6)</f>
        <v>82.5</v>
      </c>
      <c r="K6" s="29">
        <v>39</v>
      </c>
      <c r="L6" s="29">
        <f t="shared" ref="L6:L63" si="1">SUM(J6:K6)/2</f>
        <v>60.75</v>
      </c>
      <c r="M6" s="29">
        <f t="shared" ref="M6:M63" si="2">L6*0.5</f>
        <v>30.375</v>
      </c>
      <c r="N6" s="29">
        <f t="shared" ref="N6:N63" si="3">O6/5</f>
        <v>6.4</v>
      </c>
      <c r="O6" s="29">
        <f>'Mid Sem'!O7</f>
        <v>32</v>
      </c>
      <c r="P6" s="29">
        <f>'End Sem'!N7</f>
        <v>0</v>
      </c>
      <c r="Q6" s="29">
        <f t="shared" ref="Q6:Q63" si="4">P6*0.3</f>
        <v>0</v>
      </c>
      <c r="R6" s="26">
        <f t="shared" ref="R6:R63" si="5">SUM(M6,N6,Q6)</f>
        <v>36.774999999999999</v>
      </c>
      <c r="S6" s="39"/>
      <c r="U6" t="s">
        <v>19</v>
      </c>
      <c r="V6">
        <v>25010104938</v>
      </c>
    </row>
    <row r="7" spans="1:22" ht="15.75" x14ac:dyDescent="0.25">
      <c r="A7" s="1" t="s">
        <v>20</v>
      </c>
      <c r="B7" s="10">
        <v>590029204</v>
      </c>
      <c r="C7" s="12">
        <v>77</v>
      </c>
      <c r="D7" s="38">
        <f>'Quiz 1'!O8</f>
        <v>8</v>
      </c>
      <c r="E7" s="38">
        <f>'Assignment 1'!N8/10</f>
        <v>14.2</v>
      </c>
      <c r="F7" s="38">
        <f>'Class Test 1'!P8</f>
        <v>7</v>
      </c>
      <c r="G7" s="38">
        <f>'Quiz 2'!O8</f>
        <v>10.5</v>
      </c>
      <c r="H7" s="10">
        <f>'Assignment 2'!N8</f>
        <v>14</v>
      </c>
      <c r="I7" s="10">
        <f>'Class Test 2'!O8</f>
        <v>11.5</v>
      </c>
      <c r="J7" s="29">
        <f t="shared" si="0"/>
        <v>65.2</v>
      </c>
      <c r="K7" s="29">
        <v>73.5</v>
      </c>
      <c r="L7" s="29">
        <f t="shared" si="1"/>
        <v>69.349999999999994</v>
      </c>
      <c r="M7" s="29">
        <f t="shared" si="2"/>
        <v>34.674999999999997</v>
      </c>
      <c r="N7" s="29">
        <f t="shared" si="3"/>
        <v>5.8</v>
      </c>
      <c r="O7" s="29">
        <f>'Mid Sem'!O8</f>
        <v>29</v>
      </c>
      <c r="P7" s="29">
        <f>'End Sem'!N8</f>
        <v>0</v>
      </c>
      <c r="Q7" s="29">
        <f t="shared" si="4"/>
        <v>0</v>
      </c>
      <c r="R7" s="26">
        <f t="shared" si="5"/>
        <v>40.474999999999994</v>
      </c>
      <c r="S7" s="39"/>
      <c r="U7" t="s">
        <v>21</v>
      </c>
      <c r="V7">
        <v>25010104918</v>
      </c>
    </row>
    <row r="8" spans="1:22" ht="15.75" x14ac:dyDescent="0.25">
      <c r="A8" s="1" t="s">
        <v>22</v>
      </c>
      <c r="B8" s="10">
        <v>590029109</v>
      </c>
      <c r="C8" s="12">
        <v>77</v>
      </c>
      <c r="D8" s="38">
        <f>'Quiz 1'!O9</f>
        <v>11</v>
      </c>
      <c r="E8" s="38">
        <f>'Assignment 1'!N9/10</f>
        <v>15</v>
      </c>
      <c r="F8" s="38">
        <f>'Class Test 1'!P9</f>
        <v>15</v>
      </c>
      <c r="G8" s="38">
        <f>'Quiz 2'!O9</f>
        <v>15</v>
      </c>
      <c r="H8" s="10">
        <f>'Assignment 2'!N9</f>
        <v>15</v>
      </c>
      <c r="I8" s="10">
        <f>'Class Test 2'!O9</f>
        <v>0</v>
      </c>
      <c r="J8" s="29">
        <f t="shared" si="0"/>
        <v>71</v>
      </c>
      <c r="K8" s="29">
        <v>54.5</v>
      </c>
      <c r="L8" s="29">
        <f t="shared" si="1"/>
        <v>62.75</v>
      </c>
      <c r="M8" s="29">
        <f t="shared" si="2"/>
        <v>31.375</v>
      </c>
      <c r="N8" s="29">
        <f t="shared" si="3"/>
        <v>7.6</v>
      </c>
      <c r="O8" s="29">
        <f>'Mid Sem'!O9</f>
        <v>38</v>
      </c>
      <c r="P8" s="29">
        <f>'End Sem'!N9</f>
        <v>0</v>
      </c>
      <c r="Q8" s="29">
        <f t="shared" si="4"/>
        <v>0</v>
      </c>
      <c r="R8" s="26">
        <f t="shared" si="5"/>
        <v>38.975000000000001</v>
      </c>
      <c r="S8" s="39"/>
      <c r="U8" t="s">
        <v>23</v>
      </c>
      <c r="V8">
        <v>25010104943</v>
      </c>
    </row>
    <row r="9" spans="1:22" ht="15.75" x14ac:dyDescent="0.25">
      <c r="A9" s="1" t="s">
        <v>24</v>
      </c>
      <c r="B9" s="10">
        <v>590029070</v>
      </c>
      <c r="C9" s="12">
        <v>77</v>
      </c>
      <c r="D9" s="38">
        <f>'Quiz 1'!O10</f>
        <v>13</v>
      </c>
      <c r="E9" s="38">
        <f>'Assignment 1'!N10/10</f>
        <v>14.2</v>
      </c>
      <c r="F9" s="38">
        <f>'Class Test 1'!P10</f>
        <v>16</v>
      </c>
      <c r="G9" s="38">
        <f>'Quiz 2'!O10</f>
        <v>15</v>
      </c>
      <c r="H9" s="10">
        <f>'Assignment 2'!N10</f>
        <v>15</v>
      </c>
      <c r="I9" s="10">
        <f>'Class Test 2'!O10</f>
        <v>17.5</v>
      </c>
      <c r="J9" s="29">
        <f t="shared" si="0"/>
        <v>90.7</v>
      </c>
      <c r="K9" s="29">
        <v>97.5</v>
      </c>
      <c r="L9" s="29">
        <f t="shared" si="1"/>
        <v>94.1</v>
      </c>
      <c r="M9" s="29">
        <f t="shared" si="2"/>
        <v>47.05</v>
      </c>
      <c r="N9" s="29">
        <f t="shared" si="3"/>
        <v>18</v>
      </c>
      <c r="O9" s="29">
        <f>'Mid Sem'!O10</f>
        <v>90</v>
      </c>
      <c r="P9" s="29">
        <f>'End Sem'!N10</f>
        <v>0</v>
      </c>
      <c r="Q9" s="29">
        <f t="shared" si="4"/>
        <v>0</v>
      </c>
      <c r="R9" s="26">
        <f t="shared" si="5"/>
        <v>65.05</v>
      </c>
      <c r="S9" s="39"/>
      <c r="U9" t="s">
        <v>25</v>
      </c>
      <c r="V9">
        <v>25010104926</v>
      </c>
    </row>
    <row r="10" spans="1:22" ht="15.75" x14ac:dyDescent="0.25">
      <c r="A10" s="1" t="s">
        <v>26</v>
      </c>
      <c r="B10" s="10">
        <v>590029157</v>
      </c>
      <c r="C10" s="12">
        <v>77</v>
      </c>
      <c r="D10" s="38">
        <f>'Quiz 1'!O11</f>
        <v>15</v>
      </c>
      <c r="E10" s="38">
        <f>'Assignment 1'!N11/10</f>
        <v>13.6</v>
      </c>
      <c r="F10" s="38">
        <f>'Class Test 1'!P11</f>
        <v>12</v>
      </c>
      <c r="G10" s="38">
        <f>'Quiz 2'!O11</f>
        <v>12.5</v>
      </c>
      <c r="H10" s="10">
        <f>'Assignment 2'!N11</f>
        <v>15</v>
      </c>
      <c r="I10" s="10">
        <f>'Class Test 2'!O11</f>
        <v>15.5</v>
      </c>
      <c r="J10" s="29">
        <f t="shared" si="0"/>
        <v>83.6</v>
      </c>
      <c r="K10" s="29">
        <v>40</v>
      </c>
      <c r="L10" s="29">
        <f t="shared" si="1"/>
        <v>61.8</v>
      </c>
      <c r="M10" s="29">
        <f t="shared" si="2"/>
        <v>30.9</v>
      </c>
      <c r="N10" s="29">
        <f t="shared" si="3"/>
        <v>2.8</v>
      </c>
      <c r="O10" s="29">
        <f>'Mid Sem'!O11</f>
        <v>14</v>
      </c>
      <c r="P10" s="29">
        <f>'End Sem'!N11</f>
        <v>0</v>
      </c>
      <c r="Q10" s="29">
        <f t="shared" si="4"/>
        <v>0</v>
      </c>
      <c r="R10" s="26">
        <f t="shared" si="5"/>
        <v>33.699999999999996</v>
      </c>
      <c r="S10" s="39"/>
      <c r="U10" t="s">
        <v>27</v>
      </c>
      <c r="V10">
        <v>25010104890</v>
      </c>
    </row>
    <row r="11" spans="1:22" ht="15.75" x14ac:dyDescent="0.25">
      <c r="A11" s="1" t="s">
        <v>28</v>
      </c>
      <c r="B11" s="10">
        <v>590027157</v>
      </c>
      <c r="C11" s="12">
        <v>77</v>
      </c>
      <c r="D11" s="38">
        <f>'Quiz 1'!O12</f>
        <v>8.5</v>
      </c>
      <c r="E11" s="38">
        <f>'Assignment 1'!N12/10</f>
        <v>13.9</v>
      </c>
      <c r="F11" s="38">
        <f>'Class Test 1'!P12</f>
        <v>14</v>
      </c>
      <c r="G11" s="38">
        <f>'Quiz 2'!O12</f>
        <v>10</v>
      </c>
      <c r="H11" s="10">
        <f>'Assignment 2'!N12</f>
        <v>0</v>
      </c>
      <c r="I11" s="10">
        <f>'Class Test 2'!O12</f>
        <v>0</v>
      </c>
      <c r="J11" s="29">
        <f t="shared" si="0"/>
        <v>46.4</v>
      </c>
      <c r="K11" s="29">
        <v>54</v>
      </c>
      <c r="L11" s="29">
        <f t="shared" si="1"/>
        <v>50.2</v>
      </c>
      <c r="M11" s="29">
        <f t="shared" si="2"/>
        <v>25.1</v>
      </c>
      <c r="N11" s="29">
        <f t="shared" si="3"/>
        <v>10</v>
      </c>
      <c r="O11" s="29">
        <f>'Mid Sem'!O12</f>
        <v>50</v>
      </c>
      <c r="P11" s="29">
        <f>'End Sem'!N12</f>
        <v>0</v>
      </c>
      <c r="Q11" s="29">
        <f t="shared" si="4"/>
        <v>0</v>
      </c>
      <c r="R11" s="26">
        <f t="shared" si="5"/>
        <v>35.1</v>
      </c>
      <c r="S11" s="39"/>
      <c r="U11" t="s">
        <v>29</v>
      </c>
      <c r="V11">
        <v>25010104880</v>
      </c>
    </row>
    <row r="12" spans="1:22" ht="15.75" x14ac:dyDescent="0.25">
      <c r="A12" s="1" t="s">
        <v>30</v>
      </c>
      <c r="B12" s="10">
        <v>590029274</v>
      </c>
      <c r="C12" s="12">
        <v>77</v>
      </c>
      <c r="D12" s="38">
        <f>'Quiz 1'!O13</f>
        <v>8.5</v>
      </c>
      <c r="E12" s="38">
        <f>'Assignment 1'!N13/10</f>
        <v>13.8</v>
      </c>
      <c r="F12" s="38">
        <f>'Class Test 1'!P13</f>
        <v>19</v>
      </c>
      <c r="G12" s="38">
        <f>'Quiz 2'!O13</f>
        <v>14</v>
      </c>
      <c r="H12" s="10">
        <f>'Assignment 2'!N13</f>
        <v>15</v>
      </c>
      <c r="I12" s="10">
        <f>'Class Test 2'!O13</f>
        <v>10.5</v>
      </c>
      <c r="J12" s="29">
        <f t="shared" si="0"/>
        <v>80.8</v>
      </c>
      <c r="K12" s="29">
        <v>44.5</v>
      </c>
      <c r="L12" s="29">
        <f t="shared" si="1"/>
        <v>62.65</v>
      </c>
      <c r="M12" s="29">
        <f t="shared" si="2"/>
        <v>31.324999999999999</v>
      </c>
      <c r="N12" s="29">
        <f t="shared" si="3"/>
        <v>1.6</v>
      </c>
      <c r="O12" s="29">
        <f>'Mid Sem'!O13</f>
        <v>8</v>
      </c>
      <c r="P12" s="29">
        <f>'End Sem'!N13</f>
        <v>0</v>
      </c>
      <c r="Q12" s="29">
        <f t="shared" si="4"/>
        <v>0</v>
      </c>
      <c r="R12" s="26">
        <f t="shared" si="5"/>
        <v>32.924999999999997</v>
      </c>
      <c r="S12" s="39"/>
      <c r="U12" t="s">
        <v>31</v>
      </c>
      <c r="V12">
        <v>25010104928</v>
      </c>
    </row>
    <row r="13" spans="1:22" ht="15.75" x14ac:dyDescent="0.25">
      <c r="A13" s="1" t="s">
        <v>32</v>
      </c>
      <c r="B13" s="10">
        <v>590028572</v>
      </c>
      <c r="C13" s="12">
        <v>77</v>
      </c>
      <c r="D13" s="38">
        <f>'Quiz 1'!O14</f>
        <v>12</v>
      </c>
      <c r="E13" s="38">
        <f>'Assignment 1'!N14/10</f>
        <v>14.5</v>
      </c>
      <c r="F13" s="38">
        <f>'Class Test 1'!P14</f>
        <v>20</v>
      </c>
      <c r="G13" s="38">
        <f>'Quiz 2'!O14</f>
        <v>12</v>
      </c>
      <c r="H13" s="10">
        <f>'Assignment 2'!N14</f>
        <v>15</v>
      </c>
      <c r="I13" s="10">
        <f>'Class Test 2'!O14</f>
        <v>18.5</v>
      </c>
      <c r="J13" s="29">
        <f t="shared" si="0"/>
        <v>92</v>
      </c>
      <c r="K13" s="29">
        <v>98</v>
      </c>
      <c r="L13" s="29">
        <f t="shared" si="1"/>
        <v>95</v>
      </c>
      <c r="M13" s="29">
        <f t="shared" si="2"/>
        <v>47.5</v>
      </c>
      <c r="N13" s="29">
        <f t="shared" si="3"/>
        <v>10.8</v>
      </c>
      <c r="O13" s="29">
        <f>'Mid Sem'!O14</f>
        <v>54</v>
      </c>
      <c r="P13" s="29">
        <f>'End Sem'!N14</f>
        <v>0</v>
      </c>
      <c r="Q13" s="29">
        <f t="shared" si="4"/>
        <v>0</v>
      </c>
      <c r="R13" s="26">
        <f t="shared" si="5"/>
        <v>58.3</v>
      </c>
      <c r="S13" s="39"/>
      <c r="U13" t="s">
        <v>33</v>
      </c>
      <c r="V13">
        <v>25010104903</v>
      </c>
    </row>
    <row r="14" spans="1:22" ht="15.75" x14ac:dyDescent="0.25">
      <c r="A14" s="1" t="s">
        <v>34</v>
      </c>
      <c r="B14" s="10">
        <v>590029230</v>
      </c>
      <c r="C14" s="12">
        <v>77</v>
      </c>
      <c r="D14" s="38">
        <f>'Quiz 1'!O15</f>
        <v>0</v>
      </c>
      <c r="E14" s="38">
        <f>'Assignment 1'!N15/10</f>
        <v>0</v>
      </c>
      <c r="F14" s="38">
        <f>'Class Test 1'!P15</f>
        <v>0</v>
      </c>
      <c r="G14" s="38">
        <f>'Quiz 2'!O15</f>
        <v>0</v>
      </c>
      <c r="H14" s="10">
        <f>'Assignment 2'!N15</f>
        <v>0</v>
      </c>
      <c r="I14" s="10">
        <f>'Class Test 2'!O15</f>
        <v>0</v>
      </c>
      <c r="J14" s="29">
        <f t="shared" si="0"/>
        <v>0</v>
      </c>
      <c r="K14" s="29">
        <v>0</v>
      </c>
      <c r="L14" s="29">
        <f t="shared" si="1"/>
        <v>0</v>
      </c>
      <c r="M14" s="29">
        <f t="shared" si="2"/>
        <v>0</v>
      </c>
      <c r="N14" s="29">
        <f t="shared" si="3"/>
        <v>0</v>
      </c>
      <c r="O14" s="29">
        <f>'Mid Sem'!O15</f>
        <v>0</v>
      </c>
      <c r="P14" s="29">
        <f>'End Sem'!N15</f>
        <v>0</v>
      </c>
      <c r="Q14" s="29">
        <f t="shared" si="4"/>
        <v>0</v>
      </c>
      <c r="R14" s="26">
        <f t="shared" si="5"/>
        <v>0</v>
      </c>
      <c r="S14" s="39"/>
      <c r="U14" t="s">
        <v>35</v>
      </c>
      <c r="V14">
        <v>25010104910</v>
      </c>
    </row>
    <row r="15" spans="1:22" ht="15.75" x14ac:dyDescent="0.25">
      <c r="A15" s="1" t="s">
        <v>36</v>
      </c>
      <c r="B15" s="10">
        <v>590029169</v>
      </c>
      <c r="C15" s="12">
        <v>77</v>
      </c>
      <c r="D15" s="38">
        <f>'Quiz 1'!O16</f>
        <v>10.5</v>
      </c>
      <c r="E15" s="38">
        <f>'Assignment 1'!N16/10</f>
        <v>13.7</v>
      </c>
      <c r="F15" s="38">
        <f>'Class Test 1'!P16</f>
        <v>9</v>
      </c>
      <c r="G15" s="38">
        <f>'Quiz 2'!O16</f>
        <v>13</v>
      </c>
      <c r="H15" s="10">
        <f>'Assignment 2'!N16</f>
        <v>15</v>
      </c>
      <c r="I15" s="10">
        <f>'Class Test 2'!O16</f>
        <v>10.5</v>
      </c>
      <c r="J15" s="29">
        <f t="shared" si="0"/>
        <v>71.7</v>
      </c>
      <c r="K15" s="29">
        <v>39</v>
      </c>
      <c r="L15" s="29">
        <f t="shared" si="1"/>
        <v>55.35</v>
      </c>
      <c r="M15" s="29">
        <f t="shared" si="2"/>
        <v>27.675000000000001</v>
      </c>
      <c r="N15" s="29">
        <f t="shared" si="3"/>
        <v>0.2</v>
      </c>
      <c r="O15" s="29">
        <f>'Mid Sem'!O16</f>
        <v>1</v>
      </c>
      <c r="P15" s="29">
        <f>'End Sem'!N16</f>
        <v>0</v>
      </c>
      <c r="Q15" s="29">
        <f t="shared" si="4"/>
        <v>0</v>
      </c>
      <c r="R15" s="26">
        <f t="shared" si="5"/>
        <v>27.875</v>
      </c>
      <c r="S15" s="39"/>
      <c r="U15" t="s">
        <v>37</v>
      </c>
      <c r="V15">
        <v>25010104944</v>
      </c>
    </row>
    <row r="16" spans="1:22" ht="15.75" x14ac:dyDescent="0.25">
      <c r="A16" s="1" t="s">
        <v>38</v>
      </c>
      <c r="B16" s="10">
        <v>590029112</v>
      </c>
      <c r="C16" s="12">
        <v>77</v>
      </c>
      <c r="D16" s="38">
        <f>'Quiz 1'!O17</f>
        <v>12</v>
      </c>
      <c r="E16" s="38">
        <f>'Assignment 1'!N17/10</f>
        <v>13.4</v>
      </c>
      <c r="F16" s="38">
        <f>'Class Test 1'!P17</f>
        <v>15</v>
      </c>
      <c r="G16" s="38">
        <f>'Quiz 2'!O17</f>
        <v>6</v>
      </c>
      <c r="H16" s="10">
        <f>'Assignment 2'!N17</f>
        <v>14</v>
      </c>
      <c r="I16" s="10">
        <f>'Class Test 2'!O17</f>
        <v>15</v>
      </c>
      <c r="J16" s="29">
        <f t="shared" si="0"/>
        <v>75.400000000000006</v>
      </c>
      <c r="K16" s="29">
        <v>65</v>
      </c>
      <c r="L16" s="29">
        <f t="shared" si="1"/>
        <v>70.2</v>
      </c>
      <c r="M16" s="29">
        <f t="shared" si="2"/>
        <v>35.1</v>
      </c>
      <c r="N16" s="29">
        <f t="shared" si="3"/>
        <v>7</v>
      </c>
      <c r="O16" s="29">
        <f>'Mid Sem'!O17</f>
        <v>35</v>
      </c>
      <c r="P16" s="29">
        <f>'End Sem'!N17</f>
        <v>0</v>
      </c>
      <c r="Q16" s="29">
        <f t="shared" si="4"/>
        <v>0</v>
      </c>
      <c r="R16" s="26">
        <f t="shared" si="5"/>
        <v>42.1</v>
      </c>
      <c r="S16" s="39"/>
      <c r="U16" t="s">
        <v>39</v>
      </c>
      <c r="V16">
        <v>25010104876</v>
      </c>
    </row>
    <row r="17" spans="1:22" ht="15.75" x14ac:dyDescent="0.25">
      <c r="A17" s="1" t="s">
        <v>40</v>
      </c>
      <c r="B17" s="10">
        <v>590025556</v>
      </c>
      <c r="C17" s="12">
        <v>77</v>
      </c>
      <c r="D17" s="38">
        <f>'Quiz 1'!O18</f>
        <v>0</v>
      </c>
      <c r="E17" s="38">
        <f>'Assignment 1'!N18/10</f>
        <v>14</v>
      </c>
      <c r="F17" s="38">
        <f>'Class Test 1'!P18</f>
        <v>19</v>
      </c>
      <c r="G17" s="38">
        <f>'Quiz 2'!O18</f>
        <v>15</v>
      </c>
      <c r="H17" s="10">
        <f>'Assignment 2'!N18</f>
        <v>15</v>
      </c>
      <c r="I17" s="10">
        <f>'Class Test 2'!O18</f>
        <v>17.5</v>
      </c>
      <c r="J17" s="29">
        <f t="shared" si="0"/>
        <v>80.5</v>
      </c>
      <c r="K17" s="29">
        <v>68.5</v>
      </c>
      <c r="L17" s="29">
        <f t="shared" si="1"/>
        <v>74.5</v>
      </c>
      <c r="M17" s="29">
        <f t="shared" si="2"/>
        <v>37.25</v>
      </c>
      <c r="N17" s="29">
        <f t="shared" si="3"/>
        <v>11.4</v>
      </c>
      <c r="O17" s="29">
        <f>'Mid Sem'!O18</f>
        <v>57</v>
      </c>
      <c r="P17" s="29">
        <f>'End Sem'!N18</f>
        <v>0</v>
      </c>
      <c r="Q17" s="29">
        <f t="shared" si="4"/>
        <v>0</v>
      </c>
      <c r="R17" s="26">
        <f t="shared" si="5"/>
        <v>48.65</v>
      </c>
      <c r="S17" s="39"/>
      <c r="U17" t="s">
        <v>41</v>
      </c>
      <c r="V17">
        <v>122515743</v>
      </c>
    </row>
    <row r="18" spans="1:22" ht="15.75" x14ac:dyDescent="0.25">
      <c r="A18" s="1" t="s">
        <v>42</v>
      </c>
      <c r="B18" s="10">
        <v>590027830</v>
      </c>
      <c r="C18" s="12">
        <v>77</v>
      </c>
      <c r="D18" s="38">
        <f>'Quiz 1'!O19</f>
        <v>0</v>
      </c>
      <c r="E18" s="38">
        <f>'Assignment 1'!N19/10</f>
        <v>14.7</v>
      </c>
      <c r="F18" s="38">
        <f>'Class Test 1'!P19</f>
        <v>18.5</v>
      </c>
      <c r="G18" s="38">
        <f>'Quiz 2'!O19</f>
        <v>10</v>
      </c>
      <c r="H18" s="10">
        <f>'Assignment 2'!N19</f>
        <v>15</v>
      </c>
      <c r="I18" s="10">
        <f>'Class Test 2'!O19</f>
        <v>14</v>
      </c>
      <c r="J18" s="29">
        <f t="shared" si="0"/>
        <v>72.2</v>
      </c>
      <c r="K18" s="29">
        <v>85.5</v>
      </c>
      <c r="L18" s="29">
        <f t="shared" si="1"/>
        <v>78.849999999999994</v>
      </c>
      <c r="M18" s="29">
        <f t="shared" si="2"/>
        <v>39.424999999999997</v>
      </c>
      <c r="N18" s="29">
        <f t="shared" si="3"/>
        <v>19.600000000000001</v>
      </c>
      <c r="O18" s="29">
        <f>'Mid Sem'!O19</f>
        <v>98</v>
      </c>
      <c r="P18" s="29">
        <f>'End Sem'!N19</f>
        <v>0</v>
      </c>
      <c r="Q18" s="29">
        <f t="shared" si="4"/>
        <v>0</v>
      </c>
      <c r="R18" s="26">
        <f t="shared" si="5"/>
        <v>59.024999999999999</v>
      </c>
      <c r="S18" s="1"/>
      <c r="U18" t="s">
        <v>43</v>
      </c>
      <c r="V18">
        <v>25010104886</v>
      </c>
    </row>
    <row r="19" spans="1:22" ht="15.75" x14ac:dyDescent="0.25">
      <c r="A19" s="1" t="s">
        <v>44</v>
      </c>
      <c r="B19" s="10">
        <v>590028360</v>
      </c>
      <c r="C19" s="12">
        <v>77</v>
      </c>
      <c r="D19" s="38">
        <f>'Quiz 1'!O20</f>
        <v>10</v>
      </c>
      <c r="E19" s="38">
        <f>'Assignment 1'!N20/10</f>
        <v>13.5</v>
      </c>
      <c r="F19" s="38">
        <f>'Class Test 1'!P20</f>
        <v>11.5</v>
      </c>
      <c r="G19" s="38">
        <f>'Quiz 2'!O20</f>
        <v>14</v>
      </c>
      <c r="H19" s="10">
        <f>'Assignment 2'!N20</f>
        <v>15</v>
      </c>
      <c r="I19" s="10">
        <f>'Class Test 2'!O20</f>
        <v>14.5</v>
      </c>
      <c r="J19" s="29">
        <f t="shared" si="0"/>
        <v>78.5</v>
      </c>
      <c r="K19" s="29">
        <v>84.5</v>
      </c>
      <c r="L19" s="29">
        <f t="shared" si="1"/>
        <v>81.5</v>
      </c>
      <c r="M19" s="29">
        <f t="shared" si="2"/>
        <v>40.75</v>
      </c>
      <c r="N19" s="29">
        <f t="shared" si="3"/>
        <v>10.199999999999999</v>
      </c>
      <c r="O19" s="29">
        <f>'Mid Sem'!O20</f>
        <v>51</v>
      </c>
      <c r="P19" s="29">
        <f>'End Sem'!N20</f>
        <v>0</v>
      </c>
      <c r="Q19" s="29">
        <f t="shared" si="4"/>
        <v>0</v>
      </c>
      <c r="R19" s="26">
        <f t="shared" si="5"/>
        <v>50.95</v>
      </c>
      <c r="S19" s="1"/>
      <c r="U19" t="s">
        <v>45</v>
      </c>
      <c r="V19">
        <v>25010104881</v>
      </c>
    </row>
    <row r="20" spans="1:22" ht="15.75" x14ac:dyDescent="0.25">
      <c r="A20" s="1" t="s">
        <v>46</v>
      </c>
      <c r="B20" s="10">
        <v>590029237</v>
      </c>
      <c r="C20" s="12">
        <v>77</v>
      </c>
      <c r="D20" s="38">
        <f>'Quiz 1'!O21</f>
        <v>8</v>
      </c>
      <c r="E20" s="38">
        <f>'Assignment 1'!N21/10</f>
        <v>14.3</v>
      </c>
      <c r="F20" s="38">
        <f>'Class Test 1'!P21</f>
        <v>10.5</v>
      </c>
      <c r="G20" s="38">
        <f>'Quiz 2'!O21</f>
        <v>10</v>
      </c>
      <c r="H20" s="10">
        <f>'Assignment 2'!N21</f>
        <v>14</v>
      </c>
      <c r="I20" s="10">
        <f>'Class Test 2'!O21</f>
        <v>6</v>
      </c>
      <c r="J20" s="29">
        <f t="shared" si="0"/>
        <v>62.8</v>
      </c>
      <c r="K20" s="29">
        <v>51</v>
      </c>
      <c r="L20" s="29">
        <f t="shared" si="1"/>
        <v>56.9</v>
      </c>
      <c r="M20" s="29">
        <f t="shared" si="2"/>
        <v>28.45</v>
      </c>
      <c r="N20" s="29">
        <f t="shared" si="3"/>
        <v>5.8</v>
      </c>
      <c r="O20" s="29">
        <f>'Mid Sem'!O21</f>
        <v>29</v>
      </c>
      <c r="P20" s="29">
        <f>'End Sem'!N21</f>
        <v>0</v>
      </c>
      <c r="Q20" s="29">
        <f t="shared" si="4"/>
        <v>0</v>
      </c>
      <c r="R20" s="26">
        <f t="shared" si="5"/>
        <v>34.25</v>
      </c>
      <c r="S20" s="1"/>
      <c r="U20" t="s">
        <v>47</v>
      </c>
      <c r="V20">
        <v>25010104909</v>
      </c>
    </row>
    <row r="21" spans="1:22" ht="15.75" x14ac:dyDescent="0.25">
      <c r="A21" s="1" t="s">
        <v>48</v>
      </c>
      <c r="B21" s="10">
        <v>590029079</v>
      </c>
      <c r="C21" s="12">
        <v>77</v>
      </c>
      <c r="D21" s="38">
        <f>'Quiz 1'!O22</f>
        <v>0</v>
      </c>
      <c r="E21" s="38">
        <f>'Assignment 1'!N22/10</f>
        <v>0</v>
      </c>
      <c r="F21" s="38">
        <f>'Class Test 1'!P22</f>
        <v>0</v>
      </c>
      <c r="G21" s="38">
        <f>'Quiz 2'!O22</f>
        <v>0</v>
      </c>
      <c r="H21" s="10">
        <f>'Assignment 2'!N22</f>
        <v>0</v>
      </c>
      <c r="I21" s="10">
        <f>'Class Test 2'!O22</f>
        <v>0</v>
      </c>
      <c r="J21" s="29">
        <f t="shared" si="0"/>
        <v>0</v>
      </c>
      <c r="K21" s="29">
        <v>0</v>
      </c>
      <c r="L21" s="29">
        <f t="shared" si="1"/>
        <v>0</v>
      </c>
      <c r="M21" s="29">
        <f t="shared" si="2"/>
        <v>0</v>
      </c>
      <c r="N21" s="29">
        <f t="shared" si="3"/>
        <v>0.2</v>
      </c>
      <c r="O21" s="29">
        <f>'Mid Sem'!O22</f>
        <v>1</v>
      </c>
      <c r="P21" s="29">
        <f>'End Sem'!N22</f>
        <v>0</v>
      </c>
      <c r="Q21" s="29">
        <f t="shared" si="4"/>
        <v>0</v>
      </c>
      <c r="R21" s="26">
        <f t="shared" si="5"/>
        <v>0.2</v>
      </c>
      <c r="S21" s="1"/>
      <c r="U21" t="s">
        <v>49</v>
      </c>
      <c r="V21">
        <v>25010104906</v>
      </c>
    </row>
    <row r="22" spans="1:22" ht="15.75" x14ac:dyDescent="0.25">
      <c r="A22" s="1" t="s">
        <v>50</v>
      </c>
      <c r="B22" s="10">
        <v>590029145</v>
      </c>
      <c r="C22" s="12">
        <v>77</v>
      </c>
      <c r="D22" s="38">
        <f>'Quiz 1'!O23</f>
        <v>15</v>
      </c>
      <c r="E22" s="38">
        <f>'Assignment 1'!N23/10</f>
        <v>13.6</v>
      </c>
      <c r="F22" s="38">
        <f>'Class Test 1'!P23</f>
        <v>19</v>
      </c>
      <c r="G22" s="38">
        <f>'Quiz 2'!O23</f>
        <v>15</v>
      </c>
      <c r="H22" s="10">
        <f>'Assignment 2'!N23</f>
        <v>15</v>
      </c>
      <c r="I22" s="10">
        <f>'Class Test 2'!O23</f>
        <v>18</v>
      </c>
      <c r="J22" s="29">
        <f t="shared" si="0"/>
        <v>95.6</v>
      </c>
      <c r="K22" s="29">
        <v>67</v>
      </c>
      <c r="L22" s="29">
        <f t="shared" si="1"/>
        <v>81.3</v>
      </c>
      <c r="M22" s="29">
        <f t="shared" si="2"/>
        <v>40.65</v>
      </c>
      <c r="N22" s="29">
        <f t="shared" si="3"/>
        <v>4.5999999999999996</v>
      </c>
      <c r="O22" s="29">
        <f>'Mid Sem'!O23</f>
        <v>23</v>
      </c>
      <c r="P22" s="29">
        <f>'End Sem'!N23</f>
        <v>0</v>
      </c>
      <c r="Q22" s="29">
        <f t="shared" si="4"/>
        <v>0</v>
      </c>
      <c r="R22" s="26">
        <f t="shared" si="5"/>
        <v>45.25</v>
      </c>
      <c r="S22" s="1"/>
      <c r="U22" t="s">
        <v>51</v>
      </c>
      <c r="V22">
        <v>25010104892</v>
      </c>
    </row>
    <row r="23" spans="1:22" ht="15.75" x14ac:dyDescent="0.25">
      <c r="A23" s="1" t="s">
        <v>52</v>
      </c>
      <c r="B23" s="10">
        <v>590029209</v>
      </c>
      <c r="C23" s="12">
        <v>77</v>
      </c>
      <c r="D23" s="38">
        <f>'Quiz 1'!O24</f>
        <v>11</v>
      </c>
      <c r="E23" s="38">
        <f>'Assignment 1'!N24/10</f>
        <v>0</v>
      </c>
      <c r="F23" s="38">
        <f>'Class Test 1'!P24</f>
        <v>0</v>
      </c>
      <c r="G23" s="38">
        <f>'Quiz 2'!O24</f>
        <v>8</v>
      </c>
      <c r="H23" s="10">
        <f>'Assignment 2'!N24</f>
        <v>0</v>
      </c>
      <c r="I23" s="10">
        <f>'Class Test 2'!O24</f>
        <v>13</v>
      </c>
      <c r="J23" s="29">
        <f t="shared" si="0"/>
        <v>32</v>
      </c>
      <c r="K23" s="29">
        <v>28</v>
      </c>
      <c r="L23" s="29">
        <f t="shared" si="1"/>
        <v>30</v>
      </c>
      <c r="M23" s="29">
        <f t="shared" si="2"/>
        <v>15</v>
      </c>
      <c r="N23" s="29">
        <f t="shared" si="3"/>
        <v>3.4</v>
      </c>
      <c r="O23" s="29">
        <f>'Mid Sem'!O24</f>
        <v>17</v>
      </c>
      <c r="P23" s="29">
        <f>'End Sem'!N24</f>
        <v>0</v>
      </c>
      <c r="Q23" s="29">
        <f t="shared" si="4"/>
        <v>0</v>
      </c>
      <c r="R23" s="26">
        <f t="shared" si="5"/>
        <v>18.399999999999999</v>
      </c>
      <c r="S23" s="1"/>
      <c r="U23" t="s">
        <v>53</v>
      </c>
      <c r="V23">
        <v>25010104887</v>
      </c>
    </row>
    <row r="24" spans="1:22" ht="15.75" x14ac:dyDescent="0.25">
      <c r="A24" s="1" t="s">
        <v>54</v>
      </c>
      <c r="B24" s="10">
        <v>590027268</v>
      </c>
      <c r="C24" s="12">
        <v>77</v>
      </c>
      <c r="D24" s="38">
        <f>'Quiz 1'!O25</f>
        <v>11</v>
      </c>
      <c r="E24" s="38">
        <f>'Assignment 1'!N25/10</f>
        <v>0</v>
      </c>
      <c r="F24" s="38">
        <f>'Class Test 1'!P25</f>
        <v>12.5</v>
      </c>
      <c r="G24" s="38">
        <f>'Quiz 2'!O25</f>
        <v>7</v>
      </c>
      <c r="H24" s="10">
        <f>'Assignment 2'!N25</f>
        <v>15</v>
      </c>
      <c r="I24" s="10">
        <f>'Class Test 2'!O25</f>
        <v>12.5</v>
      </c>
      <c r="J24" s="29">
        <f t="shared" si="0"/>
        <v>58</v>
      </c>
      <c r="K24" s="29">
        <v>46.5</v>
      </c>
      <c r="L24" s="29">
        <f t="shared" si="1"/>
        <v>52.25</v>
      </c>
      <c r="M24" s="29">
        <f t="shared" si="2"/>
        <v>26.125</v>
      </c>
      <c r="N24" s="29">
        <f t="shared" si="3"/>
        <v>1.6</v>
      </c>
      <c r="O24" s="29">
        <f>'Mid Sem'!O25</f>
        <v>8</v>
      </c>
      <c r="P24" s="29">
        <f>'End Sem'!N25</f>
        <v>0</v>
      </c>
      <c r="Q24" s="29">
        <f t="shared" si="4"/>
        <v>0</v>
      </c>
      <c r="R24" s="26">
        <f t="shared" si="5"/>
        <v>27.725000000000001</v>
      </c>
      <c r="S24" s="36"/>
      <c r="U24" t="s">
        <v>55</v>
      </c>
      <c r="V24">
        <v>25010104933</v>
      </c>
    </row>
    <row r="25" spans="1:22" ht="15.75" x14ac:dyDescent="0.25">
      <c r="A25" s="1" t="s">
        <v>56</v>
      </c>
      <c r="B25" s="10">
        <v>590029227</v>
      </c>
      <c r="C25" s="12">
        <v>77</v>
      </c>
      <c r="D25" s="38">
        <f>'Quiz 1'!O26</f>
        <v>15</v>
      </c>
      <c r="E25" s="38">
        <f>'Assignment 1'!N26/10</f>
        <v>14.8</v>
      </c>
      <c r="F25" s="38">
        <f>'Class Test 1'!P26</f>
        <v>19.5</v>
      </c>
      <c r="G25" s="38">
        <f>'Quiz 2'!O26</f>
        <v>15</v>
      </c>
      <c r="H25" s="10">
        <f>'Assignment 2'!N26</f>
        <v>14</v>
      </c>
      <c r="I25" s="10">
        <f>'Class Test 2'!O26</f>
        <v>19.5</v>
      </c>
      <c r="J25" s="29">
        <f t="shared" si="0"/>
        <v>97.8</v>
      </c>
      <c r="K25" s="29">
        <v>93.5</v>
      </c>
      <c r="L25" s="29">
        <f t="shared" si="1"/>
        <v>95.65</v>
      </c>
      <c r="M25" s="29">
        <f t="shared" si="2"/>
        <v>47.825000000000003</v>
      </c>
      <c r="N25" s="29">
        <f t="shared" si="3"/>
        <v>17</v>
      </c>
      <c r="O25" s="29">
        <f>'Mid Sem'!O26</f>
        <v>85</v>
      </c>
      <c r="P25" s="29">
        <f>'End Sem'!N26</f>
        <v>0</v>
      </c>
      <c r="Q25" s="29">
        <f t="shared" si="4"/>
        <v>0</v>
      </c>
      <c r="R25" s="26">
        <f t="shared" si="5"/>
        <v>64.825000000000003</v>
      </c>
      <c r="S25" s="36"/>
      <c r="U25" t="s">
        <v>57</v>
      </c>
      <c r="V25">
        <v>25010104900</v>
      </c>
    </row>
    <row r="26" spans="1:22" ht="15.75" x14ac:dyDescent="0.25">
      <c r="A26" s="1" t="s">
        <v>58</v>
      </c>
      <c r="B26" s="10">
        <v>590029241</v>
      </c>
      <c r="C26" s="12">
        <v>77</v>
      </c>
      <c r="D26" s="38">
        <f>'Quiz 1'!O27</f>
        <v>14.5</v>
      </c>
      <c r="E26" s="38">
        <f>'Assignment 1'!N27/10</f>
        <v>13.8</v>
      </c>
      <c r="F26" s="38">
        <f>'Class Test 1'!P27</f>
        <v>11</v>
      </c>
      <c r="G26" s="38">
        <f>'Quiz 2'!O27</f>
        <v>11</v>
      </c>
      <c r="H26" s="10">
        <f>'Assignment 2'!N27</f>
        <v>15</v>
      </c>
      <c r="I26" s="10">
        <f>'Class Test 2'!O27</f>
        <v>19.5</v>
      </c>
      <c r="J26" s="29">
        <f t="shared" si="0"/>
        <v>84.8</v>
      </c>
      <c r="K26" s="29">
        <v>76</v>
      </c>
      <c r="L26" s="29">
        <f t="shared" si="1"/>
        <v>80.400000000000006</v>
      </c>
      <c r="M26" s="29">
        <f t="shared" si="2"/>
        <v>40.200000000000003</v>
      </c>
      <c r="N26" s="29">
        <f t="shared" si="3"/>
        <v>8.6</v>
      </c>
      <c r="O26" s="29">
        <f>'Mid Sem'!O27</f>
        <v>43</v>
      </c>
      <c r="P26" s="29">
        <f>'End Sem'!N27</f>
        <v>0</v>
      </c>
      <c r="Q26" s="29">
        <f t="shared" si="4"/>
        <v>0</v>
      </c>
      <c r="R26" s="26">
        <f t="shared" si="5"/>
        <v>48.800000000000004</v>
      </c>
      <c r="S26" s="36"/>
      <c r="U26" t="s">
        <v>59</v>
      </c>
      <c r="V26">
        <v>25010104915</v>
      </c>
    </row>
    <row r="27" spans="1:22" ht="15.75" x14ac:dyDescent="0.25">
      <c r="A27" s="1" t="s">
        <v>60</v>
      </c>
      <c r="B27" s="10">
        <v>590023855</v>
      </c>
      <c r="C27" s="12">
        <v>77</v>
      </c>
      <c r="D27" s="38">
        <f>'Quiz 1'!O28</f>
        <v>12</v>
      </c>
      <c r="E27" s="38">
        <f>'Assignment 1'!N28/10</f>
        <v>0</v>
      </c>
      <c r="F27" s="38">
        <f>'Class Test 1'!P28</f>
        <v>11.5</v>
      </c>
      <c r="G27" s="38">
        <f>'Quiz 2'!O28</f>
        <v>9</v>
      </c>
      <c r="H27" s="10">
        <f>'Assignment 2'!N28</f>
        <v>0</v>
      </c>
      <c r="I27" s="10">
        <f>'Class Test 2'!O28</f>
        <v>6</v>
      </c>
      <c r="J27" s="29">
        <f t="shared" si="0"/>
        <v>38.5</v>
      </c>
      <c r="K27" s="29">
        <v>29</v>
      </c>
      <c r="L27" s="29">
        <f t="shared" si="1"/>
        <v>33.75</v>
      </c>
      <c r="M27" s="29">
        <f t="shared" si="2"/>
        <v>16.875</v>
      </c>
      <c r="N27" s="29">
        <f t="shared" si="3"/>
        <v>5.8</v>
      </c>
      <c r="O27" s="29">
        <f>'Mid Sem'!O28</f>
        <v>29</v>
      </c>
      <c r="P27" s="29">
        <f>'End Sem'!N28</f>
        <v>0</v>
      </c>
      <c r="Q27" s="29">
        <f t="shared" si="4"/>
        <v>0</v>
      </c>
      <c r="R27" s="26">
        <f t="shared" si="5"/>
        <v>22.675000000000001</v>
      </c>
      <c r="S27" s="36"/>
      <c r="U27" t="s">
        <v>61</v>
      </c>
      <c r="V27">
        <v>25010104868</v>
      </c>
    </row>
    <row r="28" spans="1:22" ht="15.75" x14ac:dyDescent="0.25">
      <c r="A28" s="1" t="s">
        <v>62</v>
      </c>
      <c r="B28" s="10">
        <v>590029215</v>
      </c>
      <c r="C28" s="12">
        <v>77</v>
      </c>
      <c r="D28" s="38">
        <f>'Quiz 1'!O29</f>
        <v>0</v>
      </c>
      <c r="E28" s="38">
        <f>'Assignment 1'!N29/10</f>
        <v>14</v>
      </c>
      <c r="F28" s="38">
        <f>'Class Test 1'!P29</f>
        <v>6.5</v>
      </c>
      <c r="G28" s="38">
        <f>'Quiz 2'!O29</f>
        <v>14</v>
      </c>
      <c r="H28" s="10">
        <f>'Assignment 2'!N29</f>
        <v>15</v>
      </c>
      <c r="I28" s="10">
        <f>'Class Test 2'!O29</f>
        <v>0</v>
      </c>
      <c r="J28" s="29">
        <f t="shared" si="0"/>
        <v>49.5</v>
      </c>
      <c r="K28" s="29">
        <v>52.5</v>
      </c>
      <c r="L28" s="29">
        <f t="shared" si="1"/>
        <v>51</v>
      </c>
      <c r="M28" s="29">
        <f t="shared" si="2"/>
        <v>25.5</v>
      </c>
      <c r="N28" s="29">
        <f t="shared" si="3"/>
        <v>4.2</v>
      </c>
      <c r="O28" s="29">
        <f>'Mid Sem'!O29</f>
        <v>21</v>
      </c>
      <c r="P28" s="29">
        <f>'End Sem'!N29</f>
        <v>0</v>
      </c>
      <c r="Q28" s="29">
        <f t="shared" si="4"/>
        <v>0</v>
      </c>
      <c r="R28" s="26">
        <f t="shared" si="5"/>
        <v>29.7</v>
      </c>
      <c r="S28" s="36"/>
      <c r="U28" t="s">
        <v>63</v>
      </c>
      <c r="V28">
        <v>25010104884</v>
      </c>
    </row>
    <row r="29" spans="1:22" ht="15.75" x14ac:dyDescent="0.25">
      <c r="A29" s="1" t="s">
        <v>64</v>
      </c>
      <c r="B29" s="10">
        <v>590029111</v>
      </c>
      <c r="C29" s="12">
        <v>77</v>
      </c>
      <c r="D29" s="38">
        <f>'Quiz 1'!O30</f>
        <v>8.5</v>
      </c>
      <c r="E29" s="38">
        <f>'Assignment 1'!N30/10</f>
        <v>5.0999999999999996</v>
      </c>
      <c r="F29" s="38">
        <f>'Class Test 1'!P30</f>
        <v>2</v>
      </c>
      <c r="G29" s="38">
        <f>'Quiz 2'!O30</f>
        <v>11.5</v>
      </c>
      <c r="H29" s="10">
        <f>'Assignment 2'!N30</f>
        <v>15</v>
      </c>
      <c r="I29" s="10">
        <f>'Class Test 2'!O30</f>
        <v>12</v>
      </c>
      <c r="J29" s="29">
        <f t="shared" si="0"/>
        <v>54.1</v>
      </c>
      <c r="K29" s="29">
        <v>45</v>
      </c>
      <c r="L29" s="29">
        <f t="shared" si="1"/>
        <v>49.55</v>
      </c>
      <c r="M29" s="29">
        <f t="shared" si="2"/>
        <v>24.774999999999999</v>
      </c>
      <c r="N29" s="29">
        <f t="shared" si="3"/>
        <v>0.6</v>
      </c>
      <c r="O29" s="29">
        <f>'Mid Sem'!O30</f>
        <v>3</v>
      </c>
      <c r="P29" s="29">
        <f>'End Sem'!N30</f>
        <v>0</v>
      </c>
      <c r="Q29" s="29">
        <f t="shared" si="4"/>
        <v>0</v>
      </c>
      <c r="R29" s="26">
        <f t="shared" si="5"/>
        <v>25.375</v>
      </c>
      <c r="S29" s="36"/>
      <c r="U29" t="s">
        <v>65</v>
      </c>
      <c r="V29">
        <v>25010104888</v>
      </c>
    </row>
    <row r="30" spans="1:22" ht="15.75" x14ac:dyDescent="0.25">
      <c r="A30" s="1" t="s">
        <v>66</v>
      </c>
      <c r="B30" s="10">
        <v>590028683</v>
      </c>
      <c r="C30" s="12">
        <v>77</v>
      </c>
      <c r="D30" s="38">
        <f>'Quiz 1'!O31</f>
        <v>12</v>
      </c>
      <c r="E30" s="38">
        <f>'Assignment 1'!N31/10</f>
        <v>14</v>
      </c>
      <c r="F30" s="38">
        <f>'Class Test 1'!P31</f>
        <v>9</v>
      </c>
      <c r="G30" s="38">
        <f>'Quiz 2'!O31</f>
        <v>9</v>
      </c>
      <c r="H30" s="10">
        <f>'Assignment 2'!N31</f>
        <v>15</v>
      </c>
      <c r="I30" s="10">
        <f>'Class Test 2'!O31</f>
        <v>11</v>
      </c>
      <c r="J30" s="29">
        <f t="shared" si="0"/>
        <v>70</v>
      </c>
      <c r="K30" s="29">
        <v>78.5</v>
      </c>
      <c r="L30" s="29">
        <f t="shared" si="1"/>
        <v>74.25</v>
      </c>
      <c r="M30" s="29">
        <f t="shared" si="2"/>
        <v>37.125</v>
      </c>
      <c r="N30" s="29">
        <f t="shared" si="3"/>
        <v>4.5999999999999996</v>
      </c>
      <c r="O30" s="29">
        <f>'Mid Sem'!O31</f>
        <v>23</v>
      </c>
      <c r="P30" s="29">
        <f>'End Sem'!N31</f>
        <v>0</v>
      </c>
      <c r="Q30" s="29">
        <f t="shared" si="4"/>
        <v>0</v>
      </c>
      <c r="R30" s="26">
        <f t="shared" si="5"/>
        <v>41.725000000000001</v>
      </c>
      <c r="S30" s="36"/>
      <c r="U30" t="s">
        <v>67</v>
      </c>
      <c r="V30">
        <v>25010104936</v>
      </c>
    </row>
    <row r="31" spans="1:22" ht="15.75" x14ac:dyDescent="0.25">
      <c r="A31" s="1" t="s">
        <v>68</v>
      </c>
      <c r="B31" s="10">
        <v>590029121</v>
      </c>
      <c r="C31" s="12">
        <v>77</v>
      </c>
      <c r="D31" s="38">
        <f>'Quiz 1'!O32</f>
        <v>8.5</v>
      </c>
      <c r="E31" s="38">
        <f>'Assignment 1'!N32/10</f>
        <v>14.4</v>
      </c>
      <c r="F31" s="38">
        <f>'Class Test 1'!P32</f>
        <v>17.5</v>
      </c>
      <c r="G31" s="38">
        <f>'Quiz 2'!O32</f>
        <v>15</v>
      </c>
      <c r="H31" s="10">
        <f>'Assignment 2'!N32</f>
        <v>15</v>
      </c>
      <c r="I31" s="10">
        <f>'Class Test 2'!O32</f>
        <v>18</v>
      </c>
      <c r="J31" s="29">
        <f t="shared" si="0"/>
        <v>88.4</v>
      </c>
      <c r="K31" s="29">
        <v>90.5</v>
      </c>
      <c r="L31" s="29">
        <f t="shared" si="1"/>
        <v>89.45</v>
      </c>
      <c r="M31" s="29">
        <f t="shared" si="2"/>
        <v>44.725000000000001</v>
      </c>
      <c r="N31" s="29">
        <f t="shared" si="3"/>
        <v>15.8</v>
      </c>
      <c r="O31" s="29">
        <f>'Mid Sem'!O32</f>
        <v>79</v>
      </c>
      <c r="P31" s="29">
        <f>'End Sem'!N32</f>
        <v>0</v>
      </c>
      <c r="Q31" s="29">
        <f t="shared" si="4"/>
        <v>0</v>
      </c>
      <c r="R31" s="26">
        <f t="shared" si="5"/>
        <v>60.525000000000006</v>
      </c>
      <c r="S31" s="36"/>
      <c r="U31" t="s">
        <v>69</v>
      </c>
      <c r="V31">
        <v>25010104875</v>
      </c>
    </row>
    <row r="32" spans="1:22" ht="15.75" x14ac:dyDescent="0.25">
      <c r="A32" s="1" t="s">
        <v>70</v>
      </c>
      <c r="B32" s="10">
        <v>590029048</v>
      </c>
      <c r="C32" s="12">
        <v>77</v>
      </c>
      <c r="D32" s="38">
        <f>'Quiz 1'!O33</f>
        <v>11</v>
      </c>
      <c r="E32" s="38">
        <f>'Assignment 1'!N33/10</f>
        <v>14.6</v>
      </c>
      <c r="F32" s="38">
        <f>'Class Test 1'!P33</f>
        <v>20</v>
      </c>
      <c r="G32" s="38">
        <f>'Quiz 2'!O33</f>
        <v>14.5</v>
      </c>
      <c r="H32" s="10">
        <f>'Assignment 2'!N33</f>
        <v>14</v>
      </c>
      <c r="I32" s="10">
        <f>'Class Test 2'!O33</f>
        <v>15.5</v>
      </c>
      <c r="J32" s="29">
        <f t="shared" si="0"/>
        <v>89.6</v>
      </c>
      <c r="K32" s="29">
        <v>83</v>
      </c>
      <c r="L32" s="29">
        <f t="shared" si="1"/>
        <v>86.3</v>
      </c>
      <c r="M32" s="29">
        <f t="shared" si="2"/>
        <v>43.15</v>
      </c>
      <c r="N32" s="29">
        <f t="shared" si="3"/>
        <v>5.2</v>
      </c>
      <c r="O32" s="29">
        <f>'Mid Sem'!O33</f>
        <v>26</v>
      </c>
      <c r="P32" s="29">
        <f>'End Sem'!N33</f>
        <v>0</v>
      </c>
      <c r="Q32" s="29">
        <f t="shared" si="4"/>
        <v>0</v>
      </c>
      <c r="R32" s="26">
        <f t="shared" si="5"/>
        <v>48.35</v>
      </c>
      <c r="S32" s="36"/>
      <c r="U32" t="s">
        <v>71</v>
      </c>
      <c r="V32">
        <v>25010104925</v>
      </c>
    </row>
    <row r="33" spans="1:22" ht="15.75" x14ac:dyDescent="0.25">
      <c r="A33" s="1" t="s">
        <v>72</v>
      </c>
      <c r="B33" s="10">
        <v>590029184</v>
      </c>
      <c r="C33" s="12">
        <v>77</v>
      </c>
      <c r="D33" s="38">
        <f>'Quiz 1'!O34</f>
        <v>15</v>
      </c>
      <c r="E33" s="38">
        <f>'Assignment 1'!N34/10</f>
        <v>15</v>
      </c>
      <c r="F33" s="38">
        <f>'Class Test 1'!P34</f>
        <v>19.5</v>
      </c>
      <c r="G33" s="38">
        <f>'Quiz 2'!O34</f>
        <v>15</v>
      </c>
      <c r="H33" s="10">
        <f>'Assignment 2'!N34</f>
        <v>15</v>
      </c>
      <c r="I33" s="10">
        <f>'Class Test 2'!O34</f>
        <v>17.5</v>
      </c>
      <c r="J33" s="29">
        <f t="shared" si="0"/>
        <v>97</v>
      </c>
      <c r="K33" s="29">
        <v>75.5</v>
      </c>
      <c r="L33" s="29">
        <f t="shared" si="1"/>
        <v>86.25</v>
      </c>
      <c r="M33" s="29">
        <f t="shared" si="2"/>
        <v>43.125</v>
      </c>
      <c r="N33" s="29">
        <f t="shared" si="3"/>
        <v>13</v>
      </c>
      <c r="O33" s="29">
        <f>'Mid Sem'!O34</f>
        <v>65</v>
      </c>
      <c r="P33" s="29">
        <f>'End Sem'!N34</f>
        <v>0</v>
      </c>
      <c r="Q33" s="29">
        <f t="shared" si="4"/>
        <v>0</v>
      </c>
      <c r="R33" s="26">
        <f t="shared" si="5"/>
        <v>56.125</v>
      </c>
      <c r="S33" s="36"/>
      <c r="U33" t="s">
        <v>73</v>
      </c>
      <c r="V33">
        <v>25010104879</v>
      </c>
    </row>
    <row r="34" spans="1:22" ht="15.75" x14ac:dyDescent="0.25">
      <c r="A34" s="1" t="s">
        <v>74</v>
      </c>
      <c r="B34" s="10">
        <v>590029330</v>
      </c>
      <c r="C34" s="12">
        <v>78</v>
      </c>
      <c r="D34" s="38">
        <f>'Quiz 1'!O35</f>
        <v>12</v>
      </c>
      <c r="E34" s="38">
        <f>'Assignment 1'!N35/10</f>
        <v>13.6</v>
      </c>
      <c r="F34" s="38">
        <f>'Class Test 1'!P35</f>
        <v>13</v>
      </c>
      <c r="G34" s="38">
        <f>'Quiz 2'!O35</f>
        <v>15</v>
      </c>
      <c r="H34" s="10">
        <f>'Assignment 2'!N35</f>
        <v>15</v>
      </c>
      <c r="I34" s="10">
        <f>'Class Test 2'!O35</f>
        <v>14</v>
      </c>
      <c r="J34" s="29">
        <f t="shared" si="0"/>
        <v>82.6</v>
      </c>
      <c r="K34" s="29">
        <v>62.5</v>
      </c>
      <c r="L34" s="29">
        <f t="shared" si="1"/>
        <v>72.55</v>
      </c>
      <c r="M34" s="29">
        <f t="shared" si="2"/>
        <v>36.274999999999999</v>
      </c>
      <c r="N34" s="29">
        <f t="shared" si="3"/>
        <v>7.6</v>
      </c>
      <c r="O34" s="29">
        <f>'Mid Sem'!O35</f>
        <v>38</v>
      </c>
      <c r="P34" s="29">
        <f>'End Sem'!N35</f>
        <v>0</v>
      </c>
      <c r="Q34" s="29">
        <f t="shared" si="4"/>
        <v>0</v>
      </c>
      <c r="R34" s="26">
        <f t="shared" si="5"/>
        <v>43.875</v>
      </c>
      <c r="S34" s="36"/>
      <c r="U34" t="s">
        <v>75</v>
      </c>
      <c r="V34">
        <v>25010104997</v>
      </c>
    </row>
    <row r="35" spans="1:22" ht="15.75" x14ac:dyDescent="0.25">
      <c r="A35" s="1" t="s">
        <v>76</v>
      </c>
      <c r="B35" s="10">
        <v>590027630</v>
      </c>
      <c r="C35" s="12">
        <v>78</v>
      </c>
      <c r="D35" s="38">
        <f>'Quiz 1'!O36</f>
        <v>15</v>
      </c>
      <c r="E35" s="38">
        <f>'Assignment 1'!N36/10</f>
        <v>12.9</v>
      </c>
      <c r="F35" s="38">
        <f>'Class Test 1'!P36</f>
        <v>17</v>
      </c>
      <c r="G35" s="38">
        <f>'Quiz 2'!O36</f>
        <v>10</v>
      </c>
      <c r="H35" s="10">
        <f>'Assignment 2'!N36</f>
        <v>15</v>
      </c>
      <c r="I35" s="10">
        <f>'Class Test 2'!O36</f>
        <v>19</v>
      </c>
      <c r="J35" s="29">
        <f t="shared" si="0"/>
        <v>88.9</v>
      </c>
      <c r="K35" s="29">
        <v>43.5</v>
      </c>
      <c r="L35" s="29">
        <f t="shared" si="1"/>
        <v>66.2</v>
      </c>
      <c r="M35" s="29">
        <f t="shared" si="2"/>
        <v>33.1</v>
      </c>
      <c r="N35" s="29">
        <f t="shared" si="3"/>
        <v>0</v>
      </c>
      <c r="O35" s="29">
        <f>'Mid Sem'!O36</f>
        <v>0</v>
      </c>
      <c r="P35" s="29">
        <f>'End Sem'!N36</f>
        <v>0</v>
      </c>
      <c r="Q35" s="29">
        <f t="shared" si="4"/>
        <v>0</v>
      </c>
      <c r="R35" s="26">
        <f t="shared" si="5"/>
        <v>33.1</v>
      </c>
      <c r="S35" s="36"/>
      <c r="U35" t="s">
        <v>77</v>
      </c>
      <c r="V35">
        <v>25010105001</v>
      </c>
    </row>
    <row r="36" spans="1:22" ht="15.75" x14ac:dyDescent="0.25">
      <c r="A36" s="1" t="s">
        <v>78</v>
      </c>
      <c r="B36" s="10">
        <v>590029219</v>
      </c>
      <c r="C36" s="12">
        <v>78</v>
      </c>
      <c r="D36" s="38">
        <f>'Quiz 1'!O37</f>
        <v>8</v>
      </c>
      <c r="E36" s="38">
        <f>'Assignment 1'!N37/10</f>
        <v>14.4</v>
      </c>
      <c r="F36" s="38">
        <f>'Class Test 1'!P37</f>
        <v>20</v>
      </c>
      <c r="G36" s="38">
        <f>'Quiz 2'!O37</f>
        <v>13</v>
      </c>
      <c r="H36" s="10">
        <f>'Assignment 2'!N37</f>
        <v>15</v>
      </c>
      <c r="I36" s="10">
        <f>'Class Test 2'!O37</f>
        <v>18.5</v>
      </c>
      <c r="J36" s="29">
        <f t="shared" si="0"/>
        <v>88.9</v>
      </c>
      <c r="K36" s="29">
        <v>68</v>
      </c>
      <c r="L36" s="29">
        <f t="shared" si="1"/>
        <v>78.45</v>
      </c>
      <c r="M36" s="29">
        <f t="shared" si="2"/>
        <v>39.225000000000001</v>
      </c>
      <c r="N36" s="29">
        <f t="shared" si="3"/>
        <v>6.2</v>
      </c>
      <c r="O36" s="29">
        <f>'Mid Sem'!O37</f>
        <v>31</v>
      </c>
      <c r="P36" s="29">
        <f>'End Sem'!N37</f>
        <v>0</v>
      </c>
      <c r="Q36" s="29">
        <f t="shared" si="4"/>
        <v>0</v>
      </c>
      <c r="R36" s="26">
        <f t="shared" si="5"/>
        <v>45.425000000000004</v>
      </c>
      <c r="S36" s="36"/>
      <c r="U36" t="s">
        <v>79</v>
      </c>
      <c r="V36">
        <v>25010104956</v>
      </c>
    </row>
    <row r="37" spans="1:22" ht="15.75" x14ac:dyDescent="0.25">
      <c r="A37" s="1" t="s">
        <v>80</v>
      </c>
      <c r="B37" s="10">
        <v>590028933</v>
      </c>
      <c r="C37" s="12">
        <v>78</v>
      </c>
      <c r="D37" s="38">
        <f>'Quiz 1'!O38</f>
        <v>15</v>
      </c>
      <c r="E37" s="38">
        <f>'Assignment 1'!N38/10</f>
        <v>15</v>
      </c>
      <c r="F37" s="38">
        <f>'Class Test 1'!P38</f>
        <v>3</v>
      </c>
      <c r="G37" s="38">
        <f>'Quiz 2'!O38</f>
        <v>14</v>
      </c>
      <c r="H37" s="10">
        <f>'Assignment 2'!N38</f>
        <v>15</v>
      </c>
      <c r="I37" s="10">
        <f>'Class Test 2'!O38</f>
        <v>18</v>
      </c>
      <c r="J37" s="29">
        <f t="shared" si="0"/>
        <v>80</v>
      </c>
      <c r="K37" s="29">
        <v>66.5</v>
      </c>
      <c r="L37" s="29">
        <f t="shared" si="1"/>
        <v>73.25</v>
      </c>
      <c r="M37" s="29">
        <f t="shared" si="2"/>
        <v>36.625</v>
      </c>
      <c r="N37" s="29">
        <f t="shared" si="3"/>
        <v>11.2</v>
      </c>
      <c r="O37" s="29">
        <f>'Mid Sem'!O38</f>
        <v>56</v>
      </c>
      <c r="P37" s="29">
        <f>'End Sem'!N38</f>
        <v>0</v>
      </c>
      <c r="Q37" s="29">
        <f t="shared" si="4"/>
        <v>0</v>
      </c>
      <c r="R37" s="26">
        <f t="shared" si="5"/>
        <v>47.825000000000003</v>
      </c>
      <c r="S37" s="36"/>
      <c r="U37" t="s">
        <v>81</v>
      </c>
      <c r="V37">
        <v>25010104948</v>
      </c>
    </row>
    <row r="38" spans="1:22" ht="15.75" x14ac:dyDescent="0.25">
      <c r="A38" s="1" t="s">
        <v>82</v>
      </c>
      <c r="B38" s="10">
        <v>590027859</v>
      </c>
      <c r="C38" s="12">
        <v>78</v>
      </c>
      <c r="D38" s="38">
        <f>'Quiz 1'!O39</f>
        <v>8</v>
      </c>
      <c r="E38" s="38">
        <f>'Assignment 1'!N39/10</f>
        <v>9.9</v>
      </c>
      <c r="F38" s="38">
        <f>'Class Test 1'!P39</f>
        <v>5</v>
      </c>
      <c r="G38" s="38">
        <f>'Quiz 2'!O39</f>
        <v>11.5</v>
      </c>
      <c r="H38" s="10">
        <f>'Assignment 2'!N39</f>
        <v>15</v>
      </c>
      <c r="I38" s="10">
        <f>'Class Test 2'!O39</f>
        <v>11.5</v>
      </c>
      <c r="J38" s="29">
        <f t="shared" si="0"/>
        <v>60.9</v>
      </c>
      <c r="K38" s="29">
        <v>40</v>
      </c>
      <c r="L38" s="29">
        <f t="shared" si="1"/>
        <v>50.45</v>
      </c>
      <c r="M38" s="29">
        <f t="shared" si="2"/>
        <v>25.225000000000001</v>
      </c>
      <c r="N38" s="29">
        <f t="shared" si="3"/>
        <v>0.4</v>
      </c>
      <c r="O38" s="29">
        <f>'Mid Sem'!O39</f>
        <v>2</v>
      </c>
      <c r="P38" s="29">
        <f>'End Sem'!N39</f>
        <v>0</v>
      </c>
      <c r="Q38" s="29">
        <f t="shared" si="4"/>
        <v>0</v>
      </c>
      <c r="R38" s="26">
        <f t="shared" si="5"/>
        <v>25.625</v>
      </c>
      <c r="S38" s="1"/>
      <c r="U38" t="s">
        <v>83</v>
      </c>
      <c r="V38">
        <v>25010104974</v>
      </c>
    </row>
    <row r="39" spans="1:22" ht="15.75" x14ac:dyDescent="0.25">
      <c r="A39" s="1" t="s">
        <v>84</v>
      </c>
      <c r="B39" s="10">
        <v>590028682</v>
      </c>
      <c r="C39" s="12">
        <v>78</v>
      </c>
      <c r="D39" s="38">
        <f>'Quiz 1'!O40</f>
        <v>12.5</v>
      </c>
      <c r="E39" s="38">
        <f>'Assignment 1'!N40/10</f>
        <v>0</v>
      </c>
      <c r="F39" s="38">
        <f>'Class Test 1'!P40</f>
        <v>3.5</v>
      </c>
      <c r="G39" s="38">
        <f>'Quiz 2'!O40</f>
        <v>15</v>
      </c>
      <c r="H39" s="10">
        <f>'Assignment 2'!N40</f>
        <v>0</v>
      </c>
      <c r="I39" s="10">
        <f>'Class Test 2'!O40</f>
        <v>13.5</v>
      </c>
      <c r="J39" s="29">
        <f t="shared" si="0"/>
        <v>44.5</v>
      </c>
      <c r="K39" s="29">
        <v>39</v>
      </c>
      <c r="L39" s="29">
        <f t="shared" si="1"/>
        <v>41.75</v>
      </c>
      <c r="M39" s="29">
        <f t="shared" si="2"/>
        <v>20.875</v>
      </c>
      <c r="N39" s="29">
        <f t="shared" si="3"/>
        <v>10.8</v>
      </c>
      <c r="O39" s="29">
        <f>'Mid Sem'!O40</f>
        <v>54</v>
      </c>
      <c r="P39" s="29">
        <f>'End Sem'!N40</f>
        <v>0</v>
      </c>
      <c r="Q39" s="29">
        <f t="shared" si="4"/>
        <v>0</v>
      </c>
      <c r="R39" s="26">
        <f t="shared" si="5"/>
        <v>31.675000000000001</v>
      </c>
      <c r="S39" s="1"/>
      <c r="U39" t="s">
        <v>85</v>
      </c>
      <c r="V39">
        <v>25010104995</v>
      </c>
    </row>
    <row r="40" spans="1:22" ht="15.75" x14ac:dyDescent="0.25">
      <c r="A40" s="1" t="s">
        <v>86</v>
      </c>
      <c r="B40" s="10">
        <v>590023917</v>
      </c>
      <c r="C40" s="12">
        <v>78</v>
      </c>
      <c r="D40" s="38">
        <f>'Quiz 1'!O41</f>
        <v>0</v>
      </c>
      <c r="E40" s="38">
        <f>'Assignment 1'!N41/10</f>
        <v>0</v>
      </c>
      <c r="F40" s="38">
        <f>'Class Test 1'!P41</f>
        <v>8</v>
      </c>
      <c r="G40" s="38">
        <f>'Quiz 2'!O41</f>
        <v>10</v>
      </c>
      <c r="H40" s="10">
        <f>'Assignment 2'!N41</f>
        <v>0</v>
      </c>
      <c r="I40" s="10">
        <f>'Class Test 2'!O41</f>
        <v>6.5</v>
      </c>
      <c r="J40" s="29">
        <f t="shared" si="0"/>
        <v>24.5</v>
      </c>
      <c r="K40" s="29">
        <v>39</v>
      </c>
      <c r="L40" s="29">
        <f t="shared" si="1"/>
        <v>31.75</v>
      </c>
      <c r="M40" s="29">
        <f t="shared" si="2"/>
        <v>15.875</v>
      </c>
      <c r="N40" s="29">
        <f t="shared" si="3"/>
        <v>0.8</v>
      </c>
      <c r="O40" s="29">
        <f>'Mid Sem'!O41</f>
        <v>4</v>
      </c>
      <c r="P40" s="29">
        <f>'End Sem'!N41</f>
        <v>0</v>
      </c>
      <c r="Q40" s="29">
        <f t="shared" si="4"/>
        <v>0</v>
      </c>
      <c r="R40" s="26">
        <f t="shared" si="5"/>
        <v>16.675000000000001</v>
      </c>
      <c r="S40" s="1"/>
      <c r="U40" t="s">
        <v>87</v>
      </c>
      <c r="V40">
        <v>25010105012</v>
      </c>
    </row>
    <row r="41" spans="1:22" ht="15.75" x14ac:dyDescent="0.25">
      <c r="A41" s="1" t="s">
        <v>88</v>
      </c>
      <c r="B41" s="10">
        <v>590023785</v>
      </c>
      <c r="C41" s="12">
        <v>78</v>
      </c>
      <c r="D41" s="38">
        <f>'Quiz 1'!O42</f>
        <v>10</v>
      </c>
      <c r="E41" s="38">
        <f>'Assignment 1'!N42/10</f>
        <v>13.1</v>
      </c>
      <c r="F41" s="38">
        <f>'Class Test 1'!P42</f>
        <v>15</v>
      </c>
      <c r="G41" s="38">
        <f>'Quiz 2'!O42</f>
        <v>13</v>
      </c>
      <c r="H41" s="10">
        <f>'Assignment 2'!N42</f>
        <v>15</v>
      </c>
      <c r="I41" s="10">
        <f>'Class Test 2'!O42</f>
        <v>0</v>
      </c>
      <c r="J41" s="29">
        <f t="shared" si="0"/>
        <v>66.099999999999994</v>
      </c>
      <c r="K41" s="29">
        <v>68.5</v>
      </c>
      <c r="L41" s="29">
        <f t="shared" si="1"/>
        <v>67.3</v>
      </c>
      <c r="M41" s="29">
        <f t="shared" si="2"/>
        <v>33.65</v>
      </c>
      <c r="N41" s="29">
        <f t="shared" si="3"/>
        <v>6</v>
      </c>
      <c r="O41" s="29">
        <f>'Mid Sem'!O42</f>
        <v>30</v>
      </c>
      <c r="P41" s="29">
        <f>'End Sem'!N42</f>
        <v>0</v>
      </c>
      <c r="Q41" s="29">
        <f t="shared" si="4"/>
        <v>0</v>
      </c>
      <c r="R41" s="26">
        <f t="shared" si="5"/>
        <v>39.65</v>
      </c>
      <c r="S41" s="1"/>
      <c r="U41" t="s">
        <v>89</v>
      </c>
      <c r="V41">
        <v>25010104947</v>
      </c>
    </row>
    <row r="42" spans="1:22" ht="15.75" x14ac:dyDescent="0.25">
      <c r="A42" s="1" t="s">
        <v>90</v>
      </c>
      <c r="B42" s="10">
        <v>590029264</v>
      </c>
      <c r="C42" s="12">
        <v>78</v>
      </c>
      <c r="D42" s="38">
        <f>'Quiz 1'!O43</f>
        <v>0</v>
      </c>
      <c r="E42" s="38">
        <f>'Assignment 1'!N43/10</f>
        <v>14.5</v>
      </c>
      <c r="F42" s="38">
        <f>'Class Test 1'!P43</f>
        <v>0</v>
      </c>
      <c r="G42" s="38">
        <f>'Quiz 2'!O43</f>
        <v>0</v>
      </c>
      <c r="H42" s="10">
        <f>'Assignment 2'!N43</f>
        <v>0</v>
      </c>
      <c r="I42" s="10">
        <f>'Class Test 2'!O43</f>
        <v>3</v>
      </c>
      <c r="J42" s="29">
        <f t="shared" si="0"/>
        <v>17.5</v>
      </c>
      <c r="K42" s="29">
        <v>16</v>
      </c>
      <c r="L42" s="29">
        <f t="shared" si="1"/>
        <v>16.75</v>
      </c>
      <c r="M42" s="29">
        <f t="shared" si="2"/>
        <v>8.375</v>
      </c>
      <c r="N42" s="29">
        <f t="shared" si="3"/>
        <v>2.4</v>
      </c>
      <c r="O42" s="29">
        <f>'Mid Sem'!O43</f>
        <v>12</v>
      </c>
      <c r="P42" s="29">
        <f>'End Sem'!N43</f>
        <v>0</v>
      </c>
      <c r="Q42" s="29">
        <f t="shared" si="4"/>
        <v>0</v>
      </c>
      <c r="R42" s="26">
        <f t="shared" si="5"/>
        <v>10.775</v>
      </c>
      <c r="S42" s="1"/>
      <c r="U42" t="s">
        <v>91</v>
      </c>
      <c r="V42">
        <v>25010104986</v>
      </c>
    </row>
    <row r="43" spans="1:22" ht="15.75" x14ac:dyDescent="0.25">
      <c r="A43" s="1" t="s">
        <v>92</v>
      </c>
      <c r="B43" s="10">
        <v>590029042</v>
      </c>
      <c r="C43" s="12">
        <v>78</v>
      </c>
      <c r="D43" s="38">
        <f>'Quiz 1'!O44</f>
        <v>0</v>
      </c>
      <c r="E43" s="38">
        <f>'Assignment 1'!N44/10</f>
        <v>0</v>
      </c>
      <c r="F43" s="38">
        <f>'Class Test 1'!P44</f>
        <v>0</v>
      </c>
      <c r="G43" s="38">
        <f>'Quiz 2'!O44</f>
        <v>0</v>
      </c>
      <c r="H43" s="10">
        <f>'Assignment 2'!N44</f>
        <v>0</v>
      </c>
      <c r="I43" s="10">
        <f>'Class Test 2'!O44</f>
        <v>0</v>
      </c>
      <c r="J43" s="29">
        <f t="shared" si="0"/>
        <v>0</v>
      </c>
      <c r="K43" s="29">
        <v>0</v>
      </c>
      <c r="L43" s="29">
        <f t="shared" si="1"/>
        <v>0</v>
      </c>
      <c r="M43" s="29">
        <f t="shared" si="2"/>
        <v>0</v>
      </c>
      <c r="N43" s="29">
        <f t="shared" si="3"/>
        <v>0</v>
      </c>
      <c r="O43" s="29">
        <f>'Mid Sem'!O44</f>
        <v>0</v>
      </c>
      <c r="P43" s="29">
        <f>'End Sem'!N44</f>
        <v>0</v>
      </c>
      <c r="Q43" s="29">
        <f t="shared" si="4"/>
        <v>0</v>
      </c>
      <c r="R43" s="26">
        <f t="shared" si="5"/>
        <v>0</v>
      </c>
      <c r="S43" s="1"/>
      <c r="U43" t="s">
        <v>93</v>
      </c>
      <c r="V43">
        <v>25010104982</v>
      </c>
    </row>
    <row r="44" spans="1:22" ht="15.75" x14ac:dyDescent="0.25">
      <c r="A44" s="1" t="s">
        <v>94</v>
      </c>
      <c r="B44" s="10">
        <v>590029336</v>
      </c>
      <c r="C44" s="12">
        <v>78</v>
      </c>
      <c r="D44" s="38">
        <f>'Quiz 1'!O45</f>
        <v>14</v>
      </c>
      <c r="E44" s="38">
        <f>'Assignment 1'!N45/10</f>
        <v>13.9</v>
      </c>
      <c r="F44" s="38">
        <f>'Class Test 1'!P45</f>
        <v>15</v>
      </c>
      <c r="G44" s="38">
        <f>'Quiz 2'!O45</f>
        <v>11</v>
      </c>
      <c r="H44" s="10">
        <f>'Assignment 2'!N45</f>
        <v>15</v>
      </c>
      <c r="I44" s="10">
        <f>'Class Test 2'!O45</f>
        <v>14.5</v>
      </c>
      <c r="J44" s="29">
        <f t="shared" si="0"/>
        <v>83.4</v>
      </c>
      <c r="K44" s="29">
        <v>70</v>
      </c>
      <c r="L44" s="29">
        <f t="shared" si="1"/>
        <v>76.7</v>
      </c>
      <c r="M44" s="29">
        <f t="shared" si="2"/>
        <v>38.35</v>
      </c>
      <c r="N44" s="29">
        <f t="shared" si="3"/>
        <v>2.2000000000000002</v>
      </c>
      <c r="O44" s="29">
        <f>'Mid Sem'!O45</f>
        <v>11</v>
      </c>
      <c r="P44" s="29">
        <f>'End Sem'!N45</f>
        <v>0</v>
      </c>
      <c r="Q44" s="29">
        <f t="shared" si="4"/>
        <v>0</v>
      </c>
      <c r="R44" s="26">
        <f t="shared" si="5"/>
        <v>40.550000000000004</v>
      </c>
      <c r="S44" s="1"/>
      <c r="U44" t="s">
        <v>95</v>
      </c>
      <c r="V44">
        <v>25010104998</v>
      </c>
    </row>
    <row r="45" spans="1:22" ht="15.75" x14ac:dyDescent="0.25">
      <c r="A45" s="1" t="s">
        <v>96</v>
      </c>
      <c r="B45" s="10">
        <v>590029233</v>
      </c>
      <c r="C45" s="12">
        <v>78</v>
      </c>
      <c r="D45" s="38">
        <f>'Quiz 1'!O46</f>
        <v>7.5</v>
      </c>
      <c r="E45" s="38">
        <f>'Assignment 1'!N46/10</f>
        <v>0</v>
      </c>
      <c r="F45" s="38">
        <f>'Class Test 1'!P46</f>
        <v>7.5</v>
      </c>
      <c r="G45" s="38">
        <f>'Quiz 2'!O46</f>
        <v>0</v>
      </c>
      <c r="H45" s="10">
        <f>'Assignment 2'!N46</f>
        <v>0</v>
      </c>
      <c r="I45" s="10">
        <f>'Class Test 2'!O46</f>
        <v>4</v>
      </c>
      <c r="J45" s="29">
        <f t="shared" si="0"/>
        <v>19</v>
      </c>
      <c r="K45" s="29">
        <v>5</v>
      </c>
      <c r="L45" s="29">
        <f t="shared" si="1"/>
        <v>12</v>
      </c>
      <c r="M45" s="29">
        <f t="shared" si="2"/>
        <v>6</v>
      </c>
      <c r="N45" s="29">
        <f t="shared" si="3"/>
        <v>0</v>
      </c>
      <c r="O45" s="29">
        <f>'Mid Sem'!O46</f>
        <v>0</v>
      </c>
      <c r="P45" s="29">
        <f>'End Sem'!N46</f>
        <v>0</v>
      </c>
      <c r="Q45" s="29">
        <f t="shared" si="4"/>
        <v>0</v>
      </c>
      <c r="R45" s="26">
        <f t="shared" si="5"/>
        <v>6</v>
      </c>
      <c r="S45" s="1"/>
      <c r="U45" t="s">
        <v>97</v>
      </c>
      <c r="V45">
        <v>25010104996</v>
      </c>
    </row>
    <row r="46" spans="1:22" ht="15.75" x14ac:dyDescent="0.25">
      <c r="A46" s="1" t="s">
        <v>98</v>
      </c>
      <c r="B46" s="10">
        <v>590029328</v>
      </c>
      <c r="C46" s="12">
        <v>78</v>
      </c>
      <c r="D46" s="38">
        <f>'Quiz 1'!O47</f>
        <v>14</v>
      </c>
      <c r="E46" s="38">
        <f>'Assignment 1'!N47/10</f>
        <v>14.3</v>
      </c>
      <c r="F46" s="38">
        <f>'Class Test 1'!P47</f>
        <v>8</v>
      </c>
      <c r="G46" s="38">
        <f>'Quiz 2'!O47</f>
        <v>15</v>
      </c>
      <c r="H46" s="10">
        <f>'Assignment 2'!N47</f>
        <v>15</v>
      </c>
      <c r="I46" s="10">
        <f>'Class Test 2'!O47</f>
        <v>14.5</v>
      </c>
      <c r="J46" s="29">
        <f t="shared" si="0"/>
        <v>80.8</v>
      </c>
      <c r="K46" s="29">
        <v>48</v>
      </c>
      <c r="L46" s="29">
        <f t="shared" si="1"/>
        <v>64.400000000000006</v>
      </c>
      <c r="M46" s="29">
        <f t="shared" si="2"/>
        <v>32.200000000000003</v>
      </c>
      <c r="N46" s="29">
        <f t="shared" si="3"/>
        <v>2</v>
      </c>
      <c r="O46" s="29">
        <f>'Mid Sem'!O47</f>
        <v>10</v>
      </c>
      <c r="P46" s="29">
        <f>'End Sem'!N47</f>
        <v>0</v>
      </c>
      <c r="Q46" s="29">
        <f t="shared" si="4"/>
        <v>0</v>
      </c>
      <c r="R46" s="26">
        <f t="shared" si="5"/>
        <v>34.200000000000003</v>
      </c>
      <c r="S46" s="1"/>
      <c r="U46" t="s">
        <v>99</v>
      </c>
      <c r="V46">
        <v>25010105010</v>
      </c>
    </row>
    <row r="47" spans="1:22" ht="15.75" x14ac:dyDescent="0.25">
      <c r="A47" s="1" t="s">
        <v>100</v>
      </c>
      <c r="B47" s="10">
        <v>590028608</v>
      </c>
      <c r="C47" s="12">
        <v>78</v>
      </c>
      <c r="D47" s="38">
        <f>'Quiz 1'!O48</f>
        <v>6.5</v>
      </c>
      <c r="E47" s="38">
        <f>'Assignment 1'!N48/10</f>
        <v>0</v>
      </c>
      <c r="F47" s="38">
        <f>'Class Test 1'!P48</f>
        <v>14.5</v>
      </c>
      <c r="G47" s="38">
        <f>'Quiz 2'!O48</f>
        <v>0</v>
      </c>
      <c r="H47" s="10">
        <f>'Assignment 2'!N48</f>
        <v>15</v>
      </c>
      <c r="I47" s="10">
        <f>'Class Test 2'!O48</f>
        <v>7</v>
      </c>
      <c r="J47" s="29">
        <f t="shared" si="0"/>
        <v>43</v>
      </c>
      <c r="K47" s="29">
        <v>27</v>
      </c>
      <c r="L47" s="29">
        <f t="shared" si="1"/>
        <v>35</v>
      </c>
      <c r="M47" s="29">
        <f t="shared" si="2"/>
        <v>17.5</v>
      </c>
      <c r="N47" s="29">
        <f t="shared" si="3"/>
        <v>0.8</v>
      </c>
      <c r="O47" s="29">
        <f>'Mid Sem'!O48</f>
        <v>4</v>
      </c>
      <c r="P47" s="29">
        <f>'End Sem'!N48</f>
        <v>0</v>
      </c>
      <c r="Q47" s="29">
        <f t="shared" si="4"/>
        <v>0</v>
      </c>
      <c r="R47" s="26">
        <f t="shared" si="5"/>
        <v>18.3</v>
      </c>
      <c r="S47" s="1"/>
      <c r="U47" t="s">
        <v>101</v>
      </c>
      <c r="V47">
        <v>25010104999</v>
      </c>
    </row>
    <row r="48" spans="1:22" ht="15.75" x14ac:dyDescent="0.25">
      <c r="A48" s="1" t="s">
        <v>102</v>
      </c>
      <c r="B48" s="10">
        <v>590028605</v>
      </c>
      <c r="C48" s="12">
        <v>78</v>
      </c>
      <c r="D48" s="38">
        <f>'Quiz 1'!O49</f>
        <v>8</v>
      </c>
      <c r="E48" s="38">
        <f>'Assignment 1'!N49/10</f>
        <v>13.4</v>
      </c>
      <c r="F48" s="38">
        <f>'Class Test 1'!P49</f>
        <v>9</v>
      </c>
      <c r="G48" s="38">
        <f>'Quiz 2'!O49</f>
        <v>11</v>
      </c>
      <c r="H48" s="10">
        <f>'Assignment 2'!N49</f>
        <v>15</v>
      </c>
      <c r="I48" s="10">
        <f>'Class Test 2'!O49</f>
        <v>14.5</v>
      </c>
      <c r="J48" s="29">
        <f t="shared" si="0"/>
        <v>70.900000000000006</v>
      </c>
      <c r="K48" s="29">
        <v>53</v>
      </c>
      <c r="L48" s="29">
        <f t="shared" si="1"/>
        <v>61.95</v>
      </c>
      <c r="M48" s="29">
        <f t="shared" si="2"/>
        <v>30.975000000000001</v>
      </c>
      <c r="N48" s="29">
        <f t="shared" si="3"/>
        <v>0</v>
      </c>
      <c r="O48" s="29">
        <f>'Mid Sem'!O49</f>
        <v>0</v>
      </c>
      <c r="P48" s="29">
        <f>'End Sem'!N49</f>
        <v>0</v>
      </c>
      <c r="Q48" s="29">
        <f t="shared" si="4"/>
        <v>0</v>
      </c>
      <c r="R48" s="26">
        <f t="shared" si="5"/>
        <v>30.975000000000001</v>
      </c>
      <c r="S48" s="1"/>
      <c r="U48" t="s">
        <v>103</v>
      </c>
      <c r="V48">
        <v>25010104326</v>
      </c>
    </row>
    <row r="49" spans="1:22" ht="15.75" x14ac:dyDescent="0.25">
      <c r="A49" s="1" t="s">
        <v>104</v>
      </c>
      <c r="B49" s="10">
        <v>590026626</v>
      </c>
      <c r="C49" s="12">
        <v>78</v>
      </c>
      <c r="D49" s="38">
        <f>'Quiz 1'!O50</f>
        <v>0</v>
      </c>
      <c r="E49" s="38">
        <f>'Assignment 1'!N50/10</f>
        <v>0</v>
      </c>
      <c r="F49" s="38">
        <f>'Class Test 1'!P50</f>
        <v>0</v>
      </c>
      <c r="G49" s="38">
        <f>'Quiz 2'!O50</f>
        <v>0</v>
      </c>
      <c r="H49" s="10">
        <f>'Assignment 2'!N50</f>
        <v>0</v>
      </c>
      <c r="I49" s="10">
        <f>'Class Test 2'!O50</f>
        <v>0</v>
      </c>
      <c r="J49" s="29">
        <f t="shared" si="0"/>
        <v>0</v>
      </c>
      <c r="K49" s="29">
        <v>0</v>
      </c>
      <c r="L49" s="29">
        <f t="shared" si="1"/>
        <v>0</v>
      </c>
      <c r="M49" s="29">
        <f t="shared" si="2"/>
        <v>0</v>
      </c>
      <c r="N49" s="29">
        <f t="shared" si="3"/>
        <v>0</v>
      </c>
      <c r="O49" s="29">
        <f>'Mid Sem'!O50</f>
        <v>0</v>
      </c>
      <c r="P49" s="29">
        <f>'End Sem'!N50</f>
        <v>0</v>
      </c>
      <c r="Q49" s="29">
        <f t="shared" si="4"/>
        <v>0</v>
      </c>
      <c r="R49" s="26">
        <f t="shared" si="5"/>
        <v>0</v>
      </c>
      <c r="S49" s="1"/>
      <c r="U49" t="s">
        <v>105</v>
      </c>
      <c r="V49">
        <v>25010104601</v>
      </c>
    </row>
    <row r="50" spans="1:22" ht="15.75" x14ac:dyDescent="0.25">
      <c r="A50" s="1" t="s">
        <v>106</v>
      </c>
      <c r="B50" s="10">
        <v>590029310</v>
      </c>
      <c r="C50" s="12">
        <v>78</v>
      </c>
      <c r="D50" s="38">
        <f>'Quiz 1'!O51</f>
        <v>5</v>
      </c>
      <c r="E50" s="38">
        <f>'Assignment 1'!N51/10</f>
        <v>12.5</v>
      </c>
      <c r="F50" s="38">
        <f>'Class Test 1'!P51</f>
        <v>5</v>
      </c>
      <c r="G50" s="38">
        <f>'Quiz 2'!O51</f>
        <v>15</v>
      </c>
      <c r="H50" s="10">
        <f>'Assignment 2'!N51</f>
        <v>15</v>
      </c>
      <c r="I50" s="10">
        <f>'Class Test 2'!O51</f>
        <v>19.5</v>
      </c>
      <c r="J50" s="29">
        <f t="shared" si="0"/>
        <v>72</v>
      </c>
      <c r="K50" s="29">
        <v>70.5</v>
      </c>
      <c r="L50" s="29">
        <f t="shared" si="1"/>
        <v>71.25</v>
      </c>
      <c r="M50" s="29">
        <f t="shared" si="2"/>
        <v>35.625</v>
      </c>
      <c r="N50" s="29">
        <f t="shared" si="3"/>
        <v>9.1999999999999993</v>
      </c>
      <c r="O50" s="29">
        <f>'Mid Sem'!O51</f>
        <v>46</v>
      </c>
      <c r="P50" s="29">
        <f>'End Sem'!N51</f>
        <v>0</v>
      </c>
      <c r="Q50" s="29">
        <f t="shared" si="4"/>
        <v>0</v>
      </c>
      <c r="R50" s="26">
        <f t="shared" si="5"/>
        <v>44.825000000000003</v>
      </c>
      <c r="S50" s="1"/>
      <c r="U50" t="s">
        <v>107</v>
      </c>
      <c r="V50">
        <v>25010104970</v>
      </c>
    </row>
    <row r="51" spans="1:22" ht="15.75" x14ac:dyDescent="0.25">
      <c r="A51" s="1" t="s">
        <v>108</v>
      </c>
      <c r="B51" s="10">
        <v>590029319</v>
      </c>
      <c r="C51" s="12">
        <v>78</v>
      </c>
      <c r="D51" s="38">
        <f>'Quiz 1'!O52</f>
        <v>15</v>
      </c>
      <c r="E51" s="38">
        <f>'Assignment 1'!N52/10</f>
        <v>13.9</v>
      </c>
      <c r="F51" s="38">
        <f>'Class Test 1'!P52</f>
        <v>17</v>
      </c>
      <c r="G51" s="38">
        <f>'Quiz 2'!O52</f>
        <v>15</v>
      </c>
      <c r="H51" s="10">
        <f>'Assignment 2'!N52</f>
        <v>15</v>
      </c>
      <c r="I51" s="10">
        <f>'Class Test 2'!O52</f>
        <v>17</v>
      </c>
      <c r="J51" s="29">
        <f t="shared" si="0"/>
        <v>92.9</v>
      </c>
      <c r="K51" s="29">
        <v>40</v>
      </c>
      <c r="L51" s="29">
        <f t="shared" si="1"/>
        <v>66.45</v>
      </c>
      <c r="M51" s="29">
        <f t="shared" si="2"/>
        <v>33.225000000000001</v>
      </c>
      <c r="N51" s="29">
        <f t="shared" si="3"/>
        <v>0.2</v>
      </c>
      <c r="O51" s="29">
        <f>'Mid Sem'!O52</f>
        <v>1</v>
      </c>
      <c r="P51" s="29">
        <f>'End Sem'!N52</f>
        <v>0</v>
      </c>
      <c r="Q51" s="29">
        <f t="shared" si="4"/>
        <v>0</v>
      </c>
      <c r="R51" s="26">
        <f t="shared" si="5"/>
        <v>33.425000000000004</v>
      </c>
      <c r="S51" s="1"/>
      <c r="U51" t="s">
        <v>109</v>
      </c>
      <c r="V51">
        <v>25010105008</v>
      </c>
    </row>
    <row r="52" spans="1:22" ht="15.75" x14ac:dyDescent="0.25">
      <c r="A52" s="1" t="s">
        <v>110</v>
      </c>
      <c r="B52" s="10">
        <v>590029339</v>
      </c>
      <c r="C52" s="12">
        <v>78</v>
      </c>
      <c r="D52" s="38">
        <f>'Quiz 1'!O53</f>
        <v>7</v>
      </c>
      <c r="E52" s="38">
        <f>'Assignment 1'!N53/10</f>
        <v>0</v>
      </c>
      <c r="F52" s="38">
        <f>'Class Test 1'!P53</f>
        <v>0</v>
      </c>
      <c r="G52" s="38">
        <f>'Quiz 2'!O53</f>
        <v>15</v>
      </c>
      <c r="H52" s="10">
        <f>'Assignment 2'!N53</f>
        <v>0</v>
      </c>
      <c r="I52" s="10">
        <f>'Class Test 2'!O53</f>
        <v>0</v>
      </c>
      <c r="J52" s="29">
        <f t="shared" si="0"/>
        <v>22</v>
      </c>
      <c r="K52" s="29">
        <v>0</v>
      </c>
      <c r="L52" s="29">
        <f t="shared" si="1"/>
        <v>11</v>
      </c>
      <c r="M52" s="29">
        <f t="shared" si="2"/>
        <v>5.5</v>
      </c>
      <c r="N52" s="29">
        <f t="shared" si="3"/>
        <v>0.2</v>
      </c>
      <c r="O52" s="29">
        <f>'Mid Sem'!O53</f>
        <v>1</v>
      </c>
      <c r="P52" s="29">
        <f>'End Sem'!N53</f>
        <v>0</v>
      </c>
      <c r="Q52" s="29">
        <f t="shared" si="4"/>
        <v>0</v>
      </c>
      <c r="R52" s="26">
        <f t="shared" si="5"/>
        <v>5.7</v>
      </c>
      <c r="S52" s="1"/>
      <c r="U52" t="s">
        <v>111</v>
      </c>
      <c r="V52">
        <v>25010105011</v>
      </c>
    </row>
    <row r="53" spans="1:22" ht="15.75" x14ac:dyDescent="0.25">
      <c r="A53" s="1" t="s">
        <v>112</v>
      </c>
      <c r="B53" s="10">
        <v>590029148</v>
      </c>
      <c r="C53" s="12">
        <v>78</v>
      </c>
      <c r="D53" s="38">
        <f>'Quiz 1'!O54</f>
        <v>12.5</v>
      </c>
      <c r="E53" s="38">
        <f>'Assignment 1'!N54/10</f>
        <v>13.9</v>
      </c>
      <c r="F53" s="38">
        <f>'Class Test 1'!P54</f>
        <v>11.5</v>
      </c>
      <c r="G53" s="38">
        <f>'Quiz 2'!O54</f>
        <v>0</v>
      </c>
      <c r="H53" s="10">
        <f>'Assignment 2'!N54</f>
        <v>15</v>
      </c>
      <c r="I53" s="10">
        <f>'Class Test 2'!O54</f>
        <v>18</v>
      </c>
      <c r="J53" s="29">
        <f t="shared" si="0"/>
        <v>70.900000000000006</v>
      </c>
      <c r="K53" s="12">
        <v>46</v>
      </c>
      <c r="L53" s="29">
        <f t="shared" si="1"/>
        <v>58.45</v>
      </c>
      <c r="M53" s="29">
        <f t="shared" si="2"/>
        <v>29.225000000000001</v>
      </c>
      <c r="N53" s="29">
        <f t="shared" si="3"/>
        <v>3.4</v>
      </c>
      <c r="O53" s="29">
        <f>'Mid Sem'!O54</f>
        <v>17</v>
      </c>
      <c r="P53" s="29">
        <f>'End Sem'!N54</f>
        <v>0</v>
      </c>
      <c r="Q53" s="29">
        <f t="shared" si="4"/>
        <v>0</v>
      </c>
      <c r="R53" s="26">
        <f t="shared" si="5"/>
        <v>32.625</v>
      </c>
      <c r="S53" s="1"/>
      <c r="U53" t="s">
        <v>113</v>
      </c>
      <c r="V53">
        <v>25010104992</v>
      </c>
    </row>
    <row r="54" spans="1:22" ht="15.75" x14ac:dyDescent="0.25">
      <c r="A54" s="1" t="s">
        <v>114</v>
      </c>
      <c r="B54" s="10">
        <v>590029309</v>
      </c>
      <c r="C54" s="12">
        <v>78</v>
      </c>
      <c r="D54" s="38">
        <f>'Quiz 1'!O55</f>
        <v>14</v>
      </c>
      <c r="E54" s="38">
        <f>'Assignment 1'!N55/10</f>
        <v>13.1</v>
      </c>
      <c r="F54" s="38">
        <f>'Class Test 1'!P55</f>
        <v>18</v>
      </c>
      <c r="G54" s="38">
        <f>'Quiz 2'!O55</f>
        <v>15</v>
      </c>
      <c r="H54" s="10">
        <f>'Assignment 2'!N55</f>
        <v>15</v>
      </c>
      <c r="I54" s="10">
        <f>'Class Test 2'!O55</f>
        <v>19.5</v>
      </c>
      <c r="J54" s="29">
        <f t="shared" si="0"/>
        <v>94.6</v>
      </c>
      <c r="K54" s="12">
        <v>52.5</v>
      </c>
      <c r="L54" s="29">
        <f t="shared" si="1"/>
        <v>73.55</v>
      </c>
      <c r="M54" s="29">
        <f t="shared" si="2"/>
        <v>36.774999999999999</v>
      </c>
      <c r="N54" s="29">
        <f t="shared" si="3"/>
        <v>3.4</v>
      </c>
      <c r="O54" s="29">
        <f>'Mid Sem'!O55</f>
        <v>17</v>
      </c>
      <c r="P54" s="29">
        <f>'End Sem'!N55</f>
        <v>0</v>
      </c>
      <c r="Q54" s="29">
        <f t="shared" si="4"/>
        <v>0</v>
      </c>
      <c r="R54" s="26">
        <f t="shared" si="5"/>
        <v>40.174999999999997</v>
      </c>
      <c r="S54" s="1"/>
      <c r="U54" t="s">
        <v>115</v>
      </c>
      <c r="V54">
        <v>25010104979</v>
      </c>
    </row>
    <row r="55" spans="1:22" ht="15.75" x14ac:dyDescent="0.25">
      <c r="A55" s="1" t="s">
        <v>116</v>
      </c>
      <c r="B55" s="10">
        <v>590028838</v>
      </c>
      <c r="C55" s="12">
        <v>78</v>
      </c>
      <c r="D55" s="38">
        <f>'Quiz 1'!O56</f>
        <v>15</v>
      </c>
      <c r="E55" s="38">
        <f>'Assignment 1'!N56/10</f>
        <v>11.3</v>
      </c>
      <c r="F55" s="38">
        <f>'Class Test 1'!P56</f>
        <v>2</v>
      </c>
      <c r="G55" s="38">
        <f>'Quiz 2'!O56</f>
        <v>8</v>
      </c>
      <c r="H55" s="10">
        <f>'Assignment 2'!N56</f>
        <v>15</v>
      </c>
      <c r="I55" s="10">
        <f>'Class Test 2'!O56</f>
        <v>13</v>
      </c>
      <c r="J55" s="29">
        <f t="shared" si="0"/>
        <v>64.3</v>
      </c>
      <c r="K55" s="12">
        <v>37</v>
      </c>
      <c r="L55" s="29">
        <f t="shared" si="1"/>
        <v>50.65</v>
      </c>
      <c r="M55" s="29">
        <f t="shared" si="2"/>
        <v>25.324999999999999</v>
      </c>
      <c r="N55" s="29">
        <f t="shared" si="3"/>
        <v>0</v>
      </c>
      <c r="O55" s="29">
        <f>'Mid Sem'!O56</f>
        <v>0</v>
      </c>
      <c r="P55" s="29">
        <f>'End Sem'!N56</f>
        <v>0</v>
      </c>
      <c r="Q55" s="29">
        <f t="shared" si="4"/>
        <v>0</v>
      </c>
      <c r="R55" s="26">
        <f t="shared" si="5"/>
        <v>25.324999999999999</v>
      </c>
      <c r="S55" s="1"/>
      <c r="U55" t="s">
        <v>117</v>
      </c>
      <c r="V55">
        <v>25010104945</v>
      </c>
    </row>
    <row r="56" spans="1:22" ht="15.75" x14ac:dyDescent="0.25">
      <c r="A56" s="1" t="s">
        <v>118</v>
      </c>
      <c r="B56" s="10">
        <v>590029107</v>
      </c>
      <c r="C56" s="12">
        <v>78</v>
      </c>
      <c r="D56" s="38">
        <f>'Quiz 1'!O57</f>
        <v>15</v>
      </c>
      <c r="E56" s="38">
        <f>'Assignment 1'!N57/10</f>
        <v>0</v>
      </c>
      <c r="F56" s="38">
        <f>'Class Test 1'!P57</f>
        <v>18</v>
      </c>
      <c r="G56" s="38">
        <f>'Quiz 2'!O57</f>
        <v>14</v>
      </c>
      <c r="H56" s="10">
        <f>'Assignment 2'!N57</f>
        <v>0</v>
      </c>
      <c r="I56" s="10">
        <f>'Class Test 2'!O57</f>
        <v>0</v>
      </c>
      <c r="J56" s="29">
        <f t="shared" si="0"/>
        <v>47</v>
      </c>
      <c r="K56" s="12">
        <v>23</v>
      </c>
      <c r="L56" s="29">
        <f t="shared" si="1"/>
        <v>35</v>
      </c>
      <c r="M56" s="29">
        <f t="shared" si="2"/>
        <v>17.5</v>
      </c>
      <c r="N56" s="29">
        <f t="shared" si="3"/>
        <v>4.4000000000000004</v>
      </c>
      <c r="O56" s="29">
        <f>'Mid Sem'!O57</f>
        <v>22</v>
      </c>
      <c r="P56" s="29">
        <f>'End Sem'!N57</f>
        <v>0</v>
      </c>
      <c r="Q56" s="29">
        <f t="shared" si="4"/>
        <v>0</v>
      </c>
      <c r="R56" s="26">
        <f t="shared" si="5"/>
        <v>21.9</v>
      </c>
      <c r="S56" s="1"/>
      <c r="U56" t="s">
        <v>119</v>
      </c>
      <c r="V56">
        <v>25010104988</v>
      </c>
    </row>
    <row r="57" spans="1:22" ht="15.75" x14ac:dyDescent="0.25">
      <c r="A57" s="1" t="s">
        <v>120</v>
      </c>
      <c r="B57" s="10">
        <v>590029266</v>
      </c>
      <c r="C57" s="12">
        <v>78</v>
      </c>
      <c r="D57" s="38">
        <f>'Quiz 1'!O58</f>
        <v>12</v>
      </c>
      <c r="E57" s="38">
        <f>'Assignment 1'!N58/10</f>
        <v>0</v>
      </c>
      <c r="F57" s="38">
        <f>'Class Test 1'!P58</f>
        <v>15</v>
      </c>
      <c r="G57" s="38">
        <f>'Quiz 2'!O58</f>
        <v>0</v>
      </c>
      <c r="H57" s="10">
        <f>'Assignment 2'!N58</f>
        <v>0</v>
      </c>
      <c r="I57" s="10">
        <f>'Class Test 2'!O58</f>
        <v>0</v>
      </c>
      <c r="J57" s="29">
        <f t="shared" si="0"/>
        <v>27</v>
      </c>
      <c r="K57" s="12">
        <v>8.5</v>
      </c>
      <c r="L57" s="29">
        <f t="shared" si="1"/>
        <v>17.75</v>
      </c>
      <c r="M57" s="29">
        <f t="shared" si="2"/>
        <v>8.875</v>
      </c>
      <c r="N57" s="29">
        <f t="shared" si="3"/>
        <v>1.8</v>
      </c>
      <c r="O57" s="29">
        <f>'Mid Sem'!O58</f>
        <v>9</v>
      </c>
      <c r="P57" s="29">
        <f>'End Sem'!N58</f>
        <v>0</v>
      </c>
      <c r="Q57" s="29">
        <f t="shared" si="4"/>
        <v>0</v>
      </c>
      <c r="R57" s="26">
        <f t="shared" si="5"/>
        <v>10.675000000000001</v>
      </c>
      <c r="S57" s="1"/>
      <c r="U57" t="s">
        <v>121</v>
      </c>
      <c r="V57">
        <v>25010104958</v>
      </c>
    </row>
    <row r="58" spans="1:22" ht="15.75" x14ac:dyDescent="0.25">
      <c r="A58" s="1" t="s">
        <v>122</v>
      </c>
      <c r="B58" s="10">
        <v>590029354</v>
      </c>
      <c r="C58" s="12">
        <v>78</v>
      </c>
      <c r="D58" s="38">
        <f>'Quiz 1'!O59</f>
        <v>13</v>
      </c>
      <c r="E58" s="38">
        <f>'Assignment 1'!N59/10</f>
        <v>14.8</v>
      </c>
      <c r="F58" s="38">
        <f>'Class Test 1'!P59</f>
        <v>18</v>
      </c>
      <c r="G58" s="38">
        <f>'Quiz 2'!O59</f>
        <v>13.5</v>
      </c>
      <c r="H58" s="10">
        <f>'Assignment 2'!N59</f>
        <v>15</v>
      </c>
      <c r="I58" s="10">
        <f>'Class Test 2'!O59</f>
        <v>14.5</v>
      </c>
      <c r="J58" s="29">
        <f t="shared" si="0"/>
        <v>88.8</v>
      </c>
      <c r="K58" s="12">
        <v>80</v>
      </c>
      <c r="L58" s="29">
        <f t="shared" si="1"/>
        <v>84.4</v>
      </c>
      <c r="M58" s="29">
        <f t="shared" si="2"/>
        <v>42.2</v>
      </c>
      <c r="N58" s="29">
        <f t="shared" si="3"/>
        <v>16.399999999999999</v>
      </c>
      <c r="O58" s="29">
        <f>'Mid Sem'!O59</f>
        <v>82</v>
      </c>
      <c r="P58" s="29">
        <f>'End Sem'!N59</f>
        <v>0</v>
      </c>
      <c r="Q58" s="29">
        <f t="shared" si="4"/>
        <v>0</v>
      </c>
      <c r="R58" s="26">
        <f t="shared" si="5"/>
        <v>58.6</v>
      </c>
      <c r="S58" s="1"/>
      <c r="U58" t="s">
        <v>123</v>
      </c>
      <c r="V58">
        <v>25010105018</v>
      </c>
    </row>
    <row r="59" spans="1:22" ht="15.75" x14ac:dyDescent="0.25">
      <c r="A59" s="1" t="s">
        <v>124</v>
      </c>
      <c r="B59" s="10">
        <v>590029349</v>
      </c>
      <c r="C59" s="12">
        <v>78</v>
      </c>
      <c r="D59" s="38">
        <f>'Quiz 1'!O60</f>
        <v>15</v>
      </c>
      <c r="E59" s="38">
        <f>'Assignment 1'!N60/10</f>
        <v>14</v>
      </c>
      <c r="F59" s="38">
        <f>'Class Test 1'!P60</f>
        <v>12.5</v>
      </c>
      <c r="G59" s="38">
        <f>'Quiz 2'!O60</f>
        <v>14</v>
      </c>
      <c r="H59" s="10">
        <f>'Assignment 2'!N60</f>
        <v>15</v>
      </c>
      <c r="I59" s="10">
        <f>'Class Test 2'!O60</f>
        <v>14.5</v>
      </c>
      <c r="J59" s="29">
        <f t="shared" si="0"/>
        <v>85</v>
      </c>
      <c r="K59" s="12">
        <v>67</v>
      </c>
      <c r="L59" s="29">
        <f t="shared" si="1"/>
        <v>76</v>
      </c>
      <c r="M59" s="29">
        <f t="shared" si="2"/>
        <v>38</v>
      </c>
      <c r="N59" s="29">
        <f t="shared" si="3"/>
        <v>6.2</v>
      </c>
      <c r="O59" s="29">
        <f>'Mid Sem'!O60</f>
        <v>31</v>
      </c>
      <c r="P59" s="29">
        <f>'End Sem'!N60</f>
        <v>0</v>
      </c>
      <c r="Q59" s="29">
        <f t="shared" si="4"/>
        <v>0</v>
      </c>
      <c r="R59" s="26">
        <f t="shared" si="5"/>
        <v>44.2</v>
      </c>
      <c r="S59" s="1"/>
      <c r="U59" t="s">
        <v>125</v>
      </c>
      <c r="V59">
        <v>25010105017</v>
      </c>
    </row>
    <row r="60" spans="1:22" ht="15.75" x14ac:dyDescent="0.25">
      <c r="A60" s="1" t="s">
        <v>126</v>
      </c>
      <c r="B60" s="10">
        <v>590029302</v>
      </c>
      <c r="C60" s="12">
        <v>78</v>
      </c>
      <c r="D60" s="38">
        <f>'Quiz 1'!O61</f>
        <v>12</v>
      </c>
      <c r="E60" s="38">
        <f>'Assignment 1'!N61/10</f>
        <v>13.7</v>
      </c>
      <c r="F60" s="38">
        <f>'Class Test 1'!P61</f>
        <v>15</v>
      </c>
      <c r="G60" s="38">
        <f>'Quiz 2'!O61</f>
        <v>11</v>
      </c>
      <c r="H60" s="10">
        <f>'Assignment 2'!N61</f>
        <v>15</v>
      </c>
      <c r="I60" s="10">
        <f>'Class Test 2'!O61</f>
        <v>15.5</v>
      </c>
      <c r="J60" s="29">
        <f t="shared" si="0"/>
        <v>82.2</v>
      </c>
      <c r="K60" s="12">
        <v>80</v>
      </c>
      <c r="L60" s="29">
        <f t="shared" si="1"/>
        <v>81.099999999999994</v>
      </c>
      <c r="M60" s="29">
        <f t="shared" si="2"/>
        <v>40.549999999999997</v>
      </c>
      <c r="N60" s="29">
        <f t="shared" si="3"/>
        <v>13.6</v>
      </c>
      <c r="O60" s="29">
        <f>'Mid Sem'!O61</f>
        <v>68</v>
      </c>
      <c r="P60" s="29">
        <f>'End Sem'!N61</f>
        <v>0</v>
      </c>
      <c r="Q60" s="29">
        <f t="shared" si="4"/>
        <v>0</v>
      </c>
      <c r="R60" s="26">
        <f t="shared" si="5"/>
        <v>54.15</v>
      </c>
      <c r="S60" s="1"/>
      <c r="U60" t="s">
        <v>127</v>
      </c>
      <c r="V60">
        <v>25010104954</v>
      </c>
    </row>
    <row r="61" spans="1:22" ht="15.75" x14ac:dyDescent="0.25">
      <c r="A61" s="1" t="s">
        <v>128</v>
      </c>
      <c r="B61" s="10">
        <v>590029262</v>
      </c>
      <c r="C61" s="12">
        <v>78</v>
      </c>
      <c r="D61" s="38">
        <f>'Quiz 1'!O62</f>
        <v>12</v>
      </c>
      <c r="E61" s="38">
        <f>'Assignment 1'!N62/10</f>
        <v>14.2</v>
      </c>
      <c r="F61" s="38">
        <f>'Class Test 1'!P62</f>
        <v>19</v>
      </c>
      <c r="G61" s="38">
        <f>'Quiz 2'!O62</f>
        <v>14</v>
      </c>
      <c r="H61" s="10">
        <f>'Assignment 2'!N62</f>
        <v>15</v>
      </c>
      <c r="I61" s="10">
        <f>'Class Test 2'!O62</f>
        <v>15.5</v>
      </c>
      <c r="J61" s="29">
        <f t="shared" si="0"/>
        <v>89.7</v>
      </c>
      <c r="K61" s="12">
        <v>51.5</v>
      </c>
      <c r="L61" s="29">
        <f t="shared" si="1"/>
        <v>70.599999999999994</v>
      </c>
      <c r="M61" s="29">
        <f t="shared" si="2"/>
        <v>35.299999999999997</v>
      </c>
      <c r="N61" s="29">
        <f t="shared" si="3"/>
        <v>12</v>
      </c>
      <c r="O61" s="29">
        <f>'Mid Sem'!O62</f>
        <v>60</v>
      </c>
      <c r="P61" s="29">
        <f>'End Sem'!N62</f>
        <v>0</v>
      </c>
      <c r="Q61" s="29">
        <f t="shared" si="4"/>
        <v>0</v>
      </c>
      <c r="R61" s="26">
        <f t="shared" si="5"/>
        <v>47.3</v>
      </c>
      <c r="S61" s="1"/>
      <c r="U61" t="s">
        <v>129</v>
      </c>
      <c r="V61">
        <v>25010104987</v>
      </c>
    </row>
    <row r="62" spans="1:22" ht="15.75" x14ac:dyDescent="0.25">
      <c r="A62" s="1" t="s">
        <v>130</v>
      </c>
      <c r="B62" s="10">
        <v>590029285</v>
      </c>
      <c r="C62" s="12">
        <v>78</v>
      </c>
      <c r="D62" s="38">
        <f>'Quiz 1'!O63</f>
        <v>10.5</v>
      </c>
      <c r="E62" s="38">
        <f>'Assignment 1'!N63/10</f>
        <v>14.5</v>
      </c>
      <c r="F62" s="38">
        <f>'Class Test 1'!P63</f>
        <v>13</v>
      </c>
      <c r="G62" s="38">
        <f>'Quiz 2'!O63</f>
        <v>13</v>
      </c>
      <c r="H62" s="10">
        <f>'Assignment 2'!N63</f>
        <v>14</v>
      </c>
      <c r="I62" s="10">
        <f>'Class Test 2'!O63</f>
        <v>17.5</v>
      </c>
      <c r="J62" s="29">
        <f t="shared" si="0"/>
        <v>82.5</v>
      </c>
      <c r="K62" s="12">
        <v>51</v>
      </c>
      <c r="L62" s="29">
        <f t="shared" si="1"/>
        <v>66.75</v>
      </c>
      <c r="M62" s="29">
        <f t="shared" si="2"/>
        <v>33.375</v>
      </c>
      <c r="N62" s="29">
        <f t="shared" si="3"/>
        <v>12.6</v>
      </c>
      <c r="O62" s="29">
        <f>'Mid Sem'!O63</f>
        <v>63</v>
      </c>
      <c r="P62" s="29">
        <f>'End Sem'!N63</f>
        <v>0</v>
      </c>
      <c r="Q62" s="29">
        <f t="shared" si="4"/>
        <v>0</v>
      </c>
      <c r="R62" s="26">
        <f t="shared" si="5"/>
        <v>45.975000000000001</v>
      </c>
      <c r="S62" s="1"/>
      <c r="U62" t="s">
        <v>131</v>
      </c>
      <c r="V62">
        <v>25010104949</v>
      </c>
    </row>
    <row r="63" spans="1:22" ht="15.75" x14ac:dyDescent="0.25">
      <c r="A63" s="1" t="s">
        <v>132</v>
      </c>
      <c r="B63" s="10">
        <v>590029353</v>
      </c>
      <c r="C63" s="12">
        <v>78</v>
      </c>
      <c r="D63" s="38">
        <f>'Quiz 1'!O64</f>
        <v>14</v>
      </c>
      <c r="E63" s="38">
        <f>'Assignment 1'!N64/10</f>
        <v>14.5</v>
      </c>
      <c r="F63" s="38">
        <f>'Class Test 1'!P64</f>
        <v>17</v>
      </c>
      <c r="G63" s="38">
        <f>'Quiz 2'!O64</f>
        <v>0</v>
      </c>
      <c r="H63" s="10">
        <f>'Assignment 2'!N64</f>
        <v>15</v>
      </c>
      <c r="I63" s="10">
        <f>'Class Test 2'!O64</f>
        <v>15</v>
      </c>
      <c r="J63" s="29">
        <f t="shared" si="0"/>
        <v>75.5</v>
      </c>
      <c r="K63" s="12">
        <v>70</v>
      </c>
      <c r="L63" s="29">
        <f t="shared" si="1"/>
        <v>72.75</v>
      </c>
      <c r="M63" s="29">
        <f t="shared" si="2"/>
        <v>36.375</v>
      </c>
      <c r="N63" s="29">
        <f t="shared" si="3"/>
        <v>2.6</v>
      </c>
      <c r="O63" s="29">
        <f>'Mid Sem'!O64</f>
        <v>13</v>
      </c>
      <c r="P63" s="29">
        <f>'End Sem'!N64</f>
        <v>0</v>
      </c>
      <c r="Q63" s="29">
        <f t="shared" si="4"/>
        <v>0</v>
      </c>
      <c r="R63" s="26">
        <f t="shared" si="5"/>
        <v>38.975000000000001</v>
      </c>
      <c r="S63" s="1"/>
      <c r="U63" t="s">
        <v>133</v>
      </c>
      <c r="V63">
        <v>122514758</v>
      </c>
    </row>
    <row r="65" spans="3:19" x14ac:dyDescent="0.25">
      <c r="C65" t="s">
        <v>169</v>
      </c>
      <c r="D65">
        <f>MAX(D5:D63)</f>
        <v>15</v>
      </c>
      <c r="E65">
        <f t="shared" ref="E65:S65" si="6">MAX(E5:E63)</f>
        <v>15</v>
      </c>
      <c r="F65">
        <f t="shared" si="6"/>
        <v>20</v>
      </c>
      <c r="G65">
        <f>MAX(G5:G63)</f>
        <v>15</v>
      </c>
      <c r="H65">
        <f t="shared" si="6"/>
        <v>15</v>
      </c>
      <c r="I65">
        <f t="shared" si="6"/>
        <v>19.5</v>
      </c>
      <c r="J65">
        <f t="shared" si="6"/>
        <v>97.8</v>
      </c>
      <c r="K65">
        <f t="shared" si="6"/>
        <v>98</v>
      </c>
      <c r="L65">
        <f t="shared" si="6"/>
        <v>95.65</v>
      </c>
      <c r="M65">
        <f t="shared" si="6"/>
        <v>47.825000000000003</v>
      </c>
      <c r="N65">
        <f t="shared" si="6"/>
        <v>19.600000000000001</v>
      </c>
      <c r="O65">
        <f t="shared" si="6"/>
        <v>98</v>
      </c>
      <c r="P65">
        <f t="shared" si="6"/>
        <v>0</v>
      </c>
      <c r="Q65">
        <f t="shared" si="6"/>
        <v>0</v>
      </c>
      <c r="R65">
        <f t="shared" si="6"/>
        <v>65.05</v>
      </c>
      <c r="S65">
        <f t="shared" si="6"/>
        <v>0</v>
      </c>
    </row>
    <row r="66" spans="3:19" x14ac:dyDescent="0.25">
      <c r="C66" t="s">
        <v>170</v>
      </c>
      <c r="D66">
        <f>_xlfn.MINIFS(D5:D63, D5:D63, "&gt;0")</f>
        <v>5</v>
      </c>
      <c r="E66">
        <f t="shared" ref="E66:S66" si="7">_xlfn.MINIFS(E5:E63, E5:E63, "&gt;0")</f>
        <v>5.0999999999999996</v>
      </c>
      <c r="F66">
        <f t="shared" si="7"/>
        <v>2</v>
      </c>
      <c r="G66">
        <f t="shared" si="7"/>
        <v>6</v>
      </c>
      <c r="H66">
        <f t="shared" si="7"/>
        <v>14</v>
      </c>
      <c r="I66">
        <f t="shared" si="7"/>
        <v>3</v>
      </c>
      <c r="J66">
        <f t="shared" si="7"/>
        <v>17.5</v>
      </c>
      <c r="K66">
        <f t="shared" si="7"/>
        <v>5</v>
      </c>
      <c r="L66">
        <f t="shared" si="7"/>
        <v>11</v>
      </c>
      <c r="M66">
        <f t="shared" si="7"/>
        <v>5.5</v>
      </c>
      <c r="N66">
        <f t="shared" si="7"/>
        <v>0.2</v>
      </c>
      <c r="O66">
        <f t="shared" si="7"/>
        <v>1</v>
      </c>
      <c r="P66">
        <f t="shared" si="7"/>
        <v>0</v>
      </c>
      <c r="Q66">
        <f t="shared" si="7"/>
        <v>0</v>
      </c>
      <c r="R66">
        <f t="shared" si="7"/>
        <v>0.2</v>
      </c>
      <c r="S66">
        <f t="shared" si="7"/>
        <v>0</v>
      </c>
    </row>
    <row r="67" spans="3:19" x14ac:dyDescent="0.25">
      <c r="C67" t="s">
        <v>171</v>
      </c>
      <c r="D67">
        <f>MEDIAN(D5:D63)</f>
        <v>11</v>
      </c>
      <c r="E67">
        <f t="shared" ref="E67:S67" si="8">MEDIAN(E5:E63)</f>
        <v>13.8</v>
      </c>
      <c r="F67">
        <f t="shared" si="8"/>
        <v>12.5</v>
      </c>
      <c r="G67">
        <f t="shared" si="8"/>
        <v>12.5</v>
      </c>
      <c r="H67">
        <f t="shared" si="8"/>
        <v>15</v>
      </c>
      <c r="I67">
        <f t="shared" si="8"/>
        <v>14</v>
      </c>
      <c r="J67">
        <f t="shared" si="8"/>
        <v>72.2</v>
      </c>
      <c r="K67">
        <f t="shared" si="8"/>
        <v>52.5</v>
      </c>
      <c r="L67">
        <f t="shared" si="8"/>
        <v>66.2</v>
      </c>
      <c r="M67">
        <f t="shared" si="8"/>
        <v>33.1</v>
      </c>
      <c r="N67">
        <f>MEDIAN(N5:N63)</f>
        <v>4.5999999999999996</v>
      </c>
      <c r="O67">
        <f t="shared" si="8"/>
        <v>23</v>
      </c>
      <c r="P67">
        <f t="shared" si="8"/>
        <v>0</v>
      </c>
      <c r="Q67">
        <f t="shared" si="8"/>
        <v>0</v>
      </c>
      <c r="R67">
        <f t="shared" si="8"/>
        <v>36.774999999999999</v>
      </c>
      <c r="S67" t="e">
        <f t="shared" si="8"/>
        <v>#NUM!</v>
      </c>
    </row>
    <row r="68" spans="3:19" x14ac:dyDescent="0.25">
      <c r="C68" t="s">
        <v>171</v>
      </c>
      <c r="D68" cm="1">
        <f t="array" ref="D68">MEDIAN(_xlfn._xlws.FILTER(D5:D63, D5:D63&lt;&gt;0))</f>
        <v>12</v>
      </c>
      <c r="E68" cm="1">
        <f t="array" ref="E68">MEDIAN(_xlfn._xlws.FILTER(E5:E63, E5:E63&lt;&gt;0))</f>
        <v>14</v>
      </c>
      <c r="F68" cm="1">
        <f t="array" ref="F68">MEDIAN(_xlfn._xlws.FILTER(F5:F63, F5:F63&lt;&gt;0))</f>
        <v>14.25</v>
      </c>
      <c r="G68" cm="1">
        <f t="array" ref="G68">MEDIAN(_xlfn._xlws.FILTER(G5:G63, G5:G63&lt;&gt;0))</f>
        <v>13.5</v>
      </c>
      <c r="H68" cm="1">
        <f t="array" ref="H68">MEDIAN(_xlfn._xlws.FILTER(H5:H63, H5:H63&lt;&gt;0))</f>
        <v>15</v>
      </c>
      <c r="I68" cm="1">
        <f t="array" ref="I68">MEDIAN(_xlfn._xlws.FILTER(I5:I63, I5:I63&lt;&gt;0))</f>
        <v>14.5</v>
      </c>
      <c r="J68" cm="1">
        <f t="array" ref="J68">MEDIAN(_xlfn._xlws.FILTER(J5:J63, J5:J63&lt;&gt;0))</f>
        <v>75.5</v>
      </c>
      <c r="K68" cm="1">
        <f t="array" ref="K68">MEDIAN(_xlfn._xlws.FILTER(K5:K63, K5:K63&lt;&gt;0))</f>
        <v>53.5</v>
      </c>
      <c r="L68" cm="1">
        <f t="array" ref="L68">MEDIAN(_xlfn._xlws.FILTER(L5:L63, L5:L63&lt;&gt;0))</f>
        <v>66.75</v>
      </c>
      <c r="M68" cm="1">
        <f t="array" ref="M68">MEDIAN(_xlfn._xlws.FILTER(M5:M63, M5:M63&lt;&gt;0))</f>
        <v>33.375</v>
      </c>
      <c r="N68" cm="1">
        <f t="array" ref="N68">MEDIAN(_xlfn._xlws.FILTER(N5:N63, N5:N63&lt;&gt;0))</f>
        <v>5.8</v>
      </c>
      <c r="O68" cm="1">
        <f t="array" ref="O68">MEDIAN(_xlfn._xlws.FILTER(O5:O63, O5:O63&lt;&gt;0))</f>
        <v>29</v>
      </c>
      <c r="P68" t="e" cm="1" vm="1">
        <f t="array" ref="P68">MEDIAN(_xlfn._xlws.FILTER(P5:P63, P5:P63&lt;&gt;0))</f>
        <v>#VALUE!</v>
      </c>
      <c r="Q68" t="e" cm="1" vm="1">
        <f t="array" ref="Q68">MEDIAN(_xlfn._xlws.FILTER(Q5:Q63, Q5:Q63&lt;&gt;0))</f>
        <v>#VALUE!</v>
      </c>
      <c r="R68" cm="1">
        <f t="array" ref="R68">MEDIAN(_xlfn._xlws.FILTER(R5:R63, R5:R63&lt;&gt;0))</f>
        <v>38.975000000000001</v>
      </c>
    </row>
  </sheetData>
  <mergeCells count="2">
    <mergeCell ref="A1:S1"/>
    <mergeCell ref="A2:S2"/>
  </mergeCells>
  <conditionalFormatting sqref="R5:R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7" right="0.7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8B1E-82C0-4209-AE48-1BAE4688E389}">
  <dimension ref="A1:U65"/>
  <sheetViews>
    <sheetView topLeftCell="A38" zoomScaleNormal="100" workbookViewId="0">
      <selection activeCell="B41" sqref="B41"/>
    </sheetView>
  </sheetViews>
  <sheetFormatPr defaultRowHeight="15" x14ac:dyDescent="0.25"/>
  <cols>
    <col min="1" max="1" width="19" customWidth="1"/>
    <col min="2" max="2" width="24.28515625" bestFit="1" customWidth="1"/>
    <col min="3" max="3" width="5.5703125" customWidth="1"/>
    <col min="4" max="14" width="4.5703125" bestFit="1" customWidth="1"/>
    <col min="15" max="15" width="5.42578125" bestFit="1" customWidth="1"/>
    <col min="16" max="16" width="16" customWidth="1"/>
  </cols>
  <sheetData>
    <row r="1" spans="1:21" ht="24.75" x14ac:dyDescent="0.4">
      <c r="A1" s="47" t="s">
        <v>162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21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21" x14ac:dyDescent="0.25">
      <c r="A3" s="1"/>
      <c r="B3" s="1"/>
      <c r="C3" s="1"/>
      <c r="D3" s="2" t="s">
        <v>135</v>
      </c>
      <c r="E3" s="2" t="s">
        <v>135</v>
      </c>
      <c r="F3" s="2" t="s">
        <v>135</v>
      </c>
      <c r="G3" s="2" t="s">
        <v>135</v>
      </c>
      <c r="H3" s="2" t="s">
        <v>136</v>
      </c>
      <c r="I3" s="2" t="s">
        <v>136</v>
      </c>
      <c r="J3" s="2" t="s">
        <v>136</v>
      </c>
      <c r="K3" s="2" t="s">
        <v>135</v>
      </c>
      <c r="L3" s="2" t="s">
        <v>136</v>
      </c>
      <c r="M3" s="2" t="s">
        <v>135</v>
      </c>
      <c r="N3" s="2"/>
      <c r="O3" s="1"/>
      <c r="P3" s="1"/>
      <c r="S3" s="2" t="s">
        <v>135</v>
      </c>
      <c r="T3" s="2" t="s">
        <v>136</v>
      </c>
    </row>
    <row r="4" spans="1:21" x14ac:dyDescent="0.25">
      <c r="A4" s="3" t="s">
        <v>153</v>
      </c>
      <c r="B4" s="3" t="s">
        <v>138</v>
      </c>
      <c r="C4" s="3"/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  <c r="I4" s="3" t="s">
        <v>145</v>
      </c>
      <c r="J4" s="3" t="s">
        <v>146</v>
      </c>
      <c r="K4" s="3" t="s">
        <v>147</v>
      </c>
      <c r="L4" s="3" t="s">
        <v>148</v>
      </c>
      <c r="M4" s="3" t="s">
        <v>149</v>
      </c>
      <c r="N4" s="3" t="s">
        <v>150</v>
      </c>
      <c r="O4" s="3" t="s">
        <v>11</v>
      </c>
      <c r="P4" s="13" t="s">
        <v>12</v>
      </c>
      <c r="S4" s="3"/>
      <c r="T4" s="3"/>
      <c r="U4" s="3" t="s">
        <v>11</v>
      </c>
    </row>
    <row r="5" spans="1:21" x14ac:dyDescent="0.25">
      <c r="A5" s="5"/>
      <c r="B5" s="5" t="s">
        <v>15</v>
      </c>
      <c r="C5" s="5" t="s">
        <v>167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2.5</v>
      </c>
      <c r="L5" s="5">
        <v>2.5</v>
      </c>
      <c r="M5" s="5">
        <v>3</v>
      </c>
      <c r="N5" s="5"/>
      <c r="O5" s="5">
        <f>SUM(D5:N5)</f>
        <v>15</v>
      </c>
      <c r="P5" s="5"/>
      <c r="S5" s="5">
        <f>SUM(D5:G5,K5,M5)</f>
        <v>9.5</v>
      </c>
      <c r="T5" s="5">
        <f>SUM(H5,I5,J5,L5)</f>
        <v>5.5</v>
      </c>
      <c r="U5" s="5">
        <f>SUM(S5:T5)</f>
        <v>15</v>
      </c>
    </row>
    <row r="6" spans="1:21" x14ac:dyDescent="0.25">
      <c r="A6" s="4">
        <f>'Mid Sem'!B6</f>
        <v>590029213</v>
      </c>
      <c r="B6" s="4" t="str">
        <f>'Mid Sem'!A6</f>
        <v>Aadya Dubey</v>
      </c>
      <c r="C6" s="27" t="b">
        <v>1</v>
      </c>
      <c r="D6" s="1">
        <v>0.5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2.5</v>
      </c>
      <c r="L6" s="1">
        <v>2.5</v>
      </c>
      <c r="M6" s="1">
        <v>3</v>
      </c>
      <c r="N6" s="1"/>
      <c r="O6" s="26">
        <f>SUM(D6:N6)</f>
        <v>14.5</v>
      </c>
      <c r="P6" s="1"/>
      <c r="S6" s="26">
        <f>SUM(D6:G6,K6,M6)</f>
        <v>9</v>
      </c>
      <c r="T6" s="26">
        <f>SUM(H6,I6,J6,L6)</f>
        <v>5.5</v>
      </c>
      <c r="U6" s="26">
        <f>SUM(S6:T6)</f>
        <v>14.5</v>
      </c>
    </row>
    <row r="7" spans="1:21" x14ac:dyDescent="0.25">
      <c r="A7" s="4">
        <f>'Mid Sem'!B7</f>
        <v>590029270</v>
      </c>
      <c r="B7" s="4" t="str">
        <f>'Mid Sem'!A7</f>
        <v>Aditya Vishwakarma</v>
      </c>
      <c r="C7" s="27" t="b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2.5</v>
      </c>
      <c r="L7" s="1">
        <v>2.5</v>
      </c>
      <c r="M7" s="1">
        <v>3</v>
      </c>
      <c r="N7" s="1"/>
      <c r="O7" s="26">
        <f t="shared" ref="O7:O64" si="0">SUM(D7:N7)</f>
        <v>15</v>
      </c>
      <c r="P7" s="1"/>
      <c r="S7" s="26">
        <f t="shared" ref="S7:S64" si="1">SUM(D7:G7,K7,M7)</f>
        <v>9.5</v>
      </c>
      <c r="T7" s="26">
        <f t="shared" ref="T7:T64" si="2">SUM(H7,I7,J7,L7)</f>
        <v>5.5</v>
      </c>
      <c r="U7" s="26">
        <f t="shared" ref="U7:U64" si="3">SUM(S7:T7)</f>
        <v>15</v>
      </c>
    </row>
    <row r="8" spans="1:21" x14ac:dyDescent="0.25">
      <c r="A8" s="4">
        <f>'Mid Sem'!B8</f>
        <v>590029204</v>
      </c>
      <c r="B8" s="4" t="str">
        <f>'Mid Sem'!A8</f>
        <v>Arjun</v>
      </c>
      <c r="C8" s="27" t="b">
        <v>1</v>
      </c>
      <c r="D8" s="1">
        <v>0</v>
      </c>
      <c r="E8" s="1">
        <v>1</v>
      </c>
      <c r="F8" s="1">
        <v>1</v>
      </c>
      <c r="G8" s="1">
        <v>0</v>
      </c>
      <c r="H8" s="1">
        <v>1</v>
      </c>
      <c r="I8" s="1">
        <v>1</v>
      </c>
      <c r="J8" s="1">
        <v>1</v>
      </c>
      <c r="K8" s="1">
        <v>0</v>
      </c>
      <c r="L8" s="1">
        <v>1</v>
      </c>
      <c r="M8" s="1">
        <v>2</v>
      </c>
      <c r="N8" s="1"/>
      <c r="O8" s="26">
        <f t="shared" si="0"/>
        <v>8</v>
      </c>
      <c r="P8" s="1"/>
      <c r="S8" s="26">
        <f t="shared" si="1"/>
        <v>4</v>
      </c>
      <c r="T8" s="26">
        <f t="shared" si="2"/>
        <v>4</v>
      </c>
      <c r="U8" s="26">
        <f t="shared" si="3"/>
        <v>8</v>
      </c>
    </row>
    <row r="9" spans="1:21" x14ac:dyDescent="0.25">
      <c r="A9" s="4">
        <f>'Mid Sem'!B9</f>
        <v>590029109</v>
      </c>
      <c r="B9" s="4" t="str">
        <f>'Mid Sem'!A9</f>
        <v>Aryan Yadav</v>
      </c>
      <c r="C9" s="27" t="b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1.5</v>
      </c>
      <c r="L9" s="1">
        <v>2.5</v>
      </c>
      <c r="M9" s="1">
        <v>0</v>
      </c>
      <c r="N9" s="1"/>
      <c r="O9" s="26">
        <f t="shared" si="0"/>
        <v>11</v>
      </c>
      <c r="P9" s="1"/>
      <c r="S9" s="26">
        <f t="shared" si="1"/>
        <v>5.5</v>
      </c>
      <c r="T9" s="26">
        <f t="shared" si="2"/>
        <v>5.5</v>
      </c>
      <c r="U9" s="26">
        <f t="shared" si="3"/>
        <v>11</v>
      </c>
    </row>
    <row r="10" spans="1:21" x14ac:dyDescent="0.25">
      <c r="A10" s="4">
        <f>'Mid Sem'!B10</f>
        <v>590029070</v>
      </c>
      <c r="B10" s="4" t="str">
        <f>'Mid Sem'!A10</f>
        <v>Astik Patel</v>
      </c>
      <c r="C10" s="27" t="b">
        <v>1</v>
      </c>
      <c r="D10" s="1">
        <v>1</v>
      </c>
      <c r="E10" s="1">
        <v>1</v>
      </c>
      <c r="F10" s="1">
        <v>0</v>
      </c>
      <c r="G10" s="1">
        <v>1</v>
      </c>
      <c r="H10" s="1">
        <v>1</v>
      </c>
      <c r="I10" s="1">
        <v>1</v>
      </c>
      <c r="J10" s="1">
        <v>1</v>
      </c>
      <c r="K10" s="1">
        <v>2.5</v>
      </c>
      <c r="L10" s="1">
        <v>2.5</v>
      </c>
      <c r="M10" s="1">
        <v>2</v>
      </c>
      <c r="N10" s="1"/>
      <c r="O10" s="26">
        <f t="shared" si="0"/>
        <v>13</v>
      </c>
      <c r="P10" s="1"/>
      <c r="S10" s="26">
        <f t="shared" si="1"/>
        <v>7.5</v>
      </c>
      <c r="T10" s="26">
        <f t="shared" si="2"/>
        <v>5.5</v>
      </c>
      <c r="U10" s="26">
        <f t="shared" si="3"/>
        <v>13</v>
      </c>
    </row>
    <row r="11" spans="1:21" x14ac:dyDescent="0.25">
      <c r="A11" s="4">
        <f>'Mid Sem'!B11</f>
        <v>590029157</v>
      </c>
      <c r="B11" s="4" t="str">
        <f>'Mid Sem'!A11</f>
        <v>Ayush Mohan</v>
      </c>
      <c r="C11" s="27" t="b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2.5</v>
      </c>
      <c r="L11" s="1">
        <v>2.5</v>
      </c>
      <c r="M11" s="1">
        <v>3</v>
      </c>
      <c r="N11" s="1"/>
      <c r="O11" s="26">
        <f t="shared" si="0"/>
        <v>15</v>
      </c>
      <c r="P11" s="1"/>
      <c r="S11" s="26">
        <f t="shared" si="1"/>
        <v>9.5</v>
      </c>
      <c r="T11" s="26">
        <f t="shared" si="2"/>
        <v>5.5</v>
      </c>
      <c r="U11" s="26">
        <f t="shared" si="3"/>
        <v>15</v>
      </c>
    </row>
    <row r="12" spans="1:21" x14ac:dyDescent="0.25">
      <c r="A12" s="4">
        <f>'Mid Sem'!B12</f>
        <v>590027157</v>
      </c>
      <c r="B12" s="4" t="str">
        <f>'Mid Sem'!A12</f>
        <v>Bhanu Purohit</v>
      </c>
      <c r="C12" s="27" t="b">
        <v>1</v>
      </c>
      <c r="D12" s="1">
        <v>1</v>
      </c>
      <c r="E12" s="1">
        <v>1</v>
      </c>
      <c r="F12" s="1">
        <v>1</v>
      </c>
      <c r="G12" s="1">
        <v>0</v>
      </c>
      <c r="H12" s="1">
        <v>1</v>
      </c>
      <c r="I12" s="1">
        <v>1</v>
      </c>
      <c r="J12" s="1">
        <v>1</v>
      </c>
      <c r="K12" s="1">
        <v>0.5</v>
      </c>
      <c r="L12" s="1">
        <v>0</v>
      </c>
      <c r="M12" s="1">
        <v>2</v>
      </c>
      <c r="N12" s="1"/>
      <c r="O12" s="26">
        <f t="shared" si="0"/>
        <v>8.5</v>
      </c>
      <c r="P12" s="1"/>
      <c r="S12" s="26">
        <f t="shared" si="1"/>
        <v>5.5</v>
      </c>
      <c r="T12" s="26">
        <f t="shared" si="2"/>
        <v>3</v>
      </c>
      <c r="U12" s="26">
        <f t="shared" si="3"/>
        <v>8.5</v>
      </c>
    </row>
    <row r="13" spans="1:21" x14ac:dyDescent="0.25">
      <c r="A13" s="4">
        <f>'Mid Sem'!B13</f>
        <v>590029274</v>
      </c>
      <c r="B13" s="4" t="str">
        <f>'Mid Sem'!A13</f>
        <v>Biswabandya Mohanty</v>
      </c>
      <c r="C13" s="27" t="b">
        <v>1</v>
      </c>
      <c r="D13" s="1">
        <v>1</v>
      </c>
      <c r="E13" s="1">
        <v>1</v>
      </c>
      <c r="F13" s="1">
        <v>1</v>
      </c>
      <c r="G13" s="1">
        <v>1</v>
      </c>
      <c r="H13" s="1">
        <v>0</v>
      </c>
      <c r="I13" s="1">
        <v>1</v>
      </c>
      <c r="J13" s="1">
        <v>1</v>
      </c>
      <c r="K13" s="1">
        <v>0</v>
      </c>
      <c r="L13" s="1">
        <v>2.5</v>
      </c>
      <c r="M13" s="1">
        <v>0</v>
      </c>
      <c r="N13" s="1"/>
      <c r="O13" s="26">
        <f t="shared" si="0"/>
        <v>8.5</v>
      </c>
      <c r="P13" s="1"/>
      <c r="S13" s="26">
        <f t="shared" si="1"/>
        <v>4</v>
      </c>
      <c r="T13" s="26">
        <f t="shared" si="2"/>
        <v>4.5</v>
      </c>
      <c r="U13" s="26">
        <f t="shared" si="3"/>
        <v>8.5</v>
      </c>
    </row>
    <row r="14" spans="1:21" x14ac:dyDescent="0.25">
      <c r="A14" s="4">
        <f>'Mid Sem'!B14</f>
        <v>590028572</v>
      </c>
      <c r="B14" s="4" t="str">
        <f>'Mid Sem'!A14</f>
        <v>Eashan Vashisht</v>
      </c>
      <c r="C14" s="27" t="b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2.5</v>
      </c>
      <c r="L14" s="1">
        <v>2.5</v>
      </c>
      <c r="M14" s="1">
        <v>0</v>
      </c>
      <c r="N14" s="1"/>
      <c r="O14" s="26">
        <f t="shared" si="0"/>
        <v>12</v>
      </c>
      <c r="P14" s="1"/>
      <c r="S14" s="26">
        <f t="shared" si="1"/>
        <v>6.5</v>
      </c>
      <c r="T14" s="26">
        <f t="shared" si="2"/>
        <v>5.5</v>
      </c>
      <c r="U14" s="26">
        <f t="shared" si="3"/>
        <v>12</v>
      </c>
    </row>
    <row r="15" spans="1:21" x14ac:dyDescent="0.25">
      <c r="A15" s="4">
        <f>'Mid Sem'!B15</f>
        <v>590029230</v>
      </c>
      <c r="B15" s="4" t="str">
        <f>'Mid Sem'!A15</f>
        <v>Hardik Joshi</v>
      </c>
      <c r="C15" s="27" t="b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6"/>
      <c r="P15" s="1"/>
      <c r="S15" s="26">
        <f t="shared" si="1"/>
        <v>0</v>
      </c>
      <c r="T15" s="26">
        <f t="shared" si="2"/>
        <v>0</v>
      </c>
      <c r="U15" s="26">
        <f t="shared" si="3"/>
        <v>0</v>
      </c>
    </row>
    <row r="16" spans="1:21" x14ac:dyDescent="0.25">
      <c r="A16" s="4">
        <f>'Mid Sem'!B16</f>
        <v>590029169</v>
      </c>
      <c r="B16" s="4" t="str">
        <f>'Mid Sem'!A16</f>
        <v>Hrithvik Bhardwaj</v>
      </c>
      <c r="C16" s="27" t="b">
        <v>1</v>
      </c>
      <c r="D16" s="1">
        <v>1</v>
      </c>
      <c r="E16" s="1">
        <v>0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2.5</v>
      </c>
      <c r="N16" s="1"/>
      <c r="O16" s="26">
        <f t="shared" si="0"/>
        <v>10.5</v>
      </c>
      <c r="P16" s="1"/>
      <c r="S16" s="26">
        <f t="shared" si="1"/>
        <v>6.5</v>
      </c>
      <c r="T16" s="26">
        <f t="shared" si="2"/>
        <v>4</v>
      </c>
      <c r="U16" s="26">
        <f t="shared" si="3"/>
        <v>10.5</v>
      </c>
    </row>
    <row r="17" spans="1:21" x14ac:dyDescent="0.25">
      <c r="A17" s="4">
        <f>'Mid Sem'!B17</f>
        <v>590029112</v>
      </c>
      <c r="B17" s="4" t="str">
        <f>'Mid Sem'!A17</f>
        <v>Nitish Kumar</v>
      </c>
      <c r="C17" s="27" t="b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0.5</v>
      </c>
      <c r="L17" s="1">
        <v>1.5</v>
      </c>
      <c r="M17" s="1">
        <v>3</v>
      </c>
      <c r="N17" s="1"/>
      <c r="O17" s="26">
        <f t="shared" si="0"/>
        <v>12</v>
      </c>
      <c r="P17" s="1"/>
      <c r="S17" s="26">
        <f t="shared" si="1"/>
        <v>7.5</v>
      </c>
      <c r="T17" s="26">
        <f t="shared" si="2"/>
        <v>4.5</v>
      </c>
      <c r="U17" s="26">
        <f t="shared" si="3"/>
        <v>12</v>
      </c>
    </row>
    <row r="18" spans="1:21" x14ac:dyDescent="0.25">
      <c r="A18" s="4">
        <f>'Mid Sem'!B18</f>
        <v>590025556</v>
      </c>
      <c r="B18" s="4" t="str">
        <f>'Mid Sem'!A18</f>
        <v>Omkareshwar Chaubey</v>
      </c>
      <c r="C18" s="27" t="b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6"/>
      <c r="P18" s="1"/>
      <c r="S18" s="26">
        <f t="shared" si="1"/>
        <v>0</v>
      </c>
      <c r="T18" s="26">
        <f t="shared" si="2"/>
        <v>0</v>
      </c>
      <c r="U18" s="26">
        <f t="shared" si="3"/>
        <v>0</v>
      </c>
    </row>
    <row r="19" spans="1:21" x14ac:dyDescent="0.25">
      <c r="A19" s="4">
        <f>'Mid Sem'!B19</f>
        <v>590027830</v>
      </c>
      <c r="B19" s="4" t="str">
        <f>'Mid Sem'!A19</f>
        <v>Pavani Jain</v>
      </c>
      <c r="C19" s="27" t="b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6"/>
      <c r="P19" s="1"/>
      <c r="S19" s="26">
        <f t="shared" si="1"/>
        <v>0</v>
      </c>
      <c r="T19" s="26">
        <f t="shared" si="2"/>
        <v>0</v>
      </c>
      <c r="U19" s="26">
        <f t="shared" si="3"/>
        <v>0</v>
      </c>
    </row>
    <row r="20" spans="1:21" x14ac:dyDescent="0.25">
      <c r="A20" s="4">
        <f>'Mid Sem'!B20</f>
        <v>590028360</v>
      </c>
      <c r="B20" s="4" t="str">
        <f>'Mid Sem'!A20</f>
        <v>Prapti Uniyal</v>
      </c>
      <c r="C20" s="27" t="b">
        <v>1</v>
      </c>
      <c r="D20" s="1">
        <v>1</v>
      </c>
      <c r="E20" s="1">
        <v>1</v>
      </c>
      <c r="F20" s="1">
        <v>1</v>
      </c>
      <c r="G20" s="1">
        <v>1</v>
      </c>
      <c r="H20" s="1">
        <v>0</v>
      </c>
      <c r="I20" s="1">
        <v>1</v>
      </c>
      <c r="J20" s="1">
        <v>0</v>
      </c>
      <c r="K20" s="1">
        <v>1.5</v>
      </c>
      <c r="L20" s="1">
        <v>2.5</v>
      </c>
      <c r="M20" s="1">
        <v>1</v>
      </c>
      <c r="N20" s="1"/>
      <c r="O20" s="26">
        <f t="shared" si="0"/>
        <v>10</v>
      </c>
      <c r="P20" s="1"/>
      <c r="S20" s="26">
        <f t="shared" si="1"/>
        <v>6.5</v>
      </c>
      <c r="T20" s="26">
        <f t="shared" si="2"/>
        <v>3.5</v>
      </c>
      <c r="U20" s="26">
        <f t="shared" si="3"/>
        <v>10</v>
      </c>
    </row>
    <row r="21" spans="1:21" x14ac:dyDescent="0.25">
      <c r="A21" s="4">
        <f>'Mid Sem'!B21</f>
        <v>590029237</v>
      </c>
      <c r="B21" s="4" t="str">
        <f>'Mid Sem'!A21</f>
        <v>Priyadarshi Prabhakar</v>
      </c>
      <c r="C21" s="27" t="b">
        <v>1</v>
      </c>
      <c r="D21" s="1">
        <v>1</v>
      </c>
      <c r="E21" s="1">
        <v>0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1</v>
      </c>
      <c r="M21" s="1">
        <v>1</v>
      </c>
      <c r="N21" s="1"/>
      <c r="O21" s="26">
        <f t="shared" si="0"/>
        <v>8</v>
      </c>
      <c r="P21" s="1"/>
      <c r="S21" s="26">
        <f t="shared" si="1"/>
        <v>4</v>
      </c>
      <c r="T21" s="26">
        <f t="shared" si="2"/>
        <v>4</v>
      </c>
      <c r="U21" s="26">
        <f t="shared" si="3"/>
        <v>8</v>
      </c>
    </row>
    <row r="22" spans="1:21" x14ac:dyDescent="0.25">
      <c r="A22" s="4">
        <f>'Mid Sem'!B22</f>
        <v>590029079</v>
      </c>
      <c r="B22" s="4" t="str">
        <f>'Mid Sem'!A22</f>
        <v>Radhe Patel</v>
      </c>
      <c r="C22" s="27" t="b"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6"/>
      <c r="P22" s="1"/>
      <c r="S22" s="26">
        <f t="shared" si="1"/>
        <v>0</v>
      </c>
      <c r="T22" s="26">
        <f t="shared" si="2"/>
        <v>0</v>
      </c>
      <c r="U22" s="26">
        <f t="shared" si="3"/>
        <v>0</v>
      </c>
    </row>
    <row r="23" spans="1:21" x14ac:dyDescent="0.25">
      <c r="A23" s="4">
        <f>'Mid Sem'!B23</f>
        <v>590029145</v>
      </c>
      <c r="B23" s="4" t="str">
        <f>'Mid Sem'!A23</f>
        <v>Rishika Purushotham</v>
      </c>
      <c r="C23" s="27" t="b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2.5</v>
      </c>
      <c r="L23" s="1">
        <v>2.5</v>
      </c>
      <c r="M23" s="1">
        <v>3</v>
      </c>
      <c r="N23" s="1"/>
      <c r="O23" s="26">
        <f t="shared" si="0"/>
        <v>15</v>
      </c>
      <c r="P23" s="1"/>
      <c r="S23" s="26">
        <f t="shared" si="1"/>
        <v>9.5</v>
      </c>
      <c r="T23" s="26">
        <f t="shared" si="2"/>
        <v>5.5</v>
      </c>
      <c r="U23" s="26">
        <f t="shared" si="3"/>
        <v>15</v>
      </c>
    </row>
    <row r="24" spans="1:21" x14ac:dyDescent="0.25">
      <c r="A24" s="4">
        <f>'Mid Sem'!B24</f>
        <v>590029209</v>
      </c>
      <c r="B24" s="4" t="str">
        <f>'Mid Sem'!A24</f>
        <v>Rishiv Kumar</v>
      </c>
      <c r="C24" s="27" t="b">
        <v>1</v>
      </c>
      <c r="D24" s="1">
        <v>1</v>
      </c>
      <c r="E24" s="1">
        <v>0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3</v>
      </c>
      <c r="N24" s="1"/>
      <c r="O24" s="26">
        <f t="shared" si="0"/>
        <v>11</v>
      </c>
      <c r="P24" s="1"/>
      <c r="S24" s="26">
        <f t="shared" si="1"/>
        <v>7</v>
      </c>
      <c r="T24" s="26">
        <f t="shared" si="2"/>
        <v>4</v>
      </c>
      <c r="U24" s="26">
        <f t="shared" si="3"/>
        <v>11</v>
      </c>
    </row>
    <row r="25" spans="1:21" x14ac:dyDescent="0.25">
      <c r="A25" s="4">
        <f>'Mid Sem'!B25</f>
        <v>590027268</v>
      </c>
      <c r="B25" s="4" t="str">
        <f>'Mid Sem'!A25</f>
        <v>Sankalp Sunil Ronge</v>
      </c>
      <c r="C25" s="27" t="b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1.5</v>
      </c>
      <c r="L25" s="1">
        <v>2.5</v>
      </c>
      <c r="M25" s="1">
        <v>0</v>
      </c>
      <c r="N25" s="1"/>
      <c r="O25" s="26">
        <f t="shared" si="0"/>
        <v>11</v>
      </c>
      <c r="P25" s="1"/>
      <c r="S25" s="26">
        <f t="shared" si="1"/>
        <v>5.5</v>
      </c>
      <c r="T25" s="26">
        <f t="shared" si="2"/>
        <v>5.5</v>
      </c>
      <c r="U25" s="26">
        <f t="shared" si="3"/>
        <v>11</v>
      </c>
    </row>
    <row r="26" spans="1:21" x14ac:dyDescent="0.25">
      <c r="A26" s="4">
        <f>'Mid Sem'!B26</f>
        <v>590029227</v>
      </c>
      <c r="B26" s="4" t="str">
        <f>'Mid Sem'!A26</f>
        <v>Sartaj Singh</v>
      </c>
      <c r="C26" s="27" t="b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2.5</v>
      </c>
      <c r="L26" s="1">
        <v>2.5</v>
      </c>
      <c r="M26" s="1">
        <v>3</v>
      </c>
      <c r="N26" s="1"/>
      <c r="O26" s="26">
        <f t="shared" si="0"/>
        <v>15</v>
      </c>
      <c r="P26" s="1"/>
      <c r="S26" s="26">
        <f t="shared" si="1"/>
        <v>9.5</v>
      </c>
      <c r="T26" s="26">
        <f t="shared" si="2"/>
        <v>5.5</v>
      </c>
      <c r="U26" s="26">
        <f t="shared" si="3"/>
        <v>15</v>
      </c>
    </row>
    <row r="27" spans="1:21" x14ac:dyDescent="0.25">
      <c r="A27" s="4">
        <f>'Mid Sem'!B27</f>
        <v>590029241</v>
      </c>
      <c r="B27" s="4" t="str">
        <f>'Mid Sem'!A27</f>
        <v>Satakshi Gupta</v>
      </c>
      <c r="C27" s="27" t="b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2</v>
      </c>
      <c r="L27" s="1">
        <v>2.5</v>
      </c>
      <c r="M27" s="1">
        <v>3</v>
      </c>
      <c r="N27" s="1"/>
      <c r="O27" s="26">
        <f t="shared" si="0"/>
        <v>14.5</v>
      </c>
      <c r="P27" s="1"/>
      <c r="S27" s="26">
        <f t="shared" si="1"/>
        <v>9</v>
      </c>
      <c r="T27" s="26">
        <f t="shared" si="2"/>
        <v>5.5</v>
      </c>
      <c r="U27" s="26">
        <f t="shared" si="3"/>
        <v>14.5</v>
      </c>
    </row>
    <row r="28" spans="1:21" x14ac:dyDescent="0.25">
      <c r="A28" s="4">
        <f>'Mid Sem'!B28</f>
        <v>590023855</v>
      </c>
      <c r="B28" s="4" t="str">
        <f>'Mid Sem'!A28</f>
        <v>Shaswat Shantanu</v>
      </c>
      <c r="C28" s="27" t="b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2.5</v>
      </c>
      <c r="M28" s="1">
        <v>1.5</v>
      </c>
      <c r="N28" s="1"/>
      <c r="O28" s="26">
        <f t="shared" si="0"/>
        <v>12</v>
      </c>
      <c r="P28" s="1"/>
      <c r="S28" s="26">
        <f t="shared" si="1"/>
        <v>6.5</v>
      </c>
      <c r="T28" s="26">
        <f t="shared" si="2"/>
        <v>5.5</v>
      </c>
      <c r="U28" s="26">
        <f t="shared" si="3"/>
        <v>12</v>
      </c>
    </row>
    <row r="29" spans="1:21" x14ac:dyDescent="0.25">
      <c r="A29" s="4">
        <f>'Mid Sem'!B29</f>
        <v>590029215</v>
      </c>
      <c r="B29" s="4" t="str">
        <f>'Mid Sem'!A29</f>
        <v>Siddhant Rai</v>
      </c>
      <c r="C29" s="27" t="b"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6"/>
      <c r="P29" s="1"/>
      <c r="S29" s="26">
        <f t="shared" si="1"/>
        <v>0</v>
      </c>
      <c r="T29" s="26">
        <f t="shared" si="2"/>
        <v>0</v>
      </c>
      <c r="U29" s="26">
        <f t="shared" si="3"/>
        <v>0</v>
      </c>
    </row>
    <row r="30" spans="1:21" x14ac:dyDescent="0.25">
      <c r="A30" s="4">
        <f>'Mid Sem'!B30</f>
        <v>590029111</v>
      </c>
      <c r="B30" s="4" t="str">
        <f>'Mid Sem'!A30</f>
        <v>Sidhaant Singh Jyrwa</v>
      </c>
      <c r="C30" s="27" t="b">
        <v>1</v>
      </c>
      <c r="D30" s="1">
        <v>0</v>
      </c>
      <c r="E30" s="1">
        <v>1</v>
      </c>
      <c r="F30" s="1">
        <v>0</v>
      </c>
      <c r="G30" s="1">
        <v>1</v>
      </c>
      <c r="H30" s="1">
        <v>1</v>
      </c>
      <c r="I30" s="1">
        <v>1</v>
      </c>
      <c r="J30" s="1">
        <v>1</v>
      </c>
      <c r="K30" s="1">
        <v>0</v>
      </c>
      <c r="L30" s="1">
        <v>2.5</v>
      </c>
      <c r="M30" s="1">
        <v>1</v>
      </c>
      <c r="N30" s="1"/>
      <c r="O30" s="26">
        <f t="shared" si="0"/>
        <v>8.5</v>
      </c>
      <c r="P30" s="1"/>
      <c r="S30" s="26">
        <f t="shared" si="1"/>
        <v>3</v>
      </c>
      <c r="T30" s="26">
        <f t="shared" si="2"/>
        <v>5.5</v>
      </c>
      <c r="U30" s="26">
        <f t="shared" si="3"/>
        <v>8.5</v>
      </c>
    </row>
    <row r="31" spans="1:21" x14ac:dyDescent="0.25">
      <c r="A31" s="4">
        <f>'Mid Sem'!B31</f>
        <v>590028683</v>
      </c>
      <c r="B31" s="4" t="str">
        <f>'Mid Sem'!A31</f>
        <v>Subrat Singh Jadaun</v>
      </c>
      <c r="C31" s="27" t="b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2.5</v>
      </c>
      <c r="L31" s="1">
        <v>2.5</v>
      </c>
      <c r="M31" s="1">
        <v>0</v>
      </c>
      <c r="N31" s="1"/>
      <c r="O31" s="26">
        <f t="shared" si="0"/>
        <v>12</v>
      </c>
      <c r="P31" s="1"/>
      <c r="S31" s="26">
        <f t="shared" si="1"/>
        <v>6.5</v>
      </c>
      <c r="T31" s="26">
        <f t="shared" si="2"/>
        <v>5.5</v>
      </c>
      <c r="U31" s="26">
        <f t="shared" si="3"/>
        <v>12</v>
      </c>
    </row>
    <row r="32" spans="1:21" x14ac:dyDescent="0.25">
      <c r="A32" s="4">
        <f>'Mid Sem'!B32</f>
        <v>590029121</v>
      </c>
      <c r="B32" s="4" t="str">
        <f>'Mid Sem'!A32</f>
        <v>Tushita Sharma</v>
      </c>
      <c r="C32" s="27" t="b">
        <v>1</v>
      </c>
      <c r="D32" s="1">
        <v>0</v>
      </c>
      <c r="E32" s="1">
        <v>1</v>
      </c>
      <c r="F32" s="1">
        <v>0</v>
      </c>
      <c r="G32" s="1">
        <v>1</v>
      </c>
      <c r="H32" s="1">
        <v>1</v>
      </c>
      <c r="I32" s="1">
        <v>1</v>
      </c>
      <c r="J32" s="1">
        <v>1</v>
      </c>
      <c r="K32" s="1">
        <v>0</v>
      </c>
      <c r="L32" s="1">
        <v>2.5</v>
      </c>
      <c r="M32" s="1">
        <v>1</v>
      </c>
      <c r="N32" s="1"/>
      <c r="O32" s="26">
        <f t="shared" si="0"/>
        <v>8.5</v>
      </c>
      <c r="P32" s="1"/>
      <c r="S32" s="26">
        <f t="shared" si="1"/>
        <v>3</v>
      </c>
      <c r="T32" s="26">
        <f t="shared" si="2"/>
        <v>5.5</v>
      </c>
      <c r="U32" s="26">
        <f t="shared" si="3"/>
        <v>8.5</v>
      </c>
    </row>
    <row r="33" spans="1:21" x14ac:dyDescent="0.25">
      <c r="A33" s="4">
        <f>'Mid Sem'!B33</f>
        <v>590029048</v>
      </c>
      <c r="B33" s="4" t="str">
        <f>'Mid Sem'!A33</f>
        <v>Vaishnavi Kumari</v>
      </c>
      <c r="C33" s="27" t="b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0</v>
      </c>
      <c r="J33" s="1">
        <v>1</v>
      </c>
      <c r="K33" s="1">
        <v>1</v>
      </c>
      <c r="L33" s="1">
        <v>1</v>
      </c>
      <c r="M33" s="1">
        <v>3</v>
      </c>
      <c r="N33" s="1"/>
      <c r="O33" s="26">
        <f t="shared" si="0"/>
        <v>11</v>
      </c>
      <c r="P33" s="1"/>
      <c r="S33" s="26">
        <f t="shared" si="1"/>
        <v>8</v>
      </c>
      <c r="T33" s="26">
        <f t="shared" si="2"/>
        <v>3</v>
      </c>
      <c r="U33" s="26">
        <f t="shared" si="3"/>
        <v>11</v>
      </c>
    </row>
    <row r="34" spans="1:21" x14ac:dyDescent="0.25">
      <c r="A34" s="4">
        <f>'Mid Sem'!B34</f>
        <v>590029184</v>
      </c>
      <c r="B34" s="4" t="str">
        <f>'Mid Sem'!A34</f>
        <v>Vivek Chauhan</v>
      </c>
      <c r="C34" s="27" t="b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2.5</v>
      </c>
      <c r="L34" s="1">
        <v>2.5</v>
      </c>
      <c r="M34" s="1">
        <v>3</v>
      </c>
      <c r="N34" s="1"/>
      <c r="O34" s="26">
        <f t="shared" si="0"/>
        <v>15</v>
      </c>
      <c r="P34" s="1"/>
      <c r="S34" s="26">
        <f t="shared" si="1"/>
        <v>9.5</v>
      </c>
      <c r="T34" s="26">
        <f t="shared" si="2"/>
        <v>5.5</v>
      </c>
      <c r="U34" s="26">
        <f t="shared" si="3"/>
        <v>15</v>
      </c>
    </row>
    <row r="35" spans="1:21" x14ac:dyDescent="0.25">
      <c r="A35" s="4">
        <f>'Mid Sem'!B35</f>
        <v>590029330</v>
      </c>
      <c r="B35" s="4" t="str">
        <f>'Mid Sem'!A35</f>
        <v>Aadarshi Bisht</v>
      </c>
      <c r="C35" s="27" t="b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2.5</v>
      </c>
      <c r="L35" s="1">
        <v>2.5</v>
      </c>
      <c r="M35" s="1">
        <v>0</v>
      </c>
      <c r="N35" s="1"/>
      <c r="O35" s="26">
        <f t="shared" si="0"/>
        <v>12</v>
      </c>
      <c r="P35" s="1"/>
      <c r="S35" s="26">
        <f t="shared" si="1"/>
        <v>6.5</v>
      </c>
      <c r="T35" s="26">
        <f t="shared" si="2"/>
        <v>5.5</v>
      </c>
      <c r="U35" s="26">
        <f t="shared" si="3"/>
        <v>12</v>
      </c>
    </row>
    <row r="36" spans="1:21" x14ac:dyDescent="0.25">
      <c r="A36" s="4">
        <f>'Mid Sem'!B36</f>
        <v>590027630</v>
      </c>
      <c r="B36" s="4" t="str">
        <f>'Mid Sem'!A36</f>
        <v>Aarush Prasad</v>
      </c>
      <c r="C36" s="27" t="b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2.5</v>
      </c>
      <c r="L36" s="1">
        <v>2.5</v>
      </c>
      <c r="M36" s="1">
        <v>3</v>
      </c>
      <c r="N36" s="1"/>
      <c r="O36" s="26">
        <f t="shared" si="0"/>
        <v>15</v>
      </c>
      <c r="P36" s="1"/>
      <c r="S36" s="26">
        <f t="shared" si="1"/>
        <v>9.5</v>
      </c>
      <c r="T36" s="26">
        <f t="shared" si="2"/>
        <v>5.5</v>
      </c>
      <c r="U36" s="26">
        <f t="shared" si="3"/>
        <v>15</v>
      </c>
    </row>
    <row r="37" spans="1:21" x14ac:dyDescent="0.25">
      <c r="A37" s="4">
        <f>'Mid Sem'!B37</f>
        <v>590029219</v>
      </c>
      <c r="B37" s="4" t="str">
        <f>'Mid Sem'!A37</f>
        <v>Aditya Mishra</v>
      </c>
      <c r="C37" s="27" t="b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1</v>
      </c>
      <c r="M37" s="1">
        <v>0</v>
      </c>
      <c r="N37" s="1"/>
      <c r="O37" s="26">
        <f t="shared" si="0"/>
        <v>8</v>
      </c>
      <c r="P37" s="1"/>
      <c r="S37" s="26">
        <f t="shared" si="1"/>
        <v>4</v>
      </c>
      <c r="T37" s="26">
        <f t="shared" si="2"/>
        <v>4</v>
      </c>
      <c r="U37" s="26">
        <f t="shared" si="3"/>
        <v>8</v>
      </c>
    </row>
    <row r="38" spans="1:21" x14ac:dyDescent="0.25">
      <c r="A38" s="4">
        <f>'Mid Sem'!B38</f>
        <v>590028933</v>
      </c>
      <c r="B38" s="4" t="str">
        <f>'Mid Sem'!A38</f>
        <v>Aman Barnwal</v>
      </c>
      <c r="C38" s="27" t="b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2.5</v>
      </c>
      <c r="L38" s="1">
        <v>2.5</v>
      </c>
      <c r="M38" s="1">
        <v>3</v>
      </c>
      <c r="N38" s="1"/>
      <c r="O38" s="26">
        <f t="shared" si="0"/>
        <v>15</v>
      </c>
      <c r="P38" s="1"/>
      <c r="S38" s="26">
        <f t="shared" si="1"/>
        <v>9.5</v>
      </c>
      <c r="T38" s="26">
        <f t="shared" si="2"/>
        <v>5.5</v>
      </c>
      <c r="U38" s="26">
        <f t="shared" si="3"/>
        <v>15</v>
      </c>
    </row>
    <row r="39" spans="1:21" x14ac:dyDescent="0.25">
      <c r="A39" s="4">
        <f>'Mid Sem'!B39</f>
        <v>590027859</v>
      </c>
      <c r="B39" s="4" t="str">
        <f>'Mid Sem'!A39</f>
        <v>Ashutosh Shrivastava</v>
      </c>
      <c r="C39" s="27" t="b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0</v>
      </c>
      <c r="M39" s="1">
        <v>0</v>
      </c>
      <c r="N39" s="1"/>
      <c r="O39" s="26">
        <f t="shared" si="0"/>
        <v>8</v>
      </c>
      <c r="P39" s="1"/>
      <c r="S39" s="26">
        <f t="shared" si="1"/>
        <v>5</v>
      </c>
      <c r="T39" s="26">
        <f t="shared" si="2"/>
        <v>3</v>
      </c>
      <c r="U39" s="26">
        <f t="shared" si="3"/>
        <v>8</v>
      </c>
    </row>
    <row r="40" spans="1:21" x14ac:dyDescent="0.25">
      <c r="A40" s="4">
        <f>'Mid Sem'!B40</f>
        <v>590028682</v>
      </c>
      <c r="B40" s="4" t="str">
        <f>'Mid Sem'!A40</f>
        <v>Ayan Pande</v>
      </c>
      <c r="C40" s="27" t="b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2.5</v>
      </c>
      <c r="M40" s="1">
        <v>3</v>
      </c>
      <c r="N40" s="1"/>
      <c r="O40" s="26">
        <f t="shared" si="0"/>
        <v>12.5</v>
      </c>
      <c r="P40" s="1"/>
      <c r="S40" s="26">
        <f t="shared" si="1"/>
        <v>7</v>
      </c>
      <c r="T40" s="26">
        <f t="shared" si="2"/>
        <v>5.5</v>
      </c>
      <c r="U40" s="26">
        <f t="shared" si="3"/>
        <v>12.5</v>
      </c>
    </row>
    <row r="41" spans="1:21" x14ac:dyDescent="0.25">
      <c r="A41" s="4">
        <f>'Mid Sem'!B41</f>
        <v>590023917</v>
      </c>
      <c r="B41" s="4" t="str">
        <f>'Mid Sem'!A41</f>
        <v>Ayush Pratap Singh</v>
      </c>
      <c r="C41" s="27" t="b"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6"/>
      <c r="P41" s="1"/>
      <c r="S41" s="26">
        <f t="shared" si="1"/>
        <v>0</v>
      </c>
      <c r="T41" s="26">
        <f t="shared" si="2"/>
        <v>0</v>
      </c>
      <c r="U41" s="26">
        <f t="shared" si="3"/>
        <v>0</v>
      </c>
    </row>
    <row r="42" spans="1:21" x14ac:dyDescent="0.25">
      <c r="A42" s="4">
        <f>'Mid Sem'!B42</f>
        <v>590023785</v>
      </c>
      <c r="B42" s="4" t="str">
        <f>'Mid Sem'!A42</f>
        <v>Gayatri Bhatt</v>
      </c>
      <c r="C42" s="27" t="b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0</v>
      </c>
      <c r="J42" s="1">
        <v>1</v>
      </c>
      <c r="K42" s="1">
        <v>1</v>
      </c>
      <c r="L42" s="1">
        <v>1</v>
      </c>
      <c r="M42" s="1">
        <v>2</v>
      </c>
      <c r="N42" s="1"/>
      <c r="O42" s="26">
        <f t="shared" si="0"/>
        <v>10</v>
      </c>
      <c r="P42" s="1"/>
      <c r="S42" s="26">
        <f t="shared" si="1"/>
        <v>7</v>
      </c>
      <c r="T42" s="26">
        <f t="shared" si="2"/>
        <v>3</v>
      </c>
      <c r="U42" s="26">
        <f t="shared" si="3"/>
        <v>10</v>
      </c>
    </row>
    <row r="43" spans="1:21" x14ac:dyDescent="0.25">
      <c r="A43" s="4">
        <f>'Mid Sem'!B43</f>
        <v>590029264</v>
      </c>
      <c r="B43" s="4" t="str">
        <f>'Mid Sem'!A43</f>
        <v>Harsh Mudgal</v>
      </c>
      <c r="C43" s="27" t="b"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6"/>
      <c r="P43" s="1"/>
      <c r="S43" s="26">
        <f t="shared" si="1"/>
        <v>0</v>
      </c>
      <c r="T43" s="26">
        <f t="shared" si="2"/>
        <v>0</v>
      </c>
      <c r="U43" s="26">
        <f t="shared" si="3"/>
        <v>0</v>
      </c>
    </row>
    <row r="44" spans="1:21" x14ac:dyDescent="0.25">
      <c r="A44" s="4">
        <f>'Mid Sem'!B44</f>
        <v>590029042</v>
      </c>
      <c r="B44" s="4" t="str">
        <f>'Mid Sem'!A44</f>
        <v>Kanan Nidhania</v>
      </c>
      <c r="C44" s="27" t="b"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6"/>
      <c r="P44" s="1"/>
      <c r="S44" s="26">
        <f t="shared" si="1"/>
        <v>0</v>
      </c>
      <c r="T44" s="26">
        <f t="shared" si="2"/>
        <v>0</v>
      </c>
      <c r="U44" s="26">
        <f t="shared" si="3"/>
        <v>0</v>
      </c>
    </row>
    <row r="45" spans="1:21" x14ac:dyDescent="0.25">
      <c r="A45" s="4">
        <f>'Mid Sem'!B45</f>
        <v>590029336</v>
      </c>
      <c r="B45" s="4" t="str">
        <f>'Mid Sem'!A45</f>
        <v>Kanishka Diwakar</v>
      </c>
      <c r="C45" s="27" t="b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2.5</v>
      </c>
      <c r="L45" s="1">
        <v>2</v>
      </c>
      <c r="M45" s="1">
        <v>2.5</v>
      </c>
      <c r="N45" s="1"/>
      <c r="O45" s="26">
        <f t="shared" si="0"/>
        <v>14</v>
      </c>
      <c r="P45" s="1"/>
      <c r="S45" s="26">
        <f t="shared" si="1"/>
        <v>9</v>
      </c>
      <c r="T45" s="26">
        <f t="shared" si="2"/>
        <v>5</v>
      </c>
      <c r="U45" s="26">
        <f t="shared" si="3"/>
        <v>14</v>
      </c>
    </row>
    <row r="46" spans="1:21" x14ac:dyDescent="0.25">
      <c r="A46" s="4">
        <f>'Mid Sem'!B46</f>
        <v>590029233</v>
      </c>
      <c r="B46" s="4" t="str">
        <f>'Mid Sem'!A46</f>
        <v>Keshav Chahda</v>
      </c>
      <c r="C46" s="27" t="b">
        <v>1</v>
      </c>
      <c r="D46" s="1">
        <v>0</v>
      </c>
      <c r="E46" s="1">
        <v>1</v>
      </c>
      <c r="F46" s="1">
        <v>1</v>
      </c>
      <c r="G46" s="1">
        <v>1</v>
      </c>
      <c r="H46" s="1">
        <v>0</v>
      </c>
      <c r="I46" s="1">
        <v>1</v>
      </c>
      <c r="J46" s="1">
        <v>0</v>
      </c>
      <c r="K46" s="1">
        <v>1</v>
      </c>
      <c r="L46" s="1">
        <v>2.5</v>
      </c>
      <c r="M46" s="1">
        <v>0</v>
      </c>
      <c r="N46" s="1"/>
      <c r="O46" s="26">
        <f t="shared" si="0"/>
        <v>7.5</v>
      </c>
      <c r="P46" s="1"/>
      <c r="S46" s="26">
        <f t="shared" si="1"/>
        <v>4</v>
      </c>
      <c r="T46" s="26">
        <f t="shared" si="2"/>
        <v>3.5</v>
      </c>
      <c r="U46" s="26">
        <f t="shared" si="3"/>
        <v>7.5</v>
      </c>
    </row>
    <row r="47" spans="1:21" x14ac:dyDescent="0.25">
      <c r="A47" s="4">
        <f>'Mid Sem'!B47</f>
        <v>590029328</v>
      </c>
      <c r="B47" s="4" t="str">
        <f>'Mid Sem'!A47</f>
        <v>Lakshay Dhanda</v>
      </c>
      <c r="C47" s="27" t="b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2.5</v>
      </c>
      <c r="L47" s="1">
        <v>2</v>
      </c>
      <c r="M47" s="1">
        <v>2.5</v>
      </c>
      <c r="N47" s="1"/>
      <c r="O47" s="26">
        <f t="shared" si="0"/>
        <v>14</v>
      </c>
      <c r="P47" s="1"/>
      <c r="S47" s="26">
        <f t="shared" si="1"/>
        <v>9</v>
      </c>
      <c r="T47" s="26">
        <f t="shared" si="2"/>
        <v>5</v>
      </c>
      <c r="U47" s="26">
        <f t="shared" si="3"/>
        <v>14</v>
      </c>
    </row>
    <row r="48" spans="1:21" x14ac:dyDescent="0.25">
      <c r="A48" s="4">
        <f>'Mid Sem'!B48</f>
        <v>590028608</v>
      </c>
      <c r="B48" s="4" t="str">
        <f>'Mid Sem'!A48</f>
        <v>Lakshya Singh</v>
      </c>
      <c r="C48" s="27" t="b">
        <v>1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1</v>
      </c>
      <c r="J48" s="1">
        <v>0</v>
      </c>
      <c r="K48" s="1">
        <v>0</v>
      </c>
      <c r="L48" s="1">
        <v>2.5</v>
      </c>
      <c r="M48" s="1">
        <v>0</v>
      </c>
      <c r="N48" s="1"/>
      <c r="O48" s="26">
        <f t="shared" si="0"/>
        <v>6.5</v>
      </c>
      <c r="P48" s="1"/>
      <c r="S48" s="26">
        <f t="shared" si="1"/>
        <v>3</v>
      </c>
      <c r="T48" s="26">
        <f t="shared" si="2"/>
        <v>3.5</v>
      </c>
      <c r="U48" s="26">
        <f t="shared" si="3"/>
        <v>6.5</v>
      </c>
    </row>
    <row r="49" spans="1:21" x14ac:dyDescent="0.25">
      <c r="A49" s="4">
        <f>'Mid Sem'!B49</f>
        <v>590028605</v>
      </c>
      <c r="B49" s="4" t="str">
        <f>'Mid Sem'!A49</f>
        <v>Mayank Chand Ramola</v>
      </c>
      <c r="C49" s="27" t="b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0</v>
      </c>
      <c r="L49" s="1">
        <v>1</v>
      </c>
      <c r="M49" s="1">
        <v>0</v>
      </c>
      <c r="N49" s="1"/>
      <c r="O49" s="26">
        <f t="shared" si="0"/>
        <v>8</v>
      </c>
      <c r="P49" s="1"/>
      <c r="S49" s="26">
        <f t="shared" si="1"/>
        <v>4</v>
      </c>
      <c r="T49" s="26">
        <f t="shared" si="2"/>
        <v>4</v>
      </c>
      <c r="U49" s="26">
        <f t="shared" si="3"/>
        <v>8</v>
      </c>
    </row>
    <row r="50" spans="1:21" x14ac:dyDescent="0.25">
      <c r="A50" s="4">
        <f>'Mid Sem'!B50</f>
        <v>590026626</v>
      </c>
      <c r="B50" s="4" t="str">
        <f>'Mid Sem'!A50</f>
        <v>Mukesh Patel</v>
      </c>
      <c r="C50" s="27" t="b"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6"/>
      <c r="P50" s="1"/>
      <c r="S50" s="26">
        <f t="shared" si="1"/>
        <v>0</v>
      </c>
      <c r="T50" s="26">
        <f t="shared" si="2"/>
        <v>0</v>
      </c>
      <c r="U50" s="26">
        <f t="shared" si="3"/>
        <v>0</v>
      </c>
    </row>
    <row r="51" spans="1:21" x14ac:dyDescent="0.25">
      <c r="A51" s="4">
        <f>'Mid Sem'!B51</f>
        <v>590029310</v>
      </c>
      <c r="B51" s="4" t="str">
        <f>'Mid Sem'!A51</f>
        <v>Nipun Singh</v>
      </c>
      <c r="C51" s="27" t="b">
        <v>1</v>
      </c>
      <c r="D51" s="1">
        <v>1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1</v>
      </c>
      <c r="L51" s="1">
        <v>1</v>
      </c>
      <c r="M51" s="1">
        <v>1</v>
      </c>
      <c r="N51" s="1"/>
      <c r="O51" s="26">
        <f t="shared" si="0"/>
        <v>5</v>
      </c>
      <c r="P51" s="1"/>
      <c r="S51" s="26">
        <f t="shared" si="1"/>
        <v>3</v>
      </c>
      <c r="T51" s="26">
        <f t="shared" si="2"/>
        <v>2</v>
      </c>
      <c r="U51" s="26">
        <f t="shared" si="3"/>
        <v>5</v>
      </c>
    </row>
    <row r="52" spans="1:21" x14ac:dyDescent="0.25">
      <c r="A52" s="4">
        <f>'Mid Sem'!B52</f>
        <v>590029319</v>
      </c>
      <c r="B52" s="4" t="str">
        <f>'Mid Sem'!A52</f>
        <v>Paras Bhall</v>
      </c>
      <c r="C52" s="27" t="b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2.5</v>
      </c>
      <c r="L52" s="1">
        <v>2.5</v>
      </c>
      <c r="M52" s="1">
        <v>3</v>
      </c>
      <c r="N52" s="1"/>
      <c r="O52" s="26">
        <f t="shared" si="0"/>
        <v>15</v>
      </c>
      <c r="P52" s="1"/>
      <c r="S52" s="26">
        <f t="shared" si="1"/>
        <v>9.5</v>
      </c>
      <c r="T52" s="26">
        <f t="shared" si="2"/>
        <v>5.5</v>
      </c>
      <c r="U52" s="26">
        <f t="shared" si="3"/>
        <v>15</v>
      </c>
    </row>
    <row r="53" spans="1:21" x14ac:dyDescent="0.25">
      <c r="A53" s="4">
        <f>'Mid Sem'!B53</f>
        <v>590029339</v>
      </c>
      <c r="B53" s="4" t="str">
        <f>'Mid Sem'!A53</f>
        <v>Raghav Kumar Goyal</v>
      </c>
      <c r="C53" s="27" t="b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/>
      <c r="O53" s="26">
        <f t="shared" si="0"/>
        <v>7</v>
      </c>
      <c r="P53" s="1"/>
      <c r="S53" s="26">
        <f t="shared" si="1"/>
        <v>4</v>
      </c>
      <c r="T53" s="26">
        <f t="shared" si="2"/>
        <v>3</v>
      </c>
      <c r="U53" s="26">
        <f t="shared" si="3"/>
        <v>7</v>
      </c>
    </row>
    <row r="54" spans="1:21" x14ac:dyDescent="0.25">
      <c r="A54" s="4">
        <f>'Mid Sem'!B54</f>
        <v>590029148</v>
      </c>
      <c r="B54" s="4" t="str">
        <f>'Mid Sem'!A54</f>
        <v>Rahul</v>
      </c>
      <c r="C54" s="27" t="b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2.5</v>
      </c>
      <c r="L54" s="1">
        <v>0</v>
      </c>
      <c r="M54" s="1">
        <v>3</v>
      </c>
      <c r="N54" s="1"/>
      <c r="O54" s="26">
        <f t="shared" si="0"/>
        <v>12.5</v>
      </c>
      <c r="P54" s="1"/>
      <c r="S54" s="26">
        <f t="shared" si="1"/>
        <v>9.5</v>
      </c>
      <c r="T54" s="26">
        <f t="shared" si="2"/>
        <v>3</v>
      </c>
      <c r="U54" s="26">
        <f t="shared" si="3"/>
        <v>12.5</v>
      </c>
    </row>
    <row r="55" spans="1:21" x14ac:dyDescent="0.25">
      <c r="A55" s="4">
        <f>'Mid Sem'!B55</f>
        <v>590029309</v>
      </c>
      <c r="B55" s="4" t="str">
        <f>'Mid Sem'!A55</f>
        <v>Rahul Singh</v>
      </c>
      <c r="C55" s="27" t="b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2.5</v>
      </c>
      <c r="L55" s="1">
        <v>2.5</v>
      </c>
      <c r="M55" s="1">
        <v>2</v>
      </c>
      <c r="N55" s="1"/>
      <c r="O55" s="26">
        <f t="shared" si="0"/>
        <v>14</v>
      </c>
      <c r="P55" s="1"/>
      <c r="S55" s="26">
        <f t="shared" si="1"/>
        <v>8.5</v>
      </c>
      <c r="T55" s="26">
        <f t="shared" si="2"/>
        <v>5.5</v>
      </c>
      <c r="U55" s="26">
        <f t="shared" si="3"/>
        <v>14</v>
      </c>
    </row>
    <row r="56" spans="1:21" x14ac:dyDescent="0.25">
      <c r="A56" s="4">
        <f>'Mid Sem'!B56</f>
        <v>590028838</v>
      </c>
      <c r="B56" s="4" t="str">
        <f>'Mid Sem'!A56</f>
        <v>Satyam Singh</v>
      </c>
      <c r="C56" s="27" t="b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2.5</v>
      </c>
      <c r="L56" s="1">
        <v>2.5</v>
      </c>
      <c r="M56" s="1">
        <v>3</v>
      </c>
      <c r="N56" s="1"/>
      <c r="O56" s="26">
        <f t="shared" si="0"/>
        <v>15</v>
      </c>
      <c r="P56" s="1"/>
      <c r="S56" s="26">
        <f t="shared" si="1"/>
        <v>9.5</v>
      </c>
      <c r="T56" s="26">
        <f t="shared" si="2"/>
        <v>5.5</v>
      </c>
      <c r="U56" s="26">
        <f t="shared" si="3"/>
        <v>15</v>
      </c>
    </row>
    <row r="57" spans="1:21" x14ac:dyDescent="0.25">
      <c r="A57" s="4">
        <f>'Mid Sem'!B57</f>
        <v>590029107</v>
      </c>
      <c r="B57" s="4" t="str">
        <f>'Mid Sem'!A57</f>
        <v>Shashwat Agrawal</v>
      </c>
      <c r="C57" s="27" t="b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2.5</v>
      </c>
      <c r="L57" s="1">
        <v>2.5</v>
      </c>
      <c r="M57" s="1">
        <v>3</v>
      </c>
      <c r="N57" s="1"/>
      <c r="O57" s="26">
        <f t="shared" si="0"/>
        <v>15</v>
      </c>
      <c r="P57" s="1"/>
      <c r="S57" s="26">
        <f t="shared" si="1"/>
        <v>9.5</v>
      </c>
      <c r="T57" s="26">
        <f t="shared" si="2"/>
        <v>5.5</v>
      </c>
      <c r="U57" s="26">
        <f t="shared" si="3"/>
        <v>15</v>
      </c>
    </row>
    <row r="58" spans="1:21" x14ac:dyDescent="0.25">
      <c r="A58" s="4">
        <f>'Mid Sem'!B58</f>
        <v>590029266</v>
      </c>
      <c r="B58" s="4" t="str">
        <f>'Mid Sem'!A58</f>
        <v>Siddhant Gurung</v>
      </c>
      <c r="C58" s="27" t="b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1.5</v>
      </c>
      <c r="L58" s="1">
        <v>1</v>
      </c>
      <c r="M58" s="1">
        <v>2.5</v>
      </c>
      <c r="N58" s="1"/>
      <c r="O58" s="26">
        <f t="shared" si="0"/>
        <v>12</v>
      </c>
      <c r="P58" s="1"/>
      <c r="S58" s="26">
        <f t="shared" si="1"/>
        <v>8</v>
      </c>
      <c r="T58" s="26">
        <f t="shared" si="2"/>
        <v>4</v>
      </c>
      <c r="U58" s="26">
        <f t="shared" si="3"/>
        <v>12</v>
      </c>
    </row>
    <row r="59" spans="1:21" x14ac:dyDescent="0.25">
      <c r="A59" s="4">
        <f>'Mid Sem'!B59</f>
        <v>590029354</v>
      </c>
      <c r="B59" s="4" t="str">
        <f>'Mid Sem'!A59</f>
        <v>Simarjot Kaur Gill</v>
      </c>
      <c r="C59" s="27" t="b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2.5</v>
      </c>
      <c r="L59" s="1">
        <v>2.5</v>
      </c>
      <c r="M59" s="1">
        <v>1</v>
      </c>
      <c r="N59" s="1"/>
      <c r="O59" s="26">
        <f t="shared" si="0"/>
        <v>13</v>
      </c>
      <c r="P59" s="1"/>
      <c r="S59" s="26">
        <f t="shared" si="1"/>
        <v>7.5</v>
      </c>
      <c r="T59" s="26">
        <f t="shared" si="2"/>
        <v>5.5</v>
      </c>
      <c r="U59" s="26">
        <f t="shared" si="3"/>
        <v>13</v>
      </c>
    </row>
    <row r="60" spans="1:21" x14ac:dyDescent="0.25">
      <c r="A60" s="4">
        <f>'Mid Sem'!B60</f>
        <v>590029349</v>
      </c>
      <c r="B60" s="4" t="str">
        <f>'Mid Sem'!A60</f>
        <v>Tanishq Bansal</v>
      </c>
      <c r="C60" s="27" t="b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2.5</v>
      </c>
      <c r="L60" s="1">
        <v>2.5</v>
      </c>
      <c r="M60" s="1">
        <v>3</v>
      </c>
      <c r="N60" s="1"/>
      <c r="O60" s="26">
        <f t="shared" si="0"/>
        <v>15</v>
      </c>
      <c r="P60" s="1"/>
      <c r="S60" s="26">
        <f t="shared" si="1"/>
        <v>9.5</v>
      </c>
      <c r="T60" s="26">
        <f t="shared" si="2"/>
        <v>5.5</v>
      </c>
      <c r="U60" s="26">
        <f t="shared" si="3"/>
        <v>15</v>
      </c>
    </row>
    <row r="61" spans="1:21" x14ac:dyDescent="0.25">
      <c r="A61" s="4">
        <f>'Mid Sem'!B61</f>
        <v>590029302</v>
      </c>
      <c r="B61" s="4" t="str">
        <f>'Mid Sem'!A61</f>
        <v>Tanmay Amit Verma</v>
      </c>
      <c r="C61" s="27" t="b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2</v>
      </c>
      <c r="L61" s="1">
        <v>1</v>
      </c>
      <c r="M61" s="1">
        <v>2</v>
      </c>
      <c r="N61" s="1"/>
      <c r="O61" s="26">
        <f t="shared" si="0"/>
        <v>12</v>
      </c>
      <c r="P61" s="1"/>
      <c r="S61" s="26">
        <f t="shared" si="1"/>
        <v>8</v>
      </c>
      <c r="T61" s="26">
        <f t="shared" si="2"/>
        <v>4</v>
      </c>
      <c r="U61" s="26">
        <f t="shared" si="3"/>
        <v>12</v>
      </c>
    </row>
    <row r="62" spans="1:21" x14ac:dyDescent="0.25">
      <c r="A62" s="4">
        <f>'Mid Sem'!B62</f>
        <v>590029262</v>
      </c>
      <c r="B62" s="4" t="str">
        <f>'Mid Sem'!A62</f>
        <v>Vandana Yadav</v>
      </c>
      <c r="C62" s="27" t="b">
        <v>1</v>
      </c>
      <c r="D62" s="1">
        <v>0</v>
      </c>
      <c r="E62" s="1">
        <v>1</v>
      </c>
      <c r="F62" s="1">
        <v>1</v>
      </c>
      <c r="G62" s="1">
        <v>0</v>
      </c>
      <c r="H62" s="1">
        <v>1</v>
      </c>
      <c r="I62" s="1">
        <v>1</v>
      </c>
      <c r="J62" s="1">
        <v>1</v>
      </c>
      <c r="K62" s="1">
        <v>2.5</v>
      </c>
      <c r="L62" s="1">
        <v>2</v>
      </c>
      <c r="M62" s="1">
        <v>2.5</v>
      </c>
      <c r="N62" s="1"/>
      <c r="O62" s="26">
        <f t="shared" si="0"/>
        <v>12</v>
      </c>
      <c r="P62" s="1"/>
      <c r="S62" s="26">
        <f t="shared" si="1"/>
        <v>7</v>
      </c>
      <c r="T62" s="26">
        <f t="shared" si="2"/>
        <v>5</v>
      </c>
      <c r="U62" s="26">
        <f t="shared" si="3"/>
        <v>12</v>
      </c>
    </row>
    <row r="63" spans="1:21" x14ac:dyDescent="0.25">
      <c r="A63" s="4">
        <f>'Mid Sem'!B63</f>
        <v>590029285</v>
      </c>
      <c r="B63" s="4" t="str">
        <f>'Mid Sem'!A63</f>
        <v>Vidit Ahuja</v>
      </c>
      <c r="C63" s="27" t="b">
        <v>1</v>
      </c>
      <c r="D63" s="1">
        <v>1</v>
      </c>
      <c r="E63" s="1">
        <v>1</v>
      </c>
      <c r="F63" s="1">
        <v>0</v>
      </c>
      <c r="G63" s="1">
        <v>1</v>
      </c>
      <c r="H63" s="1">
        <v>1</v>
      </c>
      <c r="I63" s="1">
        <v>1</v>
      </c>
      <c r="J63" s="1">
        <v>1</v>
      </c>
      <c r="K63" s="1">
        <v>2</v>
      </c>
      <c r="L63" s="1">
        <v>2.5</v>
      </c>
      <c r="M63" s="1">
        <v>0</v>
      </c>
      <c r="N63" s="1"/>
      <c r="O63" s="26">
        <f t="shared" si="0"/>
        <v>10.5</v>
      </c>
      <c r="P63" s="1"/>
      <c r="S63" s="26">
        <f t="shared" si="1"/>
        <v>5</v>
      </c>
      <c r="T63" s="26">
        <f t="shared" si="2"/>
        <v>5.5</v>
      </c>
      <c r="U63" s="26">
        <f t="shared" si="3"/>
        <v>10.5</v>
      </c>
    </row>
    <row r="64" spans="1:21" x14ac:dyDescent="0.25">
      <c r="A64" s="4">
        <f>'Mid Sem'!B64</f>
        <v>590029353</v>
      </c>
      <c r="B64" s="4" t="str">
        <f>'Mid Sem'!A64</f>
        <v>Vinit Kumar</v>
      </c>
      <c r="C64" s="27" t="b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2.5</v>
      </c>
      <c r="L64" s="1">
        <v>1.5</v>
      </c>
      <c r="M64" s="1">
        <v>3</v>
      </c>
      <c r="N64" s="1"/>
      <c r="O64" s="26">
        <f t="shared" si="0"/>
        <v>14</v>
      </c>
      <c r="P64" s="1"/>
      <c r="S64" s="26">
        <f t="shared" si="1"/>
        <v>9.5</v>
      </c>
      <c r="T64" s="26">
        <f t="shared" si="2"/>
        <v>4.5</v>
      </c>
      <c r="U64" s="26">
        <f t="shared" si="3"/>
        <v>14</v>
      </c>
    </row>
    <row r="65" spans="1:21" x14ac:dyDescent="0.25">
      <c r="A65" s="4"/>
      <c r="B65" s="4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S65" s="1"/>
      <c r="T65" s="1"/>
      <c r="U65" s="1"/>
    </row>
  </sheetData>
  <mergeCells count="2">
    <mergeCell ref="A1:P1"/>
    <mergeCell ref="A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399B-538A-4326-81D5-F56BB2966D2A}">
  <dimension ref="A1:V65"/>
  <sheetViews>
    <sheetView topLeftCell="A6" zoomScale="110" zoomScaleNormal="110" workbookViewId="0">
      <selection activeCell="M22" sqref="M22"/>
    </sheetView>
  </sheetViews>
  <sheetFormatPr defaultRowHeight="15" x14ac:dyDescent="0.25"/>
  <cols>
    <col min="1" max="1" width="18.7109375" customWidth="1"/>
    <col min="2" max="2" width="24.28515625" bestFit="1" customWidth="1"/>
    <col min="3" max="3" width="4.85546875" customWidth="1"/>
    <col min="4" max="14" width="4.5703125" bestFit="1" customWidth="1"/>
    <col min="15" max="15" width="4.5703125" customWidth="1"/>
    <col min="16" max="16" width="5.42578125" bestFit="1" customWidth="1"/>
    <col min="17" max="17" width="15.28515625" customWidth="1"/>
  </cols>
  <sheetData>
    <row r="1" spans="1:22" ht="24.75" x14ac:dyDescent="0.4">
      <c r="A1" s="47" t="s">
        <v>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22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22" x14ac:dyDescent="0.25">
      <c r="A3" s="1"/>
      <c r="B3" s="1"/>
      <c r="C3" s="1"/>
      <c r="D3" s="2" t="s">
        <v>135</v>
      </c>
      <c r="E3" s="2" t="s">
        <v>135</v>
      </c>
      <c r="F3" s="2" t="s">
        <v>135</v>
      </c>
      <c r="G3" s="2" t="s">
        <v>136</v>
      </c>
      <c r="H3" s="2" t="s">
        <v>135</v>
      </c>
      <c r="I3" s="2" t="s">
        <v>136</v>
      </c>
      <c r="J3" s="2"/>
      <c r="K3" s="2"/>
      <c r="L3" s="2"/>
      <c r="M3" s="2"/>
      <c r="N3" s="2"/>
      <c r="O3" s="2"/>
      <c r="P3" s="1"/>
      <c r="Q3" s="1"/>
      <c r="T3" s="2" t="s">
        <v>135</v>
      </c>
      <c r="U3" s="2" t="s">
        <v>136</v>
      </c>
    </row>
    <row r="4" spans="1:22" x14ac:dyDescent="0.25">
      <c r="A4" s="3" t="s">
        <v>153</v>
      </c>
      <c r="B4" s="3" t="s">
        <v>138</v>
      </c>
      <c r="C4" s="3"/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  <c r="I4" s="3" t="s">
        <v>145</v>
      </c>
      <c r="J4" s="3"/>
      <c r="K4" s="3"/>
      <c r="L4" s="3"/>
      <c r="M4" s="3"/>
      <c r="N4" s="3"/>
      <c r="O4" s="3"/>
      <c r="P4" s="3" t="s">
        <v>11</v>
      </c>
      <c r="Q4" s="3" t="s">
        <v>12</v>
      </c>
      <c r="T4" s="3"/>
      <c r="U4" s="3"/>
      <c r="V4" s="3" t="s">
        <v>11</v>
      </c>
    </row>
    <row r="5" spans="1:22" x14ac:dyDescent="0.25">
      <c r="A5" s="5"/>
      <c r="B5" s="5" t="s">
        <v>15</v>
      </c>
      <c r="C5" s="5"/>
      <c r="D5" s="5">
        <v>2</v>
      </c>
      <c r="E5" s="5">
        <v>2</v>
      </c>
      <c r="F5" s="5">
        <v>2</v>
      </c>
      <c r="G5" s="5">
        <v>2</v>
      </c>
      <c r="H5" s="5">
        <v>6</v>
      </c>
      <c r="I5" s="5">
        <v>6</v>
      </c>
      <c r="J5" s="5"/>
      <c r="K5" s="5"/>
      <c r="L5" s="5"/>
      <c r="M5" s="5"/>
      <c r="N5" s="5"/>
      <c r="O5" s="5"/>
      <c r="P5" s="5">
        <f>SUM(D5:M5)</f>
        <v>20</v>
      </c>
      <c r="Q5" s="5"/>
      <c r="T5" s="5">
        <f>SUM(D5,E5,F5,H5)</f>
        <v>12</v>
      </c>
      <c r="U5" s="5">
        <f>SUM(G5,I5)</f>
        <v>8</v>
      </c>
      <c r="V5" s="5">
        <f>SUM(T5:U5)</f>
        <v>20</v>
      </c>
    </row>
    <row r="6" spans="1:22" x14ac:dyDescent="0.25">
      <c r="A6" s="4">
        <f>Marksheet!B5</f>
        <v>590029213</v>
      </c>
      <c r="B6" s="4" t="str">
        <f>Marksheet!A5</f>
        <v>Aadya Dubey</v>
      </c>
      <c r="C6" s="27" t="b">
        <v>1</v>
      </c>
      <c r="D6" s="1">
        <v>2</v>
      </c>
      <c r="E6" s="1">
        <v>2</v>
      </c>
      <c r="F6" s="1">
        <v>2</v>
      </c>
      <c r="G6" s="1">
        <v>2</v>
      </c>
      <c r="H6" s="1">
        <v>6</v>
      </c>
      <c r="I6" s="1">
        <v>6</v>
      </c>
      <c r="J6" s="1"/>
      <c r="K6" s="1"/>
      <c r="L6" s="1"/>
      <c r="M6" s="1"/>
      <c r="N6" s="1"/>
      <c r="O6" s="1"/>
      <c r="P6" s="26">
        <f t="shared" ref="P6:P64" si="0">SUM(D6:M6)</f>
        <v>20</v>
      </c>
      <c r="Q6" s="1"/>
      <c r="T6" s="26">
        <f>SUM(D6,E6,F6,H6)</f>
        <v>12</v>
      </c>
      <c r="U6" s="26">
        <f>SUM(G6,I6)</f>
        <v>8</v>
      </c>
      <c r="V6" s="26">
        <f>SUM(T6:U6)</f>
        <v>20</v>
      </c>
    </row>
    <row r="7" spans="1:22" x14ac:dyDescent="0.25">
      <c r="A7" s="4">
        <f>Marksheet!B6</f>
        <v>590029270</v>
      </c>
      <c r="B7" s="4" t="str">
        <f>Marksheet!A6</f>
        <v>Aditya Vishwakarma</v>
      </c>
      <c r="C7" s="27" t="b">
        <v>1</v>
      </c>
      <c r="D7" s="1">
        <v>0.5</v>
      </c>
      <c r="E7" s="1">
        <v>1.5</v>
      </c>
      <c r="F7" s="1">
        <v>2</v>
      </c>
      <c r="G7" s="1">
        <v>1</v>
      </c>
      <c r="H7" s="1">
        <v>3</v>
      </c>
      <c r="I7" s="1">
        <v>4</v>
      </c>
      <c r="J7" s="1"/>
      <c r="K7" s="1"/>
      <c r="L7" s="1"/>
      <c r="M7" s="1"/>
      <c r="N7" s="1"/>
      <c r="O7" s="1"/>
      <c r="P7" s="26">
        <f t="shared" si="0"/>
        <v>12</v>
      </c>
      <c r="Q7" s="1"/>
      <c r="T7" s="26">
        <f t="shared" ref="T7:T64" si="1">SUM(D7,E7,F7,H7)</f>
        <v>7</v>
      </c>
      <c r="U7" s="26">
        <f t="shared" ref="U7:U64" si="2">SUM(G7,I7)</f>
        <v>5</v>
      </c>
      <c r="V7" s="26">
        <f t="shared" ref="V7:V64" si="3">SUM(T7:U7)</f>
        <v>12</v>
      </c>
    </row>
    <row r="8" spans="1:22" x14ac:dyDescent="0.25">
      <c r="A8" s="4">
        <f>Marksheet!B7</f>
        <v>590029204</v>
      </c>
      <c r="B8" s="4" t="str">
        <f>Marksheet!A7</f>
        <v>Arjun</v>
      </c>
      <c r="C8" s="27" t="b">
        <v>1</v>
      </c>
      <c r="D8" s="1">
        <v>2</v>
      </c>
      <c r="E8" s="1">
        <v>1</v>
      </c>
      <c r="F8" s="1">
        <v>1</v>
      </c>
      <c r="G8" s="1">
        <v>0</v>
      </c>
      <c r="H8" s="1">
        <v>2</v>
      </c>
      <c r="I8" s="1">
        <v>1</v>
      </c>
      <c r="J8" s="1"/>
      <c r="K8" s="1"/>
      <c r="L8" s="1"/>
      <c r="M8" s="1"/>
      <c r="N8" s="1"/>
      <c r="O8" s="1"/>
      <c r="P8" s="26">
        <f t="shared" si="0"/>
        <v>7</v>
      </c>
      <c r="Q8" s="1"/>
      <c r="T8" s="26">
        <f t="shared" si="1"/>
        <v>6</v>
      </c>
      <c r="U8" s="26">
        <f t="shared" si="2"/>
        <v>1</v>
      </c>
      <c r="V8" s="26">
        <f t="shared" si="3"/>
        <v>7</v>
      </c>
    </row>
    <row r="9" spans="1:22" x14ac:dyDescent="0.25">
      <c r="A9" s="4">
        <f>Marksheet!B8</f>
        <v>590029109</v>
      </c>
      <c r="B9" s="4" t="str">
        <f>Marksheet!A8</f>
        <v>Aryan Yadav</v>
      </c>
      <c r="C9" s="27" t="b">
        <v>1</v>
      </c>
      <c r="D9" s="1">
        <v>1</v>
      </c>
      <c r="E9" s="1">
        <v>1.5</v>
      </c>
      <c r="F9" s="1">
        <v>1.5</v>
      </c>
      <c r="G9" s="1">
        <v>2</v>
      </c>
      <c r="H9" s="1">
        <v>4</v>
      </c>
      <c r="I9" s="1">
        <v>5</v>
      </c>
      <c r="J9" s="1"/>
      <c r="K9" s="1"/>
      <c r="L9" s="1"/>
      <c r="M9" s="1"/>
      <c r="N9" s="1"/>
      <c r="O9" s="1"/>
      <c r="P9" s="26">
        <f t="shared" si="0"/>
        <v>15</v>
      </c>
      <c r="Q9" s="1"/>
      <c r="T9" s="26">
        <f t="shared" si="1"/>
        <v>8</v>
      </c>
      <c r="U9" s="26">
        <f t="shared" si="2"/>
        <v>7</v>
      </c>
      <c r="V9" s="26">
        <f t="shared" si="3"/>
        <v>15</v>
      </c>
    </row>
    <row r="10" spans="1:22" x14ac:dyDescent="0.25">
      <c r="A10" s="4">
        <f>Marksheet!B9</f>
        <v>590029070</v>
      </c>
      <c r="B10" s="4" t="str">
        <f>Marksheet!A9</f>
        <v>Astik Patel</v>
      </c>
      <c r="C10" s="27" t="b">
        <v>1</v>
      </c>
      <c r="D10" s="1">
        <v>2</v>
      </c>
      <c r="E10" s="1">
        <v>2</v>
      </c>
      <c r="F10" s="1">
        <v>2</v>
      </c>
      <c r="G10" s="1">
        <v>2</v>
      </c>
      <c r="H10" s="1">
        <v>6</v>
      </c>
      <c r="I10" s="1">
        <v>2</v>
      </c>
      <c r="J10" s="1"/>
      <c r="K10" s="1"/>
      <c r="L10" s="1"/>
      <c r="M10" s="1"/>
      <c r="N10" s="1"/>
      <c r="O10" s="1"/>
      <c r="P10" s="26">
        <f t="shared" si="0"/>
        <v>16</v>
      </c>
      <c r="Q10" s="1"/>
      <c r="T10" s="26">
        <f t="shared" si="1"/>
        <v>12</v>
      </c>
      <c r="U10" s="26">
        <f t="shared" si="2"/>
        <v>4</v>
      </c>
      <c r="V10" s="26">
        <f t="shared" si="3"/>
        <v>16</v>
      </c>
    </row>
    <row r="11" spans="1:22" x14ac:dyDescent="0.25">
      <c r="A11" s="4">
        <f>Marksheet!B10</f>
        <v>590029157</v>
      </c>
      <c r="B11" s="4" t="str">
        <f>Marksheet!A10</f>
        <v>Ayush Mohan</v>
      </c>
      <c r="C11" s="27" t="b">
        <v>1</v>
      </c>
      <c r="D11" s="1">
        <v>1.5</v>
      </c>
      <c r="E11" s="1">
        <v>0.5</v>
      </c>
      <c r="F11" s="1">
        <v>2</v>
      </c>
      <c r="G11" s="1">
        <v>2</v>
      </c>
      <c r="H11" s="1">
        <v>1</v>
      </c>
      <c r="I11" s="1">
        <v>5</v>
      </c>
      <c r="J11" s="1"/>
      <c r="K11" s="1"/>
      <c r="L11" s="1"/>
      <c r="M11" s="1"/>
      <c r="N11" s="1"/>
      <c r="O11" s="1"/>
      <c r="P11" s="26">
        <f t="shared" si="0"/>
        <v>12</v>
      </c>
      <c r="Q11" s="1"/>
      <c r="T11" s="26">
        <f t="shared" si="1"/>
        <v>5</v>
      </c>
      <c r="U11" s="26">
        <f t="shared" si="2"/>
        <v>7</v>
      </c>
      <c r="V11" s="26">
        <f t="shared" si="3"/>
        <v>12</v>
      </c>
    </row>
    <row r="12" spans="1:22" x14ac:dyDescent="0.25">
      <c r="A12" s="4">
        <f>Marksheet!B11</f>
        <v>590027157</v>
      </c>
      <c r="B12" s="4" t="str">
        <f>Marksheet!A11</f>
        <v>Bhanu Purohit</v>
      </c>
      <c r="C12" s="27" t="b">
        <v>1</v>
      </c>
      <c r="D12" s="1">
        <v>2</v>
      </c>
      <c r="E12" s="1">
        <v>1</v>
      </c>
      <c r="F12" s="1">
        <v>2</v>
      </c>
      <c r="G12" s="1">
        <v>2</v>
      </c>
      <c r="H12" s="1">
        <v>1</v>
      </c>
      <c r="I12" s="1">
        <v>6</v>
      </c>
      <c r="J12" s="1"/>
      <c r="K12" s="1"/>
      <c r="L12" s="1"/>
      <c r="M12" s="1"/>
      <c r="N12" s="1"/>
      <c r="O12" s="1"/>
      <c r="P12" s="26">
        <f t="shared" si="0"/>
        <v>14</v>
      </c>
      <c r="Q12" s="1"/>
      <c r="T12" s="26">
        <f t="shared" si="1"/>
        <v>6</v>
      </c>
      <c r="U12" s="26">
        <f t="shared" si="2"/>
        <v>8</v>
      </c>
      <c r="V12" s="26">
        <f t="shared" si="3"/>
        <v>14</v>
      </c>
    </row>
    <row r="13" spans="1:22" x14ac:dyDescent="0.25">
      <c r="A13" s="4">
        <f>Marksheet!B12</f>
        <v>590029274</v>
      </c>
      <c r="B13" s="4" t="str">
        <f>Marksheet!A12</f>
        <v>Biswabandya Mohanty</v>
      </c>
      <c r="C13" s="27" t="b">
        <v>1</v>
      </c>
      <c r="D13" s="1">
        <v>2</v>
      </c>
      <c r="E13" s="1">
        <v>2</v>
      </c>
      <c r="F13" s="1">
        <v>2</v>
      </c>
      <c r="G13" s="1">
        <v>2</v>
      </c>
      <c r="H13" s="1">
        <v>6</v>
      </c>
      <c r="I13" s="1">
        <v>5</v>
      </c>
      <c r="J13" s="1"/>
      <c r="K13" s="1"/>
      <c r="L13" s="1"/>
      <c r="M13" s="1"/>
      <c r="N13" s="1"/>
      <c r="O13" s="1"/>
      <c r="P13" s="26">
        <f t="shared" si="0"/>
        <v>19</v>
      </c>
      <c r="Q13" s="1"/>
      <c r="T13" s="26">
        <f t="shared" si="1"/>
        <v>12</v>
      </c>
      <c r="U13" s="26">
        <f t="shared" si="2"/>
        <v>7</v>
      </c>
      <c r="V13" s="26">
        <f t="shared" si="3"/>
        <v>19</v>
      </c>
    </row>
    <row r="14" spans="1:22" x14ac:dyDescent="0.25">
      <c r="A14" s="4">
        <f>Marksheet!B13</f>
        <v>590028572</v>
      </c>
      <c r="B14" s="4" t="str">
        <f>Marksheet!A13</f>
        <v>Eashan Vashisht</v>
      </c>
      <c r="C14" s="27" t="b">
        <v>1</v>
      </c>
      <c r="D14" s="1">
        <v>2</v>
      </c>
      <c r="E14" s="1">
        <v>2</v>
      </c>
      <c r="F14" s="1">
        <v>2</v>
      </c>
      <c r="G14" s="1">
        <v>2</v>
      </c>
      <c r="H14" s="1">
        <v>6</v>
      </c>
      <c r="I14" s="1">
        <v>6</v>
      </c>
      <c r="J14" s="1"/>
      <c r="K14" s="1"/>
      <c r="L14" s="1"/>
      <c r="M14" s="1"/>
      <c r="N14" s="1"/>
      <c r="O14" s="1"/>
      <c r="P14" s="26">
        <f t="shared" si="0"/>
        <v>20</v>
      </c>
      <c r="Q14" s="1"/>
      <c r="T14" s="26">
        <f t="shared" si="1"/>
        <v>12</v>
      </c>
      <c r="U14" s="26">
        <f t="shared" si="2"/>
        <v>8</v>
      </c>
      <c r="V14" s="26">
        <f t="shared" si="3"/>
        <v>20</v>
      </c>
    </row>
    <row r="15" spans="1:22" x14ac:dyDescent="0.25">
      <c r="A15" s="4">
        <f>Marksheet!B14</f>
        <v>590029230</v>
      </c>
      <c r="B15" s="4" t="str">
        <f>Marksheet!A14</f>
        <v>Hardik Joshi</v>
      </c>
      <c r="C15" s="27" t="b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6">
        <f t="shared" si="0"/>
        <v>0</v>
      </c>
      <c r="Q15" s="1"/>
      <c r="T15" s="26">
        <f t="shared" si="1"/>
        <v>0</v>
      </c>
      <c r="U15" s="26">
        <f t="shared" si="2"/>
        <v>0</v>
      </c>
      <c r="V15" s="26">
        <f t="shared" si="3"/>
        <v>0</v>
      </c>
    </row>
    <row r="16" spans="1:22" x14ac:dyDescent="0.25">
      <c r="A16" s="4">
        <f>Marksheet!B15</f>
        <v>590029169</v>
      </c>
      <c r="B16" s="4" t="str">
        <f>Marksheet!A15</f>
        <v>Hrithvik Bhardwaj</v>
      </c>
      <c r="C16" s="27" t="b">
        <v>1</v>
      </c>
      <c r="D16" s="1">
        <v>2</v>
      </c>
      <c r="E16" s="1">
        <v>1.5</v>
      </c>
      <c r="F16" s="1">
        <v>1.5</v>
      </c>
      <c r="G16" s="1">
        <v>0</v>
      </c>
      <c r="H16" s="1">
        <v>0</v>
      </c>
      <c r="I16" s="1">
        <v>4</v>
      </c>
      <c r="J16" s="1"/>
      <c r="K16" s="1"/>
      <c r="L16" s="1"/>
      <c r="M16" s="1"/>
      <c r="N16" s="1"/>
      <c r="O16" s="1"/>
      <c r="P16" s="26">
        <f t="shared" si="0"/>
        <v>9</v>
      </c>
      <c r="Q16" s="1"/>
      <c r="T16" s="26">
        <f t="shared" si="1"/>
        <v>5</v>
      </c>
      <c r="U16" s="26">
        <f t="shared" si="2"/>
        <v>4</v>
      </c>
      <c r="V16" s="26">
        <f t="shared" si="3"/>
        <v>9</v>
      </c>
    </row>
    <row r="17" spans="1:22" x14ac:dyDescent="0.25">
      <c r="A17" s="4">
        <f>Marksheet!B16</f>
        <v>590029112</v>
      </c>
      <c r="B17" s="4" t="str">
        <f>Marksheet!A16</f>
        <v>Nitish Kumar</v>
      </c>
      <c r="C17" s="27" t="b">
        <v>1</v>
      </c>
      <c r="D17" s="1">
        <v>1</v>
      </c>
      <c r="E17" s="1">
        <v>1.5</v>
      </c>
      <c r="F17" s="1">
        <v>2</v>
      </c>
      <c r="G17" s="1">
        <v>1.5</v>
      </c>
      <c r="H17" s="1">
        <v>4</v>
      </c>
      <c r="I17" s="1">
        <v>5</v>
      </c>
      <c r="J17" s="1"/>
      <c r="K17" s="1"/>
      <c r="L17" s="1"/>
      <c r="M17" s="1"/>
      <c r="N17" s="1"/>
      <c r="O17" s="1"/>
      <c r="P17" s="26">
        <f t="shared" si="0"/>
        <v>15</v>
      </c>
      <c r="Q17" s="1"/>
      <c r="T17" s="26">
        <f t="shared" si="1"/>
        <v>8.5</v>
      </c>
      <c r="U17" s="26">
        <f t="shared" si="2"/>
        <v>6.5</v>
      </c>
      <c r="V17" s="26">
        <f t="shared" si="3"/>
        <v>15</v>
      </c>
    </row>
    <row r="18" spans="1:22" x14ac:dyDescent="0.25">
      <c r="A18" s="4">
        <f>Marksheet!B17</f>
        <v>590025556</v>
      </c>
      <c r="B18" s="4" t="str">
        <f>Marksheet!A17</f>
        <v>Omkareshwar Chaubey</v>
      </c>
      <c r="C18" s="27" t="b">
        <v>1</v>
      </c>
      <c r="D18" s="1">
        <v>2</v>
      </c>
      <c r="E18" s="1">
        <v>2</v>
      </c>
      <c r="F18" s="1">
        <v>2</v>
      </c>
      <c r="G18" s="1">
        <v>2</v>
      </c>
      <c r="H18" s="1">
        <v>6</v>
      </c>
      <c r="I18" s="1">
        <v>5</v>
      </c>
      <c r="J18" s="1"/>
      <c r="K18" s="1"/>
      <c r="L18" s="1"/>
      <c r="M18" s="1"/>
      <c r="N18" s="1"/>
      <c r="O18" s="1"/>
      <c r="P18" s="26">
        <f t="shared" si="0"/>
        <v>19</v>
      </c>
      <c r="Q18" s="1"/>
      <c r="T18" s="26">
        <f t="shared" si="1"/>
        <v>12</v>
      </c>
      <c r="U18" s="26">
        <f t="shared" si="2"/>
        <v>7</v>
      </c>
      <c r="V18" s="26">
        <f t="shared" si="3"/>
        <v>19</v>
      </c>
    </row>
    <row r="19" spans="1:22" x14ac:dyDescent="0.25">
      <c r="A19" s="4">
        <f>Marksheet!B18</f>
        <v>590027830</v>
      </c>
      <c r="B19" s="4" t="str">
        <f>Marksheet!A18</f>
        <v>Pavani Jain</v>
      </c>
      <c r="C19" s="27" t="b">
        <v>1</v>
      </c>
      <c r="D19" s="1">
        <v>2</v>
      </c>
      <c r="E19" s="1">
        <v>1.5</v>
      </c>
      <c r="F19" s="1">
        <v>2</v>
      </c>
      <c r="G19" s="1">
        <v>2</v>
      </c>
      <c r="H19" s="1">
        <v>6</v>
      </c>
      <c r="I19" s="1">
        <v>5</v>
      </c>
      <c r="J19" s="1"/>
      <c r="K19" s="1"/>
      <c r="L19" s="1"/>
      <c r="M19" s="1"/>
      <c r="N19" s="1"/>
      <c r="O19" s="1"/>
      <c r="P19" s="26">
        <f t="shared" si="0"/>
        <v>18.5</v>
      </c>
      <c r="Q19" s="1"/>
      <c r="T19" s="26">
        <f t="shared" si="1"/>
        <v>11.5</v>
      </c>
      <c r="U19" s="26">
        <f t="shared" si="2"/>
        <v>7</v>
      </c>
      <c r="V19" s="26">
        <f t="shared" si="3"/>
        <v>18.5</v>
      </c>
    </row>
    <row r="20" spans="1:22" x14ac:dyDescent="0.25">
      <c r="A20" s="4">
        <f>Marksheet!B19</f>
        <v>590028360</v>
      </c>
      <c r="B20" s="4" t="str">
        <f>Marksheet!A19</f>
        <v>Prapti Uniyal</v>
      </c>
      <c r="C20" s="27" t="b">
        <v>1</v>
      </c>
      <c r="D20" s="1">
        <v>2</v>
      </c>
      <c r="E20" s="1">
        <v>1</v>
      </c>
      <c r="F20" s="1">
        <v>2</v>
      </c>
      <c r="G20" s="1">
        <v>1.5</v>
      </c>
      <c r="H20" s="1">
        <v>5</v>
      </c>
      <c r="I20" s="1">
        <v>0</v>
      </c>
      <c r="J20" s="4"/>
      <c r="K20" s="4"/>
      <c r="L20" s="4"/>
      <c r="M20" s="4"/>
      <c r="N20" s="4"/>
      <c r="O20" s="1"/>
      <c r="P20" s="26">
        <f>SUM(D20:M20)</f>
        <v>11.5</v>
      </c>
      <c r="Q20" s="4"/>
      <c r="T20" s="26">
        <f>SUM(D20,E20,F20,H20)</f>
        <v>10</v>
      </c>
      <c r="U20" s="26">
        <f>SUM(G20,I20)</f>
        <v>1.5</v>
      </c>
      <c r="V20" s="26">
        <f t="shared" si="3"/>
        <v>11.5</v>
      </c>
    </row>
    <row r="21" spans="1:22" x14ac:dyDescent="0.25">
      <c r="A21" s="4">
        <f>Marksheet!B20</f>
        <v>590029237</v>
      </c>
      <c r="B21" s="4" t="str">
        <f>Marksheet!A20</f>
        <v>Priyadarshi Prabhakar</v>
      </c>
      <c r="C21" s="27" t="b">
        <v>1</v>
      </c>
      <c r="D21" s="1">
        <v>1.5</v>
      </c>
      <c r="E21" s="1">
        <v>1</v>
      </c>
      <c r="F21" s="1">
        <v>1</v>
      </c>
      <c r="G21" s="1">
        <v>2</v>
      </c>
      <c r="H21" s="1">
        <v>1</v>
      </c>
      <c r="I21" s="1">
        <v>4</v>
      </c>
      <c r="J21" s="4"/>
      <c r="K21" s="4"/>
      <c r="L21" s="4"/>
      <c r="M21" s="4"/>
      <c r="N21" s="4"/>
      <c r="O21" s="1"/>
      <c r="P21" s="26">
        <f t="shared" si="0"/>
        <v>10.5</v>
      </c>
      <c r="Q21" s="4"/>
      <c r="T21" s="26">
        <f>SUM(D21,E21,F21,H21)</f>
        <v>4.5</v>
      </c>
      <c r="U21" s="26">
        <f>SUM(G21,I21)</f>
        <v>6</v>
      </c>
      <c r="V21" s="26">
        <f t="shared" si="3"/>
        <v>10.5</v>
      </c>
    </row>
    <row r="22" spans="1:22" x14ac:dyDescent="0.25">
      <c r="A22" s="4">
        <f>Marksheet!B21</f>
        <v>590029079</v>
      </c>
      <c r="B22" s="4" t="str">
        <f>Marksheet!A21</f>
        <v>Radhe Patel</v>
      </c>
      <c r="C22" s="27" t="b">
        <v>0</v>
      </c>
      <c r="D22" s="1"/>
      <c r="E22" s="1"/>
      <c r="F22" s="1"/>
      <c r="G22" s="1"/>
      <c r="H22" s="1"/>
      <c r="I22" s="1"/>
      <c r="J22" s="4"/>
      <c r="K22" s="4"/>
      <c r="L22" s="4"/>
      <c r="M22" s="4"/>
      <c r="N22" s="4"/>
      <c r="O22" s="1"/>
      <c r="P22" s="26">
        <f t="shared" si="0"/>
        <v>0</v>
      </c>
      <c r="Q22" s="4"/>
      <c r="T22" s="26">
        <f t="shared" si="1"/>
        <v>0</v>
      </c>
      <c r="U22" s="26">
        <f t="shared" si="2"/>
        <v>0</v>
      </c>
      <c r="V22" s="26">
        <f t="shared" si="3"/>
        <v>0</v>
      </c>
    </row>
    <row r="23" spans="1:22" x14ac:dyDescent="0.25">
      <c r="A23" s="4">
        <f>Marksheet!B22</f>
        <v>590029145</v>
      </c>
      <c r="B23" s="4" t="str">
        <f>Marksheet!A22</f>
        <v>Rishika Purushotham</v>
      </c>
      <c r="C23" s="27" t="b">
        <v>1</v>
      </c>
      <c r="D23" s="1">
        <v>2</v>
      </c>
      <c r="E23" s="1">
        <v>2</v>
      </c>
      <c r="F23" s="1">
        <v>2</v>
      </c>
      <c r="G23" s="1">
        <v>2</v>
      </c>
      <c r="H23" s="1">
        <v>5</v>
      </c>
      <c r="I23" s="1">
        <v>6</v>
      </c>
      <c r="J23" s="4"/>
      <c r="K23" s="4"/>
      <c r="L23" s="4"/>
      <c r="M23" s="4"/>
      <c r="N23" s="4"/>
      <c r="O23" s="1"/>
      <c r="P23" s="26">
        <f t="shared" si="0"/>
        <v>19</v>
      </c>
      <c r="Q23" s="4"/>
      <c r="T23" s="26">
        <f t="shared" si="1"/>
        <v>11</v>
      </c>
      <c r="U23" s="26">
        <f t="shared" si="2"/>
        <v>8</v>
      </c>
      <c r="V23" s="26">
        <f t="shared" si="3"/>
        <v>19</v>
      </c>
    </row>
    <row r="24" spans="1:22" x14ac:dyDescent="0.25">
      <c r="A24" s="4">
        <f>Marksheet!B23</f>
        <v>590029209</v>
      </c>
      <c r="B24" s="4" t="str">
        <f>Marksheet!A23</f>
        <v>Rishiv Kumar</v>
      </c>
      <c r="C24" s="27" t="b">
        <v>0</v>
      </c>
      <c r="D24" s="1"/>
      <c r="E24" s="1"/>
      <c r="F24" s="1"/>
      <c r="G24" s="1"/>
      <c r="H24" s="1"/>
      <c r="I24" s="1"/>
      <c r="J24" s="4"/>
      <c r="K24" s="4"/>
      <c r="L24" s="4"/>
      <c r="M24" s="4"/>
      <c r="N24" s="4"/>
      <c r="O24" s="1"/>
      <c r="P24" s="26">
        <f t="shared" si="0"/>
        <v>0</v>
      </c>
      <c r="Q24" s="4"/>
      <c r="T24" s="26">
        <f t="shared" si="1"/>
        <v>0</v>
      </c>
      <c r="U24" s="26">
        <f t="shared" si="2"/>
        <v>0</v>
      </c>
      <c r="V24" s="26">
        <f t="shared" si="3"/>
        <v>0</v>
      </c>
    </row>
    <row r="25" spans="1:22" x14ac:dyDescent="0.25">
      <c r="A25" s="4">
        <f>Marksheet!B24</f>
        <v>590027268</v>
      </c>
      <c r="B25" s="4" t="str">
        <f>Marksheet!A24</f>
        <v>Sankalp Sunil Ronge</v>
      </c>
      <c r="C25" s="27" t="b">
        <v>1</v>
      </c>
      <c r="D25" s="1">
        <v>2</v>
      </c>
      <c r="E25" s="1">
        <v>1.5</v>
      </c>
      <c r="F25" s="1">
        <v>2</v>
      </c>
      <c r="G25" s="1">
        <v>1</v>
      </c>
      <c r="H25" s="1">
        <v>2</v>
      </c>
      <c r="I25" s="1">
        <v>4</v>
      </c>
      <c r="J25" s="4"/>
      <c r="K25" s="4"/>
      <c r="L25" s="4"/>
      <c r="M25" s="4"/>
      <c r="N25" s="4"/>
      <c r="O25" s="1"/>
      <c r="P25" s="26">
        <f t="shared" si="0"/>
        <v>12.5</v>
      </c>
      <c r="Q25" s="4"/>
      <c r="T25" s="26">
        <f t="shared" si="1"/>
        <v>7.5</v>
      </c>
      <c r="U25" s="26">
        <f t="shared" si="2"/>
        <v>5</v>
      </c>
      <c r="V25" s="26">
        <f t="shared" si="3"/>
        <v>12.5</v>
      </c>
    </row>
    <row r="26" spans="1:22" x14ac:dyDescent="0.25">
      <c r="A26" s="4">
        <f>Marksheet!B25</f>
        <v>590029227</v>
      </c>
      <c r="B26" s="4" t="str">
        <f>Marksheet!A25</f>
        <v>Sartaj Singh</v>
      </c>
      <c r="C26" s="27" t="b">
        <v>1</v>
      </c>
      <c r="D26" s="1">
        <v>2</v>
      </c>
      <c r="E26" s="1">
        <v>1.5</v>
      </c>
      <c r="F26" s="1">
        <v>2</v>
      </c>
      <c r="G26" s="1">
        <v>2</v>
      </c>
      <c r="H26" s="1">
        <v>6</v>
      </c>
      <c r="I26" s="1">
        <v>6</v>
      </c>
      <c r="J26" s="4"/>
      <c r="K26" s="4"/>
      <c r="L26" s="4"/>
      <c r="M26" s="4"/>
      <c r="N26" s="4"/>
      <c r="O26" s="1"/>
      <c r="P26" s="26">
        <f t="shared" si="0"/>
        <v>19.5</v>
      </c>
      <c r="Q26" s="4"/>
      <c r="T26" s="26">
        <f t="shared" si="1"/>
        <v>11.5</v>
      </c>
      <c r="U26" s="26">
        <f t="shared" si="2"/>
        <v>8</v>
      </c>
      <c r="V26" s="26">
        <f t="shared" si="3"/>
        <v>19.5</v>
      </c>
    </row>
    <row r="27" spans="1:22" x14ac:dyDescent="0.25">
      <c r="A27" s="4">
        <f>Marksheet!B26</f>
        <v>590029241</v>
      </c>
      <c r="B27" s="4" t="str">
        <f>Marksheet!A26</f>
        <v>Satakshi Gupta</v>
      </c>
      <c r="C27" s="27" t="b">
        <v>1</v>
      </c>
      <c r="D27" s="1">
        <v>1.5</v>
      </c>
      <c r="E27" s="1">
        <v>1.5</v>
      </c>
      <c r="F27" s="1">
        <v>2</v>
      </c>
      <c r="G27" s="1">
        <v>2</v>
      </c>
      <c r="H27" s="1">
        <v>2</v>
      </c>
      <c r="I27" s="1">
        <v>2</v>
      </c>
      <c r="J27" s="4"/>
      <c r="K27" s="4"/>
      <c r="L27" s="4"/>
      <c r="M27" s="4"/>
      <c r="N27" s="4"/>
      <c r="O27" s="1"/>
      <c r="P27" s="26">
        <f t="shared" si="0"/>
        <v>11</v>
      </c>
      <c r="Q27" s="4"/>
      <c r="T27" s="26">
        <f t="shared" si="1"/>
        <v>7</v>
      </c>
      <c r="U27" s="26">
        <f t="shared" si="2"/>
        <v>4</v>
      </c>
      <c r="V27" s="26">
        <f t="shared" si="3"/>
        <v>11</v>
      </c>
    </row>
    <row r="28" spans="1:22" x14ac:dyDescent="0.25">
      <c r="A28" s="4">
        <f>Marksheet!B27</f>
        <v>590023855</v>
      </c>
      <c r="B28" s="4" t="str">
        <f>Marksheet!A27</f>
        <v>Shaswat Shantanu</v>
      </c>
      <c r="C28" s="27" t="b">
        <v>1</v>
      </c>
      <c r="D28" s="1">
        <v>1.5</v>
      </c>
      <c r="E28" s="1">
        <v>1</v>
      </c>
      <c r="F28" s="1">
        <v>2</v>
      </c>
      <c r="G28" s="1">
        <v>2</v>
      </c>
      <c r="H28" s="1">
        <v>3</v>
      </c>
      <c r="I28" s="1">
        <v>2</v>
      </c>
      <c r="J28" s="4"/>
      <c r="K28" s="4"/>
      <c r="L28" s="4"/>
      <c r="M28" s="4"/>
      <c r="N28" s="4"/>
      <c r="O28" s="1"/>
      <c r="P28" s="26">
        <f t="shared" si="0"/>
        <v>11.5</v>
      </c>
      <c r="Q28" s="4"/>
      <c r="T28" s="26">
        <f t="shared" si="1"/>
        <v>7.5</v>
      </c>
      <c r="U28" s="26">
        <f t="shared" si="2"/>
        <v>4</v>
      </c>
      <c r="V28" s="26">
        <f t="shared" si="3"/>
        <v>11.5</v>
      </c>
    </row>
    <row r="29" spans="1:22" x14ac:dyDescent="0.25">
      <c r="A29" s="4">
        <f>Marksheet!B28</f>
        <v>590029215</v>
      </c>
      <c r="B29" s="4" t="str">
        <f>Marksheet!A28</f>
        <v>Siddhant Rai</v>
      </c>
      <c r="C29" s="27" t="b">
        <v>1</v>
      </c>
      <c r="D29" s="1">
        <v>2</v>
      </c>
      <c r="E29" s="1">
        <v>0.5</v>
      </c>
      <c r="F29" s="1">
        <v>2</v>
      </c>
      <c r="G29" s="1">
        <v>0</v>
      </c>
      <c r="H29" s="1">
        <v>2</v>
      </c>
      <c r="I29" s="1">
        <v>0</v>
      </c>
      <c r="J29" s="4"/>
      <c r="K29" s="4"/>
      <c r="L29" s="4"/>
      <c r="M29" s="4"/>
      <c r="N29" s="4"/>
      <c r="O29" s="1"/>
      <c r="P29" s="26">
        <f t="shared" si="0"/>
        <v>6.5</v>
      </c>
      <c r="Q29" s="4"/>
      <c r="T29" s="26">
        <f t="shared" si="1"/>
        <v>6.5</v>
      </c>
      <c r="U29" s="26">
        <f t="shared" si="2"/>
        <v>0</v>
      </c>
      <c r="V29" s="26">
        <f t="shared" si="3"/>
        <v>6.5</v>
      </c>
    </row>
    <row r="30" spans="1:22" x14ac:dyDescent="0.25">
      <c r="A30" s="4">
        <f>Marksheet!B29</f>
        <v>590029111</v>
      </c>
      <c r="B30" s="4" t="str">
        <f>Marksheet!A29</f>
        <v>Sidhaant Singh Jyrwa</v>
      </c>
      <c r="C30" s="27" t="b">
        <v>1</v>
      </c>
      <c r="D30" s="1">
        <v>1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4"/>
      <c r="K30" s="4"/>
      <c r="L30" s="4"/>
      <c r="M30" s="4"/>
      <c r="N30" s="4"/>
      <c r="O30" s="1"/>
      <c r="P30" s="26">
        <f t="shared" si="0"/>
        <v>2</v>
      </c>
      <c r="Q30" s="4"/>
      <c r="T30" s="26">
        <f t="shared" si="1"/>
        <v>2</v>
      </c>
      <c r="U30" s="26">
        <f t="shared" si="2"/>
        <v>0</v>
      </c>
      <c r="V30" s="26">
        <f t="shared" si="3"/>
        <v>2</v>
      </c>
    </row>
    <row r="31" spans="1:22" x14ac:dyDescent="0.25">
      <c r="A31" s="4">
        <f>Marksheet!B30</f>
        <v>590028683</v>
      </c>
      <c r="B31" s="4" t="str">
        <f>Marksheet!A30</f>
        <v>Subrat Singh Jadaun</v>
      </c>
      <c r="C31" s="27" t="b">
        <v>1</v>
      </c>
      <c r="D31" s="1">
        <v>1</v>
      </c>
      <c r="E31" s="1">
        <v>1</v>
      </c>
      <c r="F31" s="1">
        <v>2</v>
      </c>
      <c r="G31" s="1">
        <v>1</v>
      </c>
      <c r="H31" s="1">
        <v>2</v>
      </c>
      <c r="I31" s="1">
        <v>2</v>
      </c>
      <c r="J31" s="4"/>
      <c r="K31" s="4"/>
      <c r="L31" s="4"/>
      <c r="M31" s="4"/>
      <c r="N31" s="4"/>
      <c r="O31" s="1"/>
      <c r="P31" s="26">
        <f t="shared" si="0"/>
        <v>9</v>
      </c>
      <c r="Q31" s="4"/>
      <c r="T31" s="26">
        <f t="shared" si="1"/>
        <v>6</v>
      </c>
      <c r="U31" s="26">
        <f t="shared" si="2"/>
        <v>3</v>
      </c>
      <c r="V31" s="26">
        <f t="shared" si="3"/>
        <v>9</v>
      </c>
    </row>
    <row r="32" spans="1:22" x14ac:dyDescent="0.25">
      <c r="A32" s="4">
        <f>Marksheet!B31</f>
        <v>590029121</v>
      </c>
      <c r="B32" s="4" t="str">
        <f>Marksheet!A31</f>
        <v>Tushita Sharma</v>
      </c>
      <c r="C32" s="27" t="b">
        <v>1</v>
      </c>
      <c r="D32" s="1">
        <v>2</v>
      </c>
      <c r="E32" s="1">
        <v>1.5</v>
      </c>
      <c r="F32" s="1">
        <v>2</v>
      </c>
      <c r="G32" s="1">
        <v>2</v>
      </c>
      <c r="H32" s="1">
        <v>4</v>
      </c>
      <c r="I32" s="1">
        <v>6</v>
      </c>
      <c r="J32" s="4"/>
      <c r="K32" s="4"/>
      <c r="L32" s="4"/>
      <c r="M32" s="4"/>
      <c r="N32" s="4"/>
      <c r="O32" s="1"/>
      <c r="P32" s="26">
        <f t="shared" si="0"/>
        <v>17.5</v>
      </c>
      <c r="Q32" s="4"/>
      <c r="T32" s="26">
        <f t="shared" si="1"/>
        <v>9.5</v>
      </c>
      <c r="U32" s="26">
        <f t="shared" si="2"/>
        <v>8</v>
      </c>
      <c r="V32" s="26">
        <f t="shared" si="3"/>
        <v>17.5</v>
      </c>
    </row>
    <row r="33" spans="1:22" x14ac:dyDescent="0.25">
      <c r="A33" s="4">
        <f>Marksheet!B32</f>
        <v>590029048</v>
      </c>
      <c r="B33" s="4" t="str">
        <f>Marksheet!A32</f>
        <v>Vaishnavi Kumari</v>
      </c>
      <c r="C33" s="27" t="b">
        <v>1</v>
      </c>
      <c r="D33" s="1">
        <v>2</v>
      </c>
      <c r="E33" s="1">
        <v>2</v>
      </c>
      <c r="F33" s="1">
        <v>2</v>
      </c>
      <c r="G33" s="1">
        <v>2</v>
      </c>
      <c r="H33" s="1">
        <v>6</v>
      </c>
      <c r="I33" s="1">
        <v>6</v>
      </c>
      <c r="J33" s="4"/>
      <c r="K33" s="4"/>
      <c r="L33" s="4"/>
      <c r="M33" s="4"/>
      <c r="N33" s="4"/>
      <c r="O33" s="1"/>
      <c r="P33" s="26">
        <f t="shared" si="0"/>
        <v>20</v>
      </c>
      <c r="Q33" s="4"/>
      <c r="T33" s="26">
        <f t="shared" si="1"/>
        <v>12</v>
      </c>
      <c r="U33" s="26">
        <f t="shared" si="2"/>
        <v>8</v>
      </c>
      <c r="V33" s="26">
        <f t="shared" si="3"/>
        <v>20</v>
      </c>
    </row>
    <row r="34" spans="1:22" x14ac:dyDescent="0.25">
      <c r="A34" s="4">
        <f>Marksheet!B33</f>
        <v>590029184</v>
      </c>
      <c r="B34" s="4" t="str">
        <f>Marksheet!A33</f>
        <v>Vivek Chauhan</v>
      </c>
      <c r="C34" s="27" t="b">
        <v>1</v>
      </c>
      <c r="D34" s="1">
        <v>2</v>
      </c>
      <c r="E34" s="1">
        <v>2</v>
      </c>
      <c r="F34" s="1">
        <v>1.5</v>
      </c>
      <c r="G34" s="1">
        <v>2</v>
      </c>
      <c r="H34" s="1">
        <v>6</v>
      </c>
      <c r="I34" s="1">
        <v>6</v>
      </c>
      <c r="J34" s="4"/>
      <c r="K34" s="4"/>
      <c r="L34" s="4"/>
      <c r="M34" s="4"/>
      <c r="N34" s="4"/>
      <c r="O34" s="1"/>
      <c r="P34" s="26">
        <f t="shared" si="0"/>
        <v>19.5</v>
      </c>
      <c r="Q34" s="4"/>
      <c r="T34" s="26">
        <f t="shared" si="1"/>
        <v>11.5</v>
      </c>
      <c r="U34" s="26">
        <f t="shared" si="2"/>
        <v>8</v>
      </c>
      <c r="V34" s="26">
        <f t="shared" si="3"/>
        <v>19.5</v>
      </c>
    </row>
    <row r="35" spans="1:22" x14ac:dyDescent="0.25">
      <c r="A35" s="4">
        <f>Marksheet!B34</f>
        <v>590029330</v>
      </c>
      <c r="B35" s="4" t="str">
        <f>Marksheet!A34</f>
        <v>Aadarshi Bisht</v>
      </c>
      <c r="C35" s="27" t="b">
        <v>1</v>
      </c>
      <c r="D35" s="1">
        <v>1.5</v>
      </c>
      <c r="E35" s="1">
        <v>1.5</v>
      </c>
      <c r="F35" s="1">
        <v>2</v>
      </c>
      <c r="G35" s="1">
        <v>2</v>
      </c>
      <c r="H35" s="1">
        <v>2</v>
      </c>
      <c r="I35" s="1">
        <v>4</v>
      </c>
      <c r="J35" s="4"/>
      <c r="K35" s="4"/>
      <c r="L35" s="4"/>
      <c r="M35" s="4"/>
      <c r="N35" s="4"/>
      <c r="O35" s="1"/>
      <c r="P35" s="26">
        <f t="shared" si="0"/>
        <v>13</v>
      </c>
      <c r="Q35" s="4"/>
      <c r="T35" s="26">
        <f t="shared" si="1"/>
        <v>7</v>
      </c>
      <c r="U35" s="26">
        <f t="shared" si="2"/>
        <v>6</v>
      </c>
      <c r="V35" s="26">
        <f t="shared" si="3"/>
        <v>13</v>
      </c>
    </row>
    <row r="36" spans="1:22" x14ac:dyDescent="0.25">
      <c r="A36" s="4">
        <f>Marksheet!B35</f>
        <v>590027630</v>
      </c>
      <c r="B36" s="4" t="str">
        <f>Marksheet!A35</f>
        <v>Aarush Prasad</v>
      </c>
      <c r="C36" s="27" t="b">
        <v>1</v>
      </c>
      <c r="D36" s="1">
        <v>2</v>
      </c>
      <c r="E36" s="1">
        <v>2</v>
      </c>
      <c r="F36" s="1">
        <v>2</v>
      </c>
      <c r="G36" s="1">
        <v>2</v>
      </c>
      <c r="H36" s="1">
        <v>3</v>
      </c>
      <c r="I36" s="1">
        <v>6</v>
      </c>
      <c r="J36" s="4"/>
      <c r="K36" s="4"/>
      <c r="L36" s="4"/>
      <c r="M36" s="4"/>
      <c r="N36" s="4"/>
      <c r="O36" s="1"/>
      <c r="P36" s="26">
        <f t="shared" si="0"/>
        <v>17</v>
      </c>
      <c r="Q36" s="4"/>
      <c r="T36" s="26">
        <f t="shared" si="1"/>
        <v>9</v>
      </c>
      <c r="U36" s="26">
        <f t="shared" si="2"/>
        <v>8</v>
      </c>
      <c r="V36" s="26">
        <f t="shared" si="3"/>
        <v>17</v>
      </c>
    </row>
    <row r="37" spans="1:22" x14ac:dyDescent="0.25">
      <c r="A37" s="4">
        <f>Marksheet!B36</f>
        <v>590029219</v>
      </c>
      <c r="B37" s="4" t="str">
        <f>Marksheet!A36</f>
        <v>Aditya Mishra</v>
      </c>
      <c r="C37" s="27" t="b">
        <v>1</v>
      </c>
      <c r="D37" s="1">
        <v>2</v>
      </c>
      <c r="E37" s="1">
        <v>2</v>
      </c>
      <c r="F37" s="1">
        <v>2</v>
      </c>
      <c r="G37" s="1">
        <v>2</v>
      </c>
      <c r="H37" s="1">
        <v>6</v>
      </c>
      <c r="I37" s="1">
        <v>6</v>
      </c>
      <c r="J37" s="4"/>
      <c r="K37" s="4"/>
      <c r="L37" s="4"/>
      <c r="M37" s="4"/>
      <c r="N37" s="4"/>
      <c r="O37" s="1"/>
      <c r="P37" s="26">
        <f t="shared" si="0"/>
        <v>20</v>
      </c>
      <c r="Q37" s="4"/>
      <c r="T37" s="26">
        <f t="shared" si="1"/>
        <v>12</v>
      </c>
      <c r="U37" s="26">
        <f t="shared" si="2"/>
        <v>8</v>
      </c>
      <c r="V37" s="26">
        <f t="shared" si="3"/>
        <v>20</v>
      </c>
    </row>
    <row r="38" spans="1:22" x14ac:dyDescent="0.25">
      <c r="A38" s="4">
        <f>Marksheet!B37</f>
        <v>590028933</v>
      </c>
      <c r="B38" s="4" t="str">
        <f>Marksheet!A37</f>
        <v>Aman Barnwal</v>
      </c>
      <c r="C38" s="27" t="b">
        <v>1</v>
      </c>
      <c r="D38" s="1">
        <v>1</v>
      </c>
      <c r="E38" s="1">
        <v>0</v>
      </c>
      <c r="F38" s="1">
        <v>2</v>
      </c>
      <c r="G38" s="1">
        <v>0</v>
      </c>
      <c r="H38" s="1">
        <v>0</v>
      </c>
      <c r="I38" s="1">
        <v>0</v>
      </c>
      <c r="J38" s="4"/>
      <c r="K38" s="4"/>
      <c r="L38" s="4"/>
      <c r="M38" s="4"/>
      <c r="N38" s="4"/>
      <c r="O38" s="1"/>
      <c r="P38" s="26">
        <f t="shared" si="0"/>
        <v>3</v>
      </c>
      <c r="Q38" s="4"/>
      <c r="T38" s="26">
        <f t="shared" si="1"/>
        <v>3</v>
      </c>
      <c r="U38" s="26">
        <f t="shared" si="2"/>
        <v>0</v>
      </c>
      <c r="V38" s="26">
        <f t="shared" si="3"/>
        <v>3</v>
      </c>
    </row>
    <row r="39" spans="1:22" x14ac:dyDescent="0.25">
      <c r="A39" s="4">
        <f>Marksheet!B38</f>
        <v>590027859</v>
      </c>
      <c r="B39" s="4" t="str">
        <f>Marksheet!A38</f>
        <v>Ashutosh Shrivastava</v>
      </c>
      <c r="C39" s="27" t="b">
        <v>1</v>
      </c>
      <c r="D39" s="1">
        <v>0</v>
      </c>
      <c r="E39" s="1">
        <v>0</v>
      </c>
      <c r="F39" s="1">
        <v>2</v>
      </c>
      <c r="G39" s="1">
        <v>0</v>
      </c>
      <c r="H39" s="1">
        <v>1</v>
      </c>
      <c r="I39" s="1">
        <v>2</v>
      </c>
      <c r="J39" s="4"/>
      <c r="K39" s="4"/>
      <c r="L39" s="4"/>
      <c r="M39" s="4"/>
      <c r="N39" s="4"/>
      <c r="O39" s="1"/>
      <c r="P39" s="26">
        <f t="shared" si="0"/>
        <v>5</v>
      </c>
      <c r="Q39" s="4"/>
      <c r="T39" s="26">
        <f t="shared" si="1"/>
        <v>3</v>
      </c>
      <c r="U39" s="26">
        <f t="shared" si="2"/>
        <v>2</v>
      </c>
      <c r="V39" s="26">
        <f t="shared" si="3"/>
        <v>5</v>
      </c>
    </row>
    <row r="40" spans="1:22" x14ac:dyDescent="0.25">
      <c r="A40" s="4">
        <f>Marksheet!B39</f>
        <v>590028682</v>
      </c>
      <c r="B40" s="4" t="str">
        <f>Marksheet!A39</f>
        <v>Ayan Pande</v>
      </c>
      <c r="C40" s="27" t="b">
        <v>1</v>
      </c>
      <c r="D40" s="1">
        <v>0.5</v>
      </c>
      <c r="E40" s="1">
        <v>0.5</v>
      </c>
      <c r="F40" s="1">
        <v>0.5</v>
      </c>
      <c r="G40" s="1">
        <v>0</v>
      </c>
      <c r="H40" s="1">
        <v>2</v>
      </c>
      <c r="I40" s="1">
        <v>0</v>
      </c>
      <c r="J40" s="4"/>
      <c r="K40" s="4"/>
      <c r="L40" s="4"/>
      <c r="M40" s="4"/>
      <c r="N40" s="4"/>
      <c r="O40" s="1"/>
      <c r="P40" s="26">
        <f t="shared" si="0"/>
        <v>3.5</v>
      </c>
      <c r="Q40" s="4"/>
      <c r="T40" s="26">
        <f t="shared" si="1"/>
        <v>3.5</v>
      </c>
      <c r="U40" s="26">
        <f t="shared" si="2"/>
        <v>0</v>
      </c>
      <c r="V40" s="26">
        <f t="shared" si="3"/>
        <v>3.5</v>
      </c>
    </row>
    <row r="41" spans="1:22" x14ac:dyDescent="0.25">
      <c r="A41" s="4">
        <f>Marksheet!B40</f>
        <v>590023917</v>
      </c>
      <c r="B41" s="4" t="str">
        <f>Marksheet!A40</f>
        <v>Ayush Pratap Singh</v>
      </c>
      <c r="C41" s="27" t="b">
        <v>1</v>
      </c>
      <c r="D41" s="1">
        <v>1</v>
      </c>
      <c r="E41" s="1">
        <v>0</v>
      </c>
      <c r="F41" s="1">
        <v>2</v>
      </c>
      <c r="G41" s="1">
        <v>1</v>
      </c>
      <c r="H41" s="1">
        <v>4</v>
      </c>
      <c r="I41" s="1">
        <v>0</v>
      </c>
      <c r="J41" s="4"/>
      <c r="K41" s="4"/>
      <c r="L41" s="4"/>
      <c r="M41" s="4"/>
      <c r="N41" s="4"/>
      <c r="O41" s="1"/>
      <c r="P41" s="26">
        <f t="shared" si="0"/>
        <v>8</v>
      </c>
      <c r="Q41" s="4"/>
      <c r="T41" s="26">
        <f t="shared" si="1"/>
        <v>7</v>
      </c>
      <c r="U41" s="26">
        <f t="shared" si="2"/>
        <v>1</v>
      </c>
      <c r="V41" s="26">
        <f t="shared" si="3"/>
        <v>8</v>
      </c>
    </row>
    <row r="42" spans="1:22" x14ac:dyDescent="0.25">
      <c r="A42" s="4">
        <f>Marksheet!B41</f>
        <v>590023785</v>
      </c>
      <c r="B42" s="4" t="str">
        <f>Marksheet!A41</f>
        <v>Gayatri Bhatt</v>
      </c>
      <c r="C42" s="27" t="b">
        <v>1</v>
      </c>
      <c r="D42" s="1">
        <v>1</v>
      </c>
      <c r="E42" s="1">
        <v>1</v>
      </c>
      <c r="F42" s="1">
        <v>2</v>
      </c>
      <c r="G42" s="1">
        <v>2</v>
      </c>
      <c r="H42" s="1">
        <v>3</v>
      </c>
      <c r="I42" s="1">
        <v>6</v>
      </c>
      <c r="J42" s="4"/>
      <c r="K42" s="4"/>
      <c r="L42" s="4"/>
      <c r="M42" s="4"/>
      <c r="N42" s="4"/>
      <c r="O42" s="1"/>
      <c r="P42" s="26">
        <f t="shared" si="0"/>
        <v>15</v>
      </c>
      <c r="Q42" s="4"/>
      <c r="T42" s="26">
        <f t="shared" si="1"/>
        <v>7</v>
      </c>
      <c r="U42" s="26">
        <f t="shared" si="2"/>
        <v>8</v>
      </c>
      <c r="V42" s="26">
        <f t="shared" si="3"/>
        <v>15</v>
      </c>
    </row>
    <row r="43" spans="1:22" x14ac:dyDescent="0.25">
      <c r="A43" s="4">
        <f>Marksheet!B42</f>
        <v>590029264</v>
      </c>
      <c r="B43" s="4" t="str">
        <f>Marksheet!A42</f>
        <v>Harsh Mudgal</v>
      </c>
      <c r="C43" s="27" t="b">
        <v>0</v>
      </c>
      <c r="D43" s="1"/>
      <c r="E43" s="1"/>
      <c r="F43" s="1"/>
      <c r="G43" s="1"/>
      <c r="H43" s="1"/>
      <c r="I43" s="1"/>
      <c r="J43" s="4"/>
      <c r="K43" s="4"/>
      <c r="L43" s="4"/>
      <c r="M43" s="4"/>
      <c r="N43" s="4"/>
      <c r="O43" s="1"/>
      <c r="P43" s="26">
        <f t="shared" si="0"/>
        <v>0</v>
      </c>
      <c r="Q43" s="4"/>
      <c r="T43" s="26">
        <f t="shared" si="1"/>
        <v>0</v>
      </c>
      <c r="U43" s="26">
        <f t="shared" si="2"/>
        <v>0</v>
      </c>
      <c r="V43" s="26">
        <f t="shared" si="3"/>
        <v>0</v>
      </c>
    </row>
    <row r="44" spans="1:22" x14ac:dyDescent="0.25">
      <c r="A44" s="4">
        <f>Marksheet!B43</f>
        <v>590029042</v>
      </c>
      <c r="B44" s="4" t="str">
        <f>Marksheet!A43</f>
        <v>Kanan Nidhania</v>
      </c>
      <c r="C44" s="27" t="b">
        <v>0</v>
      </c>
      <c r="D44" s="1"/>
      <c r="E44" s="1"/>
      <c r="F44" s="1"/>
      <c r="G44" s="1"/>
      <c r="H44" s="1"/>
      <c r="I44" s="1"/>
      <c r="J44" s="4"/>
      <c r="K44" s="4"/>
      <c r="L44" s="4"/>
      <c r="M44" s="4"/>
      <c r="N44" s="4"/>
      <c r="O44" s="1"/>
      <c r="P44" s="26">
        <f t="shared" si="0"/>
        <v>0</v>
      </c>
      <c r="Q44" s="4"/>
      <c r="T44" s="26">
        <f t="shared" si="1"/>
        <v>0</v>
      </c>
      <c r="U44" s="26">
        <f t="shared" si="2"/>
        <v>0</v>
      </c>
      <c r="V44" s="26">
        <f t="shared" si="3"/>
        <v>0</v>
      </c>
    </row>
    <row r="45" spans="1:22" x14ac:dyDescent="0.25">
      <c r="A45" s="4">
        <f>Marksheet!B44</f>
        <v>590029336</v>
      </c>
      <c r="B45" s="4" t="str">
        <f>Marksheet!A44</f>
        <v>Kanishka Diwakar</v>
      </c>
      <c r="C45" s="27" t="b">
        <v>1</v>
      </c>
      <c r="D45" s="1">
        <v>1.5</v>
      </c>
      <c r="E45" s="1">
        <v>1.5</v>
      </c>
      <c r="F45" s="1">
        <v>2</v>
      </c>
      <c r="G45" s="1">
        <v>2</v>
      </c>
      <c r="H45" s="1">
        <v>4</v>
      </c>
      <c r="I45" s="1">
        <v>4</v>
      </c>
      <c r="J45" s="4"/>
      <c r="K45" s="4"/>
      <c r="L45" s="4"/>
      <c r="M45" s="4"/>
      <c r="N45" s="4"/>
      <c r="O45" s="1"/>
      <c r="P45" s="26">
        <f t="shared" si="0"/>
        <v>15</v>
      </c>
      <c r="Q45" s="4"/>
      <c r="T45" s="26">
        <f t="shared" si="1"/>
        <v>9</v>
      </c>
      <c r="U45" s="26">
        <f t="shared" si="2"/>
        <v>6</v>
      </c>
      <c r="V45" s="26">
        <f t="shared" si="3"/>
        <v>15</v>
      </c>
    </row>
    <row r="46" spans="1:22" x14ac:dyDescent="0.25">
      <c r="A46" s="4">
        <f>Marksheet!B45</f>
        <v>590029233</v>
      </c>
      <c r="B46" s="4" t="str">
        <f>Marksheet!A45</f>
        <v>Keshav Chahda</v>
      </c>
      <c r="C46" s="27" t="b">
        <v>1</v>
      </c>
      <c r="D46" s="1">
        <v>1</v>
      </c>
      <c r="E46" s="1">
        <v>1</v>
      </c>
      <c r="F46" s="1">
        <v>1.5</v>
      </c>
      <c r="G46" s="1">
        <v>1</v>
      </c>
      <c r="H46" s="1">
        <v>1</v>
      </c>
      <c r="I46" s="1">
        <v>2</v>
      </c>
      <c r="J46" s="4"/>
      <c r="K46" s="4"/>
      <c r="L46" s="4"/>
      <c r="M46" s="4"/>
      <c r="N46" s="4"/>
      <c r="O46" s="1"/>
      <c r="P46" s="26">
        <f t="shared" si="0"/>
        <v>7.5</v>
      </c>
      <c r="Q46" s="4"/>
      <c r="T46" s="26">
        <f t="shared" si="1"/>
        <v>4.5</v>
      </c>
      <c r="U46" s="26">
        <f t="shared" si="2"/>
        <v>3</v>
      </c>
      <c r="V46" s="26">
        <f t="shared" si="3"/>
        <v>7.5</v>
      </c>
    </row>
    <row r="47" spans="1:22" x14ac:dyDescent="0.25">
      <c r="A47" s="4">
        <f>Marksheet!B46</f>
        <v>590029328</v>
      </c>
      <c r="B47" s="4" t="str">
        <f>Marksheet!A46</f>
        <v>Lakshay Dhanda</v>
      </c>
      <c r="C47" s="27" t="b">
        <v>1</v>
      </c>
      <c r="D47" s="1">
        <v>1.5</v>
      </c>
      <c r="E47" s="1">
        <v>1</v>
      </c>
      <c r="F47" s="1">
        <v>2</v>
      </c>
      <c r="G47" s="1">
        <v>1.5</v>
      </c>
      <c r="H47" s="1">
        <v>2</v>
      </c>
      <c r="I47" s="1">
        <v>0</v>
      </c>
      <c r="J47" s="4"/>
      <c r="K47" s="4"/>
      <c r="L47" s="4"/>
      <c r="M47" s="4"/>
      <c r="N47" s="4"/>
      <c r="O47" s="1"/>
      <c r="P47" s="26">
        <f t="shared" si="0"/>
        <v>8</v>
      </c>
      <c r="Q47" s="4"/>
      <c r="T47" s="26">
        <f t="shared" si="1"/>
        <v>6.5</v>
      </c>
      <c r="U47" s="26">
        <f t="shared" si="2"/>
        <v>1.5</v>
      </c>
      <c r="V47" s="26">
        <f t="shared" si="3"/>
        <v>8</v>
      </c>
    </row>
    <row r="48" spans="1:22" x14ac:dyDescent="0.25">
      <c r="A48" s="4">
        <f>Marksheet!B47</f>
        <v>590028608</v>
      </c>
      <c r="B48" s="4" t="str">
        <f>Marksheet!A47</f>
        <v>Lakshya Singh</v>
      </c>
      <c r="C48" s="27" t="b">
        <v>1</v>
      </c>
      <c r="D48" s="1">
        <v>2</v>
      </c>
      <c r="E48" s="1">
        <v>2</v>
      </c>
      <c r="F48" s="1">
        <v>1.5</v>
      </c>
      <c r="G48" s="1">
        <v>1</v>
      </c>
      <c r="H48" s="1">
        <v>4</v>
      </c>
      <c r="I48" s="1">
        <v>4</v>
      </c>
      <c r="J48" s="4"/>
      <c r="K48" s="4"/>
      <c r="L48" s="4"/>
      <c r="M48" s="4"/>
      <c r="N48" s="4"/>
      <c r="O48" s="1"/>
      <c r="P48" s="26">
        <f t="shared" si="0"/>
        <v>14.5</v>
      </c>
      <c r="Q48" s="4"/>
      <c r="T48" s="26">
        <f t="shared" si="1"/>
        <v>9.5</v>
      </c>
      <c r="U48" s="26">
        <f t="shared" si="2"/>
        <v>5</v>
      </c>
      <c r="V48" s="26">
        <f t="shared" si="3"/>
        <v>14.5</v>
      </c>
    </row>
    <row r="49" spans="1:22" x14ac:dyDescent="0.25">
      <c r="A49" s="4">
        <f>Marksheet!B48</f>
        <v>590028605</v>
      </c>
      <c r="B49" s="4" t="str">
        <f>Marksheet!A48</f>
        <v>Mayank Chand Ramola</v>
      </c>
      <c r="C49" s="27" t="b">
        <v>1</v>
      </c>
      <c r="D49" s="1">
        <v>1.5</v>
      </c>
      <c r="E49" s="1">
        <v>1.5</v>
      </c>
      <c r="F49" s="1">
        <v>2</v>
      </c>
      <c r="G49" s="1">
        <v>2</v>
      </c>
      <c r="H49" s="1">
        <v>2</v>
      </c>
      <c r="I49" s="1">
        <v>0</v>
      </c>
      <c r="J49" s="4"/>
      <c r="K49" s="4"/>
      <c r="L49" s="4"/>
      <c r="M49" s="4"/>
      <c r="N49" s="4"/>
      <c r="O49" s="1"/>
      <c r="P49" s="26">
        <f t="shared" si="0"/>
        <v>9</v>
      </c>
      <c r="Q49" s="4"/>
      <c r="T49" s="26">
        <f t="shared" si="1"/>
        <v>7</v>
      </c>
      <c r="U49" s="26">
        <f t="shared" si="2"/>
        <v>2</v>
      </c>
      <c r="V49" s="26">
        <f t="shared" si="3"/>
        <v>9</v>
      </c>
    </row>
    <row r="50" spans="1:22" x14ac:dyDescent="0.25">
      <c r="A50" s="4">
        <f>Marksheet!B49</f>
        <v>590026626</v>
      </c>
      <c r="B50" s="4" t="str">
        <f>Marksheet!A49</f>
        <v>Mukesh Patel</v>
      </c>
      <c r="C50" s="27" t="b">
        <v>0</v>
      </c>
      <c r="D50" s="1"/>
      <c r="E50" s="1"/>
      <c r="F50" s="1"/>
      <c r="G50" s="1"/>
      <c r="H50" s="1"/>
      <c r="I50" s="1"/>
      <c r="J50" s="4"/>
      <c r="K50" s="4"/>
      <c r="L50" s="4"/>
      <c r="M50" s="4"/>
      <c r="N50" s="4"/>
      <c r="O50" s="1"/>
      <c r="P50" s="26">
        <f t="shared" si="0"/>
        <v>0</v>
      </c>
      <c r="Q50" s="4"/>
      <c r="T50" s="26">
        <f t="shared" si="1"/>
        <v>0</v>
      </c>
      <c r="U50" s="26">
        <f t="shared" si="2"/>
        <v>0</v>
      </c>
      <c r="V50" s="26">
        <f t="shared" si="3"/>
        <v>0</v>
      </c>
    </row>
    <row r="51" spans="1:22" x14ac:dyDescent="0.25">
      <c r="A51" s="4">
        <f>Marksheet!B50</f>
        <v>590029310</v>
      </c>
      <c r="B51" s="4" t="str">
        <f>Marksheet!A50</f>
        <v>Nipun Singh</v>
      </c>
      <c r="C51" s="27" t="b">
        <v>1</v>
      </c>
      <c r="D51" s="1">
        <v>2</v>
      </c>
      <c r="E51" s="1">
        <v>0.5</v>
      </c>
      <c r="F51" s="1">
        <v>1.5</v>
      </c>
      <c r="G51" s="1">
        <v>1</v>
      </c>
      <c r="H51" s="1">
        <v>0</v>
      </c>
      <c r="I51" s="1">
        <v>0</v>
      </c>
      <c r="J51" s="4"/>
      <c r="K51" s="4"/>
      <c r="L51" s="4"/>
      <c r="M51" s="4"/>
      <c r="N51" s="4"/>
      <c r="O51" s="1"/>
      <c r="P51" s="26">
        <f t="shared" si="0"/>
        <v>5</v>
      </c>
      <c r="Q51" s="4"/>
      <c r="T51" s="26">
        <f t="shared" si="1"/>
        <v>4</v>
      </c>
      <c r="U51" s="26">
        <f t="shared" si="2"/>
        <v>1</v>
      </c>
      <c r="V51" s="26">
        <f t="shared" si="3"/>
        <v>5</v>
      </c>
    </row>
    <row r="52" spans="1:22" x14ac:dyDescent="0.25">
      <c r="A52" s="4">
        <f>Marksheet!B51</f>
        <v>590029319</v>
      </c>
      <c r="B52" s="4" t="str">
        <f>Marksheet!A51</f>
        <v>Paras Bhall</v>
      </c>
      <c r="C52" s="27" t="b">
        <v>1</v>
      </c>
      <c r="D52" s="1">
        <v>2</v>
      </c>
      <c r="E52" s="1">
        <v>1</v>
      </c>
      <c r="F52" s="1">
        <v>2</v>
      </c>
      <c r="G52" s="1">
        <v>2</v>
      </c>
      <c r="H52" s="1">
        <v>4</v>
      </c>
      <c r="I52" s="1">
        <v>6</v>
      </c>
      <c r="J52" s="4"/>
      <c r="K52" s="4"/>
      <c r="L52" s="4"/>
      <c r="M52" s="4"/>
      <c r="N52" s="4"/>
      <c r="O52" s="1"/>
      <c r="P52" s="26">
        <f t="shared" si="0"/>
        <v>17</v>
      </c>
      <c r="Q52" s="4"/>
      <c r="T52" s="26">
        <f t="shared" si="1"/>
        <v>9</v>
      </c>
      <c r="U52" s="26">
        <f t="shared" si="2"/>
        <v>8</v>
      </c>
      <c r="V52" s="26">
        <f t="shared" si="3"/>
        <v>17</v>
      </c>
    </row>
    <row r="53" spans="1:22" x14ac:dyDescent="0.25">
      <c r="A53" s="4">
        <f>Marksheet!B52</f>
        <v>590029339</v>
      </c>
      <c r="B53" s="4" t="str">
        <f>Marksheet!A52</f>
        <v>Raghav Kumar Goyal</v>
      </c>
      <c r="C53" s="27" t="b">
        <v>0</v>
      </c>
      <c r="D53" s="1"/>
      <c r="E53" s="1"/>
      <c r="F53" s="1"/>
      <c r="G53" s="1"/>
      <c r="H53" s="1"/>
      <c r="I53" s="1"/>
      <c r="J53" s="4"/>
      <c r="K53" s="4"/>
      <c r="L53" s="4"/>
      <c r="M53" s="4"/>
      <c r="N53" s="4"/>
      <c r="O53" s="1"/>
      <c r="P53" s="26">
        <f t="shared" si="0"/>
        <v>0</v>
      </c>
      <c r="Q53" s="4"/>
      <c r="T53" s="26">
        <f t="shared" si="1"/>
        <v>0</v>
      </c>
      <c r="U53" s="26">
        <f t="shared" si="2"/>
        <v>0</v>
      </c>
      <c r="V53" s="26">
        <f t="shared" si="3"/>
        <v>0</v>
      </c>
    </row>
    <row r="54" spans="1:22" x14ac:dyDescent="0.25">
      <c r="A54" s="4">
        <f>Marksheet!B53</f>
        <v>590029148</v>
      </c>
      <c r="B54" s="4" t="str">
        <f>Marksheet!A53</f>
        <v>Rahul</v>
      </c>
      <c r="C54" s="27" t="b">
        <v>1</v>
      </c>
      <c r="D54" s="1">
        <v>2</v>
      </c>
      <c r="E54" s="1">
        <v>2</v>
      </c>
      <c r="F54" s="1">
        <v>2</v>
      </c>
      <c r="G54" s="1">
        <v>1.5</v>
      </c>
      <c r="H54" s="1">
        <v>4</v>
      </c>
      <c r="I54" s="1">
        <v>0</v>
      </c>
      <c r="J54" s="4"/>
      <c r="K54" s="4"/>
      <c r="L54" s="4"/>
      <c r="M54" s="4"/>
      <c r="N54" s="4"/>
      <c r="O54" s="1"/>
      <c r="P54" s="26">
        <f t="shared" si="0"/>
        <v>11.5</v>
      </c>
      <c r="Q54" s="4"/>
      <c r="T54" s="26">
        <f t="shared" si="1"/>
        <v>10</v>
      </c>
      <c r="U54" s="26">
        <f t="shared" si="2"/>
        <v>1.5</v>
      </c>
      <c r="V54" s="26">
        <f t="shared" si="3"/>
        <v>11.5</v>
      </c>
    </row>
    <row r="55" spans="1:22" x14ac:dyDescent="0.25">
      <c r="A55" s="4">
        <f>Marksheet!B54</f>
        <v>590029309</v>
      </c>
      <c r="B55" s="4" t="str">
        <f>Marksheet!A54</f>
        <v>Rahul Singh</v>
      </c>
      <c r="C55" s="27" t="b">
        <v>1</v>
      </c>
      <c r="D55" s="1">
        <v>2</v>
      </c>
      <c r="E55" s="1">
        <v>1.5</v>
      </c>
      <c r="F55" s="1">
        <v>1.5</v>
      </c>
      <c r="G55" s="1">
        <v>1</v>
      </c>
      <c r="H55" s="1">
        <v>6</v>
      </c>
      <c r="I55" s="1">
        <v>6</v>
      </c>
      <c r="J55" s="4"/>
      <c r="K55" s="4"/>
      <c r="L55" s="4"/>
      <c r="M55" s="4"/>
      <c r="N55" s="4"/>
      <c r="O55" s="1"/>
      <c r="P55" s="26">
        <f t="shared" si="0"/>
        <v>18</v>
      </c>
      <c r="Q55" s="4"/>
      <c r="T55" s="26">
        <f t="shared" si="1"/>
        <v>11</v>
      </c>
      <c r="U55" s="26">
        <f t="shared" si="2"/>
        <v>7</v>
      </c>
      <c r="V55" s="26">
        <f t="shared" si="3"/>
        <v>18</v>
      </c>
    </row>
    <row r="56" spans="1:22" x14ac:dyDescent="0.25">
      <c r="A56" s="4">
        <f>Marksheet!B55</f>
        <v>590028838</v>
      </c>
      <c r="B56" s="4" t="str">
        <f>Marksheet!A55</f>
        <v>Satyam Singh</v>
      </c>
      <c r="C56" s="27" t="b">
        <v>1</v>
      </c>
      <c r="D56" s="1">
        <v>0.5</v>
      </c>
      <c r="E56" s="1">
        <v>0.5</v>
      </c>
      <c r="F56" s="1">
        <v>1</v>
      </c>
      <c r="G56" s="1">
        <v>0</v>
      </c>
      <c r="H56" s="1">
        <v>0</v>
      </c>
      <c r="I56" s="1">
        <v>0</v>
      </c>
      <c r="J56" s="4"/>
      <c r="K56" s="4"/>
      <c r="L56" s="4"/>
      <c r="M56" s="4"/>
      <c r="N56" s="4"/>
      <c r="O56" s="1"/>
      <c r="P56" s="26">
        <f t="shared" si="0"/>
        <v>2</v>
      </c>
      <c r="Q56" s="4"/>
      <c r="T56" s="26">
        <f t="shared" si="1"/>
        <v>2</v>
      </c>
      <c r="U56" s="26">
        <f t="shared" si="2"/>
        <v>0</v>
      </c>
      <c r="V56" s="26">
        <f t="shared" si="3"/>
        <v>2</v>
      </c>
    </row>
    <row r="57" spans="1:22" x14ac:dyDescent="0.25">
      <c r="A57" s="4">
        <f>Marksheet!B56</f>
        <v>590029107</v>
      </c>
      <c r="B57" s="4" t="str">
        <f>Marksheet!A56</f>
        <v>Shashwat Agrawal</v>
      </c>
      <c r="C57" s="27" t="b">
        <v>1</v>
      </c>
      <c r="D57" s="1">
        <v>1</v>
      </c>
      <c r="E57" s="1">
        <v>1.5</v>
      </c>
      <c r="F57" s="1">
        <v>2</v>
      </c>
      <c r="G57" s="1">
        <v>1.5</v>
      </c>
      <c r="H57" s="1">
        <v>6</v>
      </c>
      <c r="I57" s="1">
        <v>6</v>
      </c>
      <c r="J57" s="4"/>
      <c r="K57" s="4"/>
      <c r="L57" s="4"/>
      <c r="M57" s="4"/>
      <c r="N57" s="4"/>
      <c r="O57" s="1"/>
      <c r="P57" s="26">
        <f t="shared" si="0"/>
        <v>18</v>
      </c>
      <c r="Q57" s="4"/>
      <c r="T57" s="26">
        <f t="shared" si="1"/>
        <v>10.5</v>
      </c>
      <c r="U57" s="26">
        <f t="shared" si="2"/>
        <v>7.5</v>
      </c>
      <c r="V57" s="26">
        <f t="shared" si="3"/>
        <v>18</v>
      </c>
    </row>
    <row r="58" spans="1:22" x14ac:dyDescent="0.25">
      <c r="A58" s="4">
        <f>Marksheet!B57</f>
        <v>590029266</v>
      </c>
      <c r="B58" s="4" t="str">
        <f>Marksheet!A57</f>
        <v>Siddhant Gurung</v>
      </c>
      <c r="C58" s="27" t="b">
        <v>1</v>
      </c>
      <c r="D58" s="1">
        <v>2</v>
      </c>
      <c r="E58" s="1">
        <v>2</v>
      </c>
      <c r="F58" s="1">
        <v>2</v>
      </c>
      <c r="G58" s="1">
        <v>2</v>
      </c>
      <c r="H58" s="1">
        <v>4</v>
      </c>
      <c r="I58" s="1">
        <v>3</v>
      </c>
      <c r="J58" s="4"/>
      <c r="K58" s="4"/>
      <c r="L58" s="4"/>
      <c r="M58" s="4"/>
      <c r="N58" s="4"/>
      <c r="O58" s="1"/>
      <c r="P58" s="26">
        <f t="shared" si="0"/>
        <v>15</v>
      </c>
      <c r="Q58" s="4"/>
      <c r="T58" s="26">
        <f t="shared" si="1"/>
        <v>10</v>
      </c>
      <c r="U58" s="26">
        <f t="shared" si="2"/>
        <v>5</v>
      </c>
      <c r="V58" s="26">
        <f t="shared" si="3"/>
        <v>15</v>
      </c>
    </row>
    <row r="59" spans="1:22" x14ac:dyDescent="0.25">
      <c r="A59" s="4">
        <f>Marksheet!B58</f>
        <v>590029354</v>
      </c>
      <c r="B59" s="4" t="str">
        <f>Marksheet!A58</f>
        <v>Simarjot Kaur Gill</v>
      </c>
      <c r="C59" s="27" t="b">
        <v>1</v>
      </c>
      <c r="D59" s="1">
        <v>2</v>
      </c>
      <c r="E59" s="1">
        <v>2</v>
      </c>
      <c r="F59" s="1">
        <v>2</v>
      </c>
      <c r="G59" s="1">
        <v>0</v>
      </c>
      <c r="H59" s="1">
        <v>6</v>
      </c>
      <c r="I59" s="1">
        <v>6</v>
      </c>
      <c r="J59" s="4"/>
      <c r="K59" s="4"/>
      <c r="L59" s="4"/>
      <c r="M59" s="4"/>
      <c r="N59" s="4"/>
      <c r="O59" s="1"/>
      <c r="P59" s="26">
        <f t="shared" si="0"/>
        <v>18</v>
      </c>
      <c r="Q59" s="4"/>
      <c r="T59" s="26">
        <f t="shared" si="1"/>
        <v>12</v>
      </c>
      <c r="U59" s="26">
        <f t="shared" si="2"/>
        <v>6</v>
      </c>
      <c r="V59" s="26">
        <f t="shared" si="3"/>
        <v>18</v>
      </c>
    </row>
    <row r="60" spans="1:22" x14ac:dyDescent="0.25">
      <c r="A60" s="4">
        <f>Marksheet!B59</f>
        <v>590029349</v>
      </c>
      <c r="B60" s="4" t="str">
        <f>Marksheet!A59</f>
        <v>Tanishq Bansal</v>
      </c>
      <c r="C60" s="27" t="b">
        <v>1</v>
      </c>
      <c r="D60" s="1">
        <v>1.5</v>
      </c>
      <c r="E60" s="1">
        <v>1</v>
      </c>
      <c r="F60" s="1">
        <v>2</v>
      </c>
      <c r="G60" s="1">
        <v>2</v>
      </c>
      <c r="H60" s="1">
        <v>2</v>
      </c>
      <c r="I60" s="1">
        <v>4</v>
      </c>
      <c r="J60" s="4"/>
      <c r="K60" s="4"/>
      <c r="L60" s="4"/>
      <c r="M60" s="4"/>
      <c r="N60" s="4"/>
      <c r="O60" s="1"/>
      <c r="P60" s="26">
        <f t="shared" si="0"/>
        <v>12.5</v>
      </c>
      <c r="Q60" s="4"/>
      <c r="T60" s="26">
        <f t="shared" si="1"/>
        <v>6.5</v>
      </c>
      <c r="U60" s="26">
        <f t="shared" si="2"/>
        <v>6</v>
      </c>
      <c r="V60" s="26">
        <f t="shared" si="3"/>
        <v>12.5</v>
      </c>
    </row>
    <row r="61" spans="1:22" x14ac:dyDescent="0.25">
      <c r="A61" s="4">
        <f>Marksheet!B60</f>
        <v>590029302</v>
      </c>
      <c r="B61" s="4" t="str">
        <f>Marksheet!A60</f>
        <v>Tanmay Amit Verma</v>
      </c>
      <c r="C61" s="27" t="b">
        <v>1</v>
      </c>
      <c r="D61" s="1">
        <v>2</v>
      </c>
      <c r="E61" s="1">
        <v>1.5</v>
      </c>
      <c r="F61" s="1">
        <v>1.5</v>
      </c>
      <c r="G61" s="1">
        <v>2</v>
      </c>
      <c r="H61" s="1">
        <v>5</v>
      </c>
      <c r="I61" s="1">
        <v>3</v>
      </c>
      <c r="J61" s="4"/>
      <c r="K61" s="4"/>
      <c r="L61" s="4"/>
      <c r="M61" s="4"/>
      <c r="N61" s="4"/>
      <c r="O61" s="1"/>
      <c r="P61" s="26">
        <f t="shared" si="0"/>
        <v>15</v>
      </c>
      <c r="Q61" s="4"/>
      <c r="T61" s="26">
        <f t="shared" si="1"/>
        <v>10</v>
      </c>
      <c r="U61" s="26">
        <f t="shared" si="2"/>
        <v>5</v>
      </c>
      <c r="V61" s="26">
        <f t="shared" si="3"/>
        <v>15</v>
      </c>
    </row>
    <row r="62" spans="1:22" x14ac:dyDescent="0.25">
      <c r="A62" s="4">
        <f>Marksheet!B61</f>
        <v>590029262</v>
      </c>
      <c r="B62" s="4" t="str">
        <f>Marksheet!A61</f>
        <v>Vandana Yadav</v>
      </c>
      <c r="C62" s="27" t="b">
        <v>1</v>
      </c>
      <c r="D62" s="1">
        <v>2</v>
      </c>
      <c r="E62" s="1">
        <v>2</v>
      </c>
      <c r="F62" s="1">
        <v>2</v>
      </c>
      <c r="G62" s="1">
        <v>2</v>
      </c>
      <c r="H62" s="1">
        <v>6</v>
      </c>
      <c r="I62" s="1">
        <v>5</v>
      </c>
      <c r="J62" s="4"/>
      <c r="K62" s="4"/>
      <c r="L62" s="4"/>
      <c r="M62" s="4"/>
      <c r="N62" s="4"/>
      <c r="O62" s="1"/>
      <c r="P62" s="26">
        <f t="shared" si="0"/>
        <v>19</v>
      </c>
      <c r="Q62" s="4"/>
      <c r="T62" s="26">
        <f t="shared" si="1"/>
        <v>12</v>
      </c>
      <c r="U62" s="26">
        <f t="shared" si="2"/>
        <v>7</v>
      </c>
      <c r="V62" s="26">
        <f t="shared" si="3"/>
        <v>19</v>
      </c>
    </row>
    <row r="63" spans="1:22" x14ac:dyDescent="0.25">
      <c r="A63" s="4">
        <f>Marksheet!B62</f>
        <v>590029285</v>
      </c>
      <c r="B63" s="4" t="str">
        <f>Marksheet!A62</f>
        <v>Vidit Ahuja</v>
      </c>
      <c r="C63" s="27" t="b">
        <v>1</v>
      </c>
      <c r="D63" s="1">
        <v>1.5</v>
      </c>
      <c r="E63" s="1">
        <v>1.5</v>
      </c>
      <c r="F63" s="1">
        <v>2</v>
      </c>
      <c r="G63" s="1">
        <v>1</v>
      </c>
      <c r="H63" s="1">
        <v>4</v>
      </c>
      <c r="I63" s="1">
        <v>3</v>
      </c>
      <c r="J63" s="4"/>
      <c r="K63" s="4"/>
      <c r="L63" s="4"/>
      <c r="M63" s="4"/>
      <c r="N63" s="4"/>
      <c r="O63" s="1"/>
      <c r="P63" s="26">
        <f t="shared" si="0"/>
        <v>13</v>
      </c>
      <c r="Q63" s="4"/>
      <c r="T63" s="26">
        <f t="shared" si="1"/>
        <v>9</v>
      </c>
      <c r="U63" s="26">
        <f t="shared" si="2"/>
        <v>4</v>
      </c>
      <c r="V63" s="26">
        <f t="shared" si="3"/>
        <v>13</v>
      </c>
    </row>
    <row r="64" spans="1:22" x14ac:dyDescent="0.25">
      <c r="A64" s="4">
        <f>Marksheet!B63</f>
        <v>590029353</v>
      </c>
      <c r="B64" s="4" t="str">
        <f>Marksheet!A63</f>
        <v>Vinit Kumar</v>
      </c>
      <c r="C64" s="27" t="b">
        <v>1</v>
      </c>
      <c r="D64" s="1">
        <v>2</v>
      </c>
      <c r="E64" s="1">
        <v>2</v>
      </c>
      <c r="F64" s="1">
        <v>2</v>
      </c>
      <c r="G64" s="1">
        <v>0</v>
      </c>
      <c r="H64" s="1">
        <v>6</v>
      </c>
      <c r="I64" s="1">
        <v>5</v>
      </c>
      <c r="J64" s="4"/>
      <c r="K64" s="4"/>
      <c r="L64" s="4"/>
      <c r="M64" s="4"/>
      <c r="N64" s="4"/>
      <c r="O64" s="1"/>
      <c r="P64" s="26">
        <f t="shared" si="0"/>
        <v>17</v>
      </c>
      <c r="Q64" s="4"/>
      <c r="T64" s="26">
        <f t="shared" si="1"/>
        <v>12</v>
      </c>
      <c r="U64" s="26">
        <f t="shared" si="2"/>
        <v>5</v>
      </c>
      <c r="V64" s="26">
        <f t="shared" si="3"/>
        <v>17</v>
      </c>
    </row>
    <row r="65" spans="1:22" x14ac:dyDescent="0.25">
      <c r="A65" s="4"/>
      <c r="B65" s="4"/>
      <c r="C65" s="2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"/>
      <c r="P65" s="26"/>
      <c r="Q65" s="4"/>
      <c r="T65" s="26"/>
      <c r="U65" s="26"/>
      <c r="V65" s="26"/>
    </row>
  </sheetData>
  <mergeCells count="2">
    <mergeCell ref="A1:Q1"/>
    <mergeCell ref="A2:Q2"/>
  </mergeCells>
  <pageMargins left="0.7" right="0.7" top="0.75" bottom="0.75" header="0.3" footer="0.3"/>
  <pageSetup paperSize="9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20EC-5887-4CA4-8B00-C82693C60F77}">
  <sheetPr>
    <pageSetUpPr fitToPage="1"/>
  </sheetPr>
  <dimension ref="A1:U65"/>
  <sheetViews>
    <sheetView workbookViewId="0">
      <selection activeCell="D58" sqref="D58"/>
    </sheetView>
  </sheetViews>
  <sheetFormatPr defaultRowHeight="15" x14ac:dyDescent="0.25"/>
  <cols>
    <col min="1" max="1" width="25" customWidth="1"/>
    <col min="2" max="2" width="15.140625" style="11" customWidth="1"/>
    <col min="3" max="3" width="10.140625" style="11" customWidth="1"/>
    <col min="16" max="16" width="13.140625" customWidth="1"/>
  </cols>
  <sheetData>
    <row r="1" spans="1:21" ht="24.75" x14ac:dyDescent="0.4">
      <c r="A1" s="47" t="s">
        <v>134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21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21" x14ac:dyDescent="0.25">
      <c r="A3" s="1"/>
      <c r="B3" s="12"/>
      <c r="C3" s="12"/>
      <c r="D3" s="2" t="s">
        <v>135</v>
      </c>
      <c r="E3" s="2" t="s">
        <v>135</v>
      </c>
      <c r="F3" s="2" t="s">
        <v>135</v>
      </c>
      <c r="G3" s="2" t="s">
        <v>136</v>
      </c>
      <c r="H3" s="2" t="s">
        <v>135</v>
      </c>
      <c r="I3" s="2" t="s">
        <v>135</v>
      </c>
      <c r="J3" s="2" t="s">
        <v>135</v>
      </c>
      <c r="K3" s="2" t="s">
        <v>136</v>
      </c>
      <c r="L3" s="2" t="s">
        <v>172</v>
      </c>
      <c r="M3" s="2"/>
      <c r="N3" s="2"/>
      <c r="O3" s="1"/>
      <c r="P3" s="1"/>
      <c r="S3" s="2" t="s">
        <v>135</v>
      </c>
      <c r="T3" s="2" t="s">
        <v>136</v>
      </c>
    </row>
    <row r="4" spans="1:21" x14ac:dyDescent="0.25">
      <c r="A4" s="32" t="s">
        <v>138</v>
      </c>
      <c r="B4" s="33" t="s">
        <v>139</v>
      </c>
      <c r="C4" s="33" t="s">
        <v>3</v>
      </c>
      <c r="D4" s="34" t="s">
        <v>140</v>
      </c>
      <c r="E4" s="34" t="s">
        <v>141</v>
      </c>
      <c r="F4" s="34" t="s">
        <v>142</v>
      </c>
      <c r="G4" s="34" t="s">
        <v>143</v>
      </c>
      <c r="H4" s="34" t="s">
        <v>144</v>
      </c>
      <c r="I4" s="34" t="s">
        <v>145</v>
      </c>
      <c r="J4" s="34" t="s">
        <v>146</v>
      </c>
      <c r="K4" s="34" t="s">
        <v>147</v>
      </c>
      <c r="L4" s="34" t="s">
        <v>148</v>
      </c>
      <c r="M4" s="34" t="s">
        <v>149</v>
      </c>
      <c r="N4" s="34" t="s">
        <v>150</v>
      </c>
      <c r="O4" s="34" t="s">
        <v>11</v>
      </c>
      <c r="P4" s="7" t="s">
        <v>12</v>
      </c>
      <c r="S4" s="3"/>
      <c r="T4" s="3"/>
      <c r="U4" s="3" t="s">
        <v>11</v>
      </c>
    </row>
    <row r="5" spans="1:21" hidden="1" x14ac:dyDescent="0.25">
      <c r="A5" s="30"/>
      <c r="B5" s="8" t="s">
        <v>15</v>
      </c>
      <c r="C5" s="8"/>
      <c r="D5" s="8">
        <v>6</v>
      </c>
      <c r="E5" s="8">
        <v>6</v>
      </c>
      <c r="F5" s="8">
        <v>6</v>
      </c>
      <c r="G5" s="8">
        <v>6</v>
      </c>
      <c r="H5" s="8">
        <v>6</v>
      </c>
      <c r="I5" s="8">
        <v>15</v>
      </c>
      <c r="J5" s="8">
        <v>15</v>
      </c>
      <c r="K5" s="8">
        <v>15</v>
      </c>
      <c r="L5" s="8">
        <v>25</v>
      </c>
      <c r="M5" s="8"/>
      <c r="N5" s="8"/>
      <c r="O5" s="8">
        <f>SUM(D5:L5)</f>
        <v>100</v>
      </c>
      <c r="P5" s="8"/>
      <c r="S5" s="5">
        <f>SUM(D5:F5,H5,I5,J5,L5/5)</f>
        <v>59</v>
      </c>
      <c r="T5" s="5">
        <f>SUM(G5,K5,L5*4/5)</f>
        <v>41</v>
      </c>
      <c r="U5" s="5">
        <f>SUM(S5:T5)</f>
        <v>100</v>
      </c>
    </row>
    <row r="6" spans="1:21" hidden="1" x14ac:dyDescent="0.25">
      <c r="A6" s="31" t="str">
        <f>Marksheet!A5</f>
        <v>Aadya Dubey</v>
      </c>
      <c r="B6" s="12">
        <f>Marksheet!B5</f>
        <v>590029213</v>
      </c>
      <c r="C6" s="12">
        <v>77</v>
      </c>
      <c r="D6" s="10">
        <v>6</v>
      </c>
      <c r="E6" s="10">
        <v>6</v>
      </c>
      <c r="F6" s="10">
        <v>5</v>
      </c>
      <c r="G6" s="10">
        <v>6</v>
      </c>
      <c r="H6" s="10">
        <v>6</v>
      </c>
      <c r="I6" s="10">
        <v>15</v>
      </c>
      <c r="J6" s="10">
        <v>12</v>
      </c>
      <c r="K6" s="10">
        <v>5</v>
      </c>
      <c r="L6" s="10">
        <v>25</v>
      </c>
      <c r="M6" s="10"/>
      <c r="N6" s="10"/>
      <c r="O6" s="14">
        <f t="shared" ref="O6:O65" si="0">SUM(D6:L6)</f>
        <v>86</v>
      </c>
      <c r="P6" s="1"/>
      <c r="S6" s="26">
        <f>SUM(D6:F6,H6,I6,J6,L6/5)</f>
        <v>55</v>
      </c>
      <c r="T6" s="26">
        <f>SUM(G6,K6,L6*4/5)</f>
        <v>31</v>
      </c>
      <c r="U6" s="26">
        <f>SUM(S6:T6)</f>
        <v>86</v>
      </c>
    </row>
    <row r="7" spans="1:21" x14ac:dyDescent="0.25">
      <c r="A7" s="31" t="str">
        <f>Marksheet!A6</f>
        <v>Aditya Vishwakarma</v>
      </c>
      <c r="B7" s="12">
        <f>Marksheet!B6</f>
        <v>590029270</v>
      </c>
      <c r="C7" s="12">
        <v>77</v>
      </c>
      <c r="D7" s="10">
        <v>2</v>
      </c>
      <c r="E7" s="10">
        <v>1</v>
      </c>
      <c r="F7" s="10">
        <v>4</v>
      </c>
      <c r="G7" s="10"/>
      <c r="H7" s="10"/>
      <c r="I7" s="10"/>
      <c r="J7" s="10">
        <v>10</v>
      </c>
      <c r="K7" s="10">
        <v>5</v>
      </c>
      <c r="L7" s="10">
        <v>10</v>
      </c>
      <c r="M7" s="10"/>
      <c r="N7" s="10"/>
      <c r="O7" s="14">
        <f t="shared" si="0"/>
        <v>32</v>
      </c>
      <c r="P7" s="1"/>
      <c r="S7" s="26">
        <f t="shared" ref="S7:S65" si="1">SUM(D7:F7,H7,I7,J7,L7/5)</f>
        <v>19</v>
      </c>
      <c r="T7" s="26">
        <f t="shared" ref="T7:T65" si="2">SUM(G7,K7,L7*4/5)</f>
        <v>13</v>
      </c>
      <c r="U7" s="26">
        <f t="shared" ref="U7:U65" si="3">SUM(S7:T7)</f>
        <v>32</v>
      </c>
    </row>
    <row r="8" spans="1:21" x14ac:dyDescent="0.25">
      <c r="A8" s="31" t="str">
        <f>Marksheet!A7</f>
        <v>Arjun</v>
      </c>
      <c r="B8" s="12">
        <f>Marksheet!B7</f>
        <v>590029204</v>
      </c>
      <c r="C8" s="12">
        <v>77</v>
      </c>
      <c r="D8" s="10">
        <v>2</v>
      </c>
      <c r="E8" s="10">
        <v>4</v>
      </c>
      <c r="F8" s="10">
        <v>6</v>
      </c>
      <c r="G8" s="10">
        <v>1</v>
      </c>
      <c r="H8" s="10"/>
      <c r="I8" s="10">
        <v>8</v>
      </c>
      <c r="J8" s="10"/>
      <c r="K8" s="10"/>
      <c r="L8" s="10">
        <v>8</v>
      </c>
      <c r="M8" s="10"/>
      <c r="N8" s="10"/>
      <c r="O8" s="14">
        <f t="shared" si="0"/>
        <v>29</v>
      </c>
      <c r="P8" s="1"/>
      <c r="S8" s="26">
        <f t="shared" si="1"/>
        <v>21.6</v>
      </c>
      <c r="T8" s="26">
        <f t="shared" si="2"/>
        <v>7.4</v>
      </c>
      <c r="U8" s="26">
        <f t="shared" si="3"/>
        <v>29</v>
      </c>
    </row>
    <row r="9" spans="1:21" x14ac:dyDescent="0.25">
      <c r="A9" s="31" t="str">
        <f>Marksheet!A8</f>
        <v>Aryan Yadav</v>
      </c>
      <c r="B9" s="12">
        <f>Marksheet!B8</f>
        <v>590029109</v>
      </c>
      <c r="C9" s="12">
        <v>77</v>
      </c>
      <c r="D9" s="10">
        <v>6</v>
      </c>
      <c r="E9" s="10">
        <v>3</v>
      </c>
      <c r="F9" s="10">
        <v>2</v>
      </c>
      <c r="G9" s="10"/>
      <c r="H9" s="10">
        <v>3</v>
      </c>
      <c r="I9" s="10">
        <v>6</v>
      </c>
      <c r="J9" s="10">
        <v>11</v>
      </c>
      <c r="K9" s="10">
        <v>5</v>
      </c>
      <c r="L9" s="10">
        <v>2</v>
      </c>
      <c r="M9" s="10"/>
      <c r="N9" s="10"/>
      <c r="O9" s="14">
        <f t="shared" si="0"/>
        <v>38</v>
      </c>
      <c r="P9" s="1"/>
      <c r="S9" s="26">
        <f t="shared" si="1"/>
        <v>31.4</v>
      </c>
      <c r="T9" s="26">
        <f t="shared" si="2"/>
        <v>6.6</v>
      </c>
      <c r="U9" s="26">
        <f t="shared" si="3"/>
        <v>38</v>
      </c>
    </row>
    <row r="10" spans="1:21" hidden="1" x14ac:dyDescent="0.25">
      <c r="A10" s="31" t="str">
        <f>Marksheet!A9</f>
        <v>Astik Patel</v>
      </c>
      <c r="B10" s="12">
        <f>Marksheet!B9</f>
        <v>590029070</v>
      </c>
      <c r="C10" s="12">
        <v>77</v>
      </c>
      <c r="D10" s="10">
        <v>6</v>
      </c>
      <c r="E10" s="10">
        <v>4</v>
      </c>
      <c r="F10" s="10">
        <v>3</v>
      </c>
      <c r="G10" s="10">
        <v>6</v>
      </c>
      <c r="H10" s="10">
        <v>6</v>
      </c>
      <c r="I10" s="10">
        <v>10</v>
      </c>
      <c r="J10" s="10">
        <v>15</v>
      </c>
      <c r="K10" s="10">
        <v>15</v>
      </c>
      <c r="L10" s="10">
        <v>25</v>
      </c>
      <c r="M10" s="10"/>
      <c r="N10" s="10"/>
      <c r="O10" s="14">
        <f t="shared" si="0"/>
        <v>90</v>
      </c>
      <c r="P10" s="1"/>
      <c r="S10" s="26">
        <f t="shared" si="1"/>
        <v>49</v>
      </c>
      <c r="T10" s="26">
        <f t="shared" si="2"/>
        <v>41</v>
      </c>
      <c r="U10" s="26">
        <f t="shared" si="3"/>
        <v>90</v>
      </c>
    </row>
    <row r="11" spans="1:21" x14ac:dyDescent="0.25">
      <c r="A11" s="31" t="str">
        <f>Marksheet!A10</f>
        <v>Ayush Mohan</v>
      </c>
      <c r="B11" s="12">
        <f>Marksheet!B10</f>
        <v>590029157</v>
      </c>
      <c r="C11" s="12">
        <v>77</v>
      </c>
      <c r="D11" s="35">
        <v>3</v>
      </c>
      <c r="E11" s="35">
        <v>4</v>
      </c>
      <c r="F11" s="35">
        <v>1</v>
      </c>
      <c r="G11" s="35"/>
      <c r="H11" s="35"/>
      <c r="I11" s="35"/>
      <c r="J11" s="10">
        <v>6</v>
      </c>
      <c r="K11" s="10"/>
      <c r="L11" s="10"/>
      <c r="M11" s="10"/>
      <c r="N11" s="10"/>
      <c r="O11" s="14">
        <f t="shared" si="0"/>
        <v>14</v>
      </c>
      <c r="P11" s="1"/>
      <c r="S11" s="26">
        <f t="shared" si="1"/>
        <v>14</v>
      </c>
      <c r="T11" s="26">
        <f t="shared" si="2"/>
        <v>0</v>
      </c>
      <c r="U11" s="26">
        <f t="shared" si="3"/>
        <v>14</v>
      </c>
    </row>
    <row r="12" spans="1:21" hidden="1" x14ac:dyDescent="0.25">
      <c r="A12" s="31" t="str">
        <f>Marksheet!A11</f>
        <v>Bhanu Purohit</v>
      </c>
      <c r="B12" s="12">
        <f>Marksheet!B11</f>
        <v>590027157</v>
      </c>
      <c r="C12" s="12">
        <v>77</v>
      </c>
      <c r="D12" s="10">
        <v>5</v>
      </c>
      <c r="E12" s="10">
        <v>6</v>
      </c>
      <c r="F12" s="10">
        <v>3</v>
      </c>
      <c r="G12" s="10">
        <v>1</v>
      </c>
      <c r="H12" s="10">
        <v>2</v>
      </c>
      <c r="I12" s="10">
        <v>6</v>
      </c>
      <c r="J12" s="10">
        <v>12</v>
      </c>
      <c r="K12" s="10">
        <v>8</v>
      </c>
      <c r="L12" s="10">
        <v>7</v>
      </c>
      <c r="M12" s="10"/>
      <c r="N12" s="10"/>
      <c r="O12" s="14">
        <f t="shared" si="0"/>
        <v>50</v>
      </c>
      <c r="P12" s="1"/>
      <c r="S12" s="26">
        <f t="shared" si="1"/>
        <v>35.4</v>
      </c>
      <c r="T12" s="26">
        <f t="shared" si="2"/>
        <v>14.6</v>
      </c>
      <c r="U12" s="26">
        <f t="shared" si="3"/>
        <v>50</v>
      </c>
    </row>
    <row r="13" spans="1:21" x14ac:dyDescent="0.25">
      <c r="A13" s="31" t="str">
        <f>Marksheet!A12</f>
        <v>Biswabandya Mohanty</v>
      </c>
      <c r="B13" s="12">
        <f>Marksheet!B12</f>
        <v>590029274</v>
      </c>
      <c r="C13" s="12">
        <v>77</v>
      </c>
      <c r="D13" s="10">
        <v>4</v>
      </c>
      <c r="E13" s="10"/>
      <c r="F13" s="10"/>
      <c r="G13" s="10"/>
      <c r="H13" s="10"/>
      <c r="I13" s="10">
        <v>4</v>
      </c>
      <c r="J13" s="10"/>
      <c r="K13" s="10"/>
      <c r="L13" s="10"/>
      <c r="M13" s="10"/>
      <c r="N13" s="10"/>
      <c r="O13" s="14">
        <f t="shared" si="0"/>
        <v>8</v>
      </c>
      <c r="P13" s="1"/>
      <c r="S13" s="26">
        <f t="shared" si="1"/>
        <v>8</v>
      </c>
      <c r="T13" s="26">
        <f t="shared" si="2"/>
        <v>0</v>
      </c>
      <c r="U13" s="26">
        <f t="shared" si="3"/>
        <v>8</v>
      </c>
    </row>
    <row r="14" spans="1:21" hidden="1" x14ac:dyDescent="0.25">
      <c r="A14" s="31" t="str">
        <f>Marksheet!A13</f>
        <v>Eashan Vashisht</v>
      </c>
      <c r="B14" s="12">
        <f>Marksheet!B13</f>
        <v>590028572</v>
      </c>
      <c r="C14" s="12">
        <v>77</v>
      </c>
      <c r="D14" s="10">
        <v>6</v>
      </c>
      <c r="E14" s="10">
        <v>6</v>
      </c>
      <c r="F14" s="10">
        <v>6</v>
      </c>
      <c r="G14" s="10">
        <v>1</v>
      </c>
      <c r="H14" s="10">
        <v>0</v>
      </c>
      <c r="I14" s="10">
        <v>7</v>
      </c>
      <c r="J14" s="10">
        <v>15</v>
      </c>
      <c r="K14" s="10">
        <v>8</v>
      </c>
      <c r="L14" s="10">
        <v>5</v>
      </c>
      <c r="M14" s="10"/>
      <c r="N14" s="10"/>
      <c r="O14" s="14">
        <f t="shared" si="0"/>
        <v>54</v>
      </c>
      <c r="P14" s="1"/>
      <c r="S14" s="26">
        <f t="shared" si="1"/>
        <v>41</v>
      </c>
      <c r="T14" s="26">
        <f t="shared" si="2"/>
        <v>13</v>
      </c>
      <c r="U14" s="26">
        <f t="shared" si="3"/>
        <v>54</v>
      </c>
    </row>
    <row r="15" spans="1:21" x14ac:dyDescent="0.25">
      <c r="A15" s="31" t="str">
        <f>Marksheet!A14</f>
        <v>Hardik Joshi</v>
      </c>
      <c r="B15" s="12">
        <f>Marksheet!B14</f>
        <v>590029230</v>
      </c>
      <c r="C15" s="12">
        <v>77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4">
        <f t="shared" si="0"/>
        <v>0</v>
      </c>
      <c r="P15" s="1"/>
      <c r="S15" s="26">
        <f t="shared" si="1"/>
        <v>0</v>
      </c>
      <c r="T15" s="26">
        <f t="shared" si="2"/>
        <v>0</v>
      </c>
      <c r="U15" s="26">
        <f t="shared" si="3"/>
        <v>0</v>
      </c>
    </row>
    <row r="16" spans="1:21" x14ac:dyDescent="0.25">
      <c r="A16" s="31" t="str">
        <f>Marksheet!A15</f>
        <v>Hrithvik Bhardwaj</v>
      </c>
      <c r="B16" s="12">
        <f>Marksheet!B15</f>
        <v>590029169</v>
      </c>
      <c r="C16" s="12">
        <v>77</v>
      </c>
      <c r="D16" s="10">
        <v>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4">
        <f t="shared" si="0"/>
        <v>1</v>
      </c>
      <c r="P16" s="1"/>
      <c r="S16" s="26">
        <f t="shared" si="1"/>
        <v>1</v>
      </c>
      <c r="T16" s="26">
        <f t="shared" si="2"/>
        <v>0</v>
      </c>
      <c r="U16" s="26">
        <f t="shared" si="3"/>
        <v>1</v>
      </c>
    </row>
    <row r="17" spans="1:21" x14ac:dyDescent="0.25">
      <c r="A17" s="31" t="str">
        <f>Marksheet!A16</f>
        <v>Nitish Kumar</v>
      </c>
      <c r="B17" s="12">
        <f>Marksheet!B16</f>
        <v>590029112</v>
      </c>
      <c r="C17" s="12">
        <v>77</v>
      </c>
      <c r="D17" s="10">
        <v>6</v>
      </c>
      <c r="E17" s="10">
        <v>3</v>
      </c>
      <c r="F17" s="10">
        <v>4</v>
      </c>
      <c r="G17" s="10"/>
      <c r="H17" s="10">
        <v>2</v>
      </c>
      <c r="I17" s="10">
        <v>5</v>
      </c>
      <c r="J17" s="10">
        <v>8</v>
      </c>
      <c r="K17" s="10"/>
      <c r="L17" s="10">
        <v>7</v>
      </c>
      <c r="M17" s="10"/>
      <c r="N17" s="10"/>
      <c r="O17" s="14">
        <f t="shared" si="0"/>
        <v>35</v>
      </c>
      <c r="P17" s="1"/>
      <c r="S17" s="26">
        <f t="shared" si="1"/>
        <v>29.4</v>
      </c>
      <c r="T17" s="26">
        <f t="shared" si="2"/>
        <v>5.6</v>
      </c>
      <c r="U17" s="26">
        <f t="shared" si="3"/>
        <v>35</v>
      </c>
    </row>
    <row r="18" spans="1:21" hidden="1" x14ac:dyDescent="0.25">
      <c r="A18" s="31" t="str">
        <f>Marksheet!A17</f>
        <v>Omkareshwar Chaubey</v>
      </c>
      <c r="B18" s="12">
        <f>Marksheet!B17</f>
        <v>590025556</v>
      </c>
      <c r="C18" s="12">
        <v>77</v>
      </c>
      <c r="D18" s="10">
        <v>4</v>
      </c>
      <c r="E18" s="10">
        <v>6</v>
      </c>
      <c r="F18" s="10">
        <v>3</v>
      </c>
      <c r="G18" s="10">
        <v>2</v>
      </c>
      <c r="H18" s="10">
        <v>3</v>
      </c>
      <c r="I18" s="10">
        <v>8</v>
      </c>
      <c r="J18" s="10">
        <v>3</v>
      </c>
      <c r="K18" s="10">
        <v>15</v>
      </c>
      <c r="L18" s="10">
        <v>13</v>
      </c>
      <c r="M18" s="10"/>
      <c r="N18" s="10"/>
      <c r="O18" s="14">
        <f t="shared" si="0"/>
        <v>57</v>
      </c>
      <c r="P18" s="1"/>
      <c r="S18" s="26">
        <f t="shared" si="1"/>
        <v>29.6</v>
      </c>
      <c r="T18" s="26">
        <f t="shared" si="2"/>
        <v>27.4</v>
      </c>
      <c r="U18" s="26">
        <f t="shared" si="3"/>
        <v>57</v>
      </c>
    </row>
    <row r="19" spans="1:21" hidden="1" x14ac:dyDescent="0.25">
      <c r="A19" s="31" t="str">
        <f>Marksheet!A18</f>
        <v>Pavani Jain</v>
      </c>
      <c r="B19" s="12">
        <f>Marksheet!B18</f>
        <v>590027830</v>
      </c>
      <c r="C19" s="12">
        <v>77</v>
      </c>
      <c r="D19" s="10">
        <v>6</v>
      </c>
      <c r="E19" s="10">
        <v>6</v>
      </c>
      <c r="F19" s="10">
        <v>6</v>
      </c>
      <c r="G19" s="10">
        <v>6</v>
      </c>
      <c r="H19" s="10">
        <v>6</v>
      </c>
      <c r="I19" s="10">
        <v>15</v>
      </c>
      <c r="J19" s="10">
        <v>14</v>
      </c>
      <c r="K19" s="10">
        <v>15</v>
      </c>
      <c r="L19" s="10">
        <v>24</v>
      </c>
      <c r="M19" s="10"/>
      <c r="N19" s="10"/>
      <c r="O19" s="14">
        <f t="shared" si="0"/>
        <v>98</v>
      </c>
      <c r="P19" s="1"/>
      <c r="S19" s="26">
        <f t="shared" si="1"/>
        <v>57.8</v>
      </c>
      <c r="T19" s="26">
        <f t="shared" si="2"/>
        <v>40.200000000000003</v>
      </c>
      <c r="U19" s="26">
        <f t="shared" si="3"/>
        <v>98</v>
      </c>
    </row>
    <row r="20" spans="1:21" hidden="1" x14ac:dyDescent="0.25">
      <c r="A20" s="31" t="str">
        <f>Marksheet!A19</f>
        <v>Prapti Uniyal</v>
      </c>
      <c r="B20" s="12">
        <f>Marksheet!B19</f>
        <v>590028360</v>
      </c>
      <c r="C20" s="12">
        <v>77</v>
      </c>
      <c r="D20" s="10">
        <v>4</v>
      </c>
      <c r="E20" s="10">
        <v>6</v>
      </c>
      <c r="F20" s="10">
        <v>4</v>
      </c>
      <c r="G20" s="10">
        <v>5</v>
      </c>
      <c r="H20" s="10">
        <v>4</v>
      </c>
      <c r="I20" s="10">
        <v>15</v>
      </c>
      <c r="J20" s="10">
        <v>5</v>
      </c>
      <c r="K20" s="10">
        <v>0</v>
      </c>
      <c r="L20" s="10">
        <v>8</v>
      </c>
      <c r="M20" s="10"/>
      <c r="N20" s="10"/>
      <c r="O20" s="14">
        <f t="shared" si="0"/>
        <v>51</v>
      </c>
      <c r="P20" s="1"/>
      <c r="S20" s="26">
        <f t="shared" si="1"/>
        <v>39.6</v>
      </c>
      <c r="T20" s="26">
        <f t="shared" si="2"/>
        <v>11.4</v>
      </c>
      <c r="U20" s="26">
        <f t="shared" si="3"/>
        <v>51</v>
      </c>
    </row>
    <row r="21" spans="1:21" x14ac:dyDescent="0.25">
      <c r="A21" s="31" t="str">
        <f>Marksheet!A20</f>
        <v>Priyadarshi Prabhakar</v>
      </c>
      <c r="B21" s="12">
        <f>Marksheet!B20</f>
        <v>590029237</v>
      </c>
      <c r="C21" s="12">
        <v>77</v>
      </c>
      <c r="D21" s="10">
        <v>2</v>
      </c>
      <c r="E21" s="10">
        <v>4</v>
      </c>
      <c r="F21" s="10">
        <v>3</v>
      </c>
      <c r="G21" s="10"/>
      <c r="H21" s="10"/>
      <c r="I21" s="10">
        <v>3</v>
      </c>
      <c r="J21" s="10">
        <v>12</v>
      </c>
      <c r="K21" s="10"/>
      <c r="L21" s="10">
        <v>5</v>
      </c>
      <c r="M21" s="10"/>
      <c r="N21" s="10"/>
      <c r="O21" s="14">
        <f t="shared" si="0"/>
        <v>29</v>
      </c>
      <c r="P21" s="9"/>
      <c r="S21" s="26">
        <f t="shared" si="1"/>
        <v>25</v>
      </c>
      <c r="T21" s="26">
        <f t="shared" si="2"/>
        <v>4</v>
      </c>
      <c r="U21" s="26">
        <f t="shared" si="3"/>
        <v>29</v>
      </c>
    </row>
    <row r="22" spans="1:21" x14ac:dyDescent="0.25">
      <c r="A22" s="31" t="str">
        <f>Marksheet!A21</f>
        <v>Radhe Patel</v>
      </c>
      <c r="B22" s="12">
        <f>Marksheet!B21</f>
        <v>590029079</v>
      </c>
      <c r="C22" s="12">
        <v>77</v>
      </c>
      <c r="D22" s="10">
        <v>1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/>
      <c r="N22" s="10"/>
      <c r="O22" s="14">
        <f t="shared" si="0"/>
        <v>1</v>
      </c>
      <c r="P22" s="9"/>
      <c r="S22" s="26">
        <f t="shared" si="1"/>
        <v>1</v>
      </c>
      <c r="T22" s="26">
        <f t="shared" si="2"/>
        <v>0</v>
      </c>
      <c r="U22" s="26">
        <f t="shared" si="3"/>
        <v>1</v>
      </c>
    </row>
    <row r="23" spans="1:21" x14ac:dyDescent="0.25">
      <c r="A23" s="31" t="str">
        <f>Marksheet!A22</f>
        <v>Rishika Purushotham</v>
      </c>
      <c r="B23" s="12">
        <f>Marksheet!B22</f>
        <v>590029145</v>
      </c>
      <c r="C23" s="12">
        <v>77</v>
      </c>
      <c r="D23" s="10">
        <v>4</v>
      </c>
      <c r="E23" s="10">
        <v>2</v>
      </c>
      <c r="F23" s="10">
        <v>5</v>
      </c>
      <c r="G23" s="10">
        <v>4</v>
      </c>
      <c r="H23" s="10">
        <v>4</v>
      </c>
      <c r="I23" s="10">
        <v>2</v>
      </c>
      <c r="J23" s="10">
        <v>2</v>
      </c>
      <c r="K23" s="10"/>
      <c r="L23" s="10"/>
      <c r="M23" s="10"/>
      <c r="N23" s="10"/>
      <c r="O23" s="14">
        <f t="shared" si="0"/>
        <v>23</v>
      </c>
      <c r="P23" s="9"/>
      <c r="S23" s="26">
        <f t="shared" si="1"/>
        <v>19</v>
      </c>
      <c r="T23" s="26">
        <f t="shared" si="2"/>
        <v>4</v>
      </c>
      <c r="U23" s="26">
        <f t="shared" si="3"/>
        <v>23</v>
      </c>
    </row>
    <row r="24" spans="1:21" x14ac:dyDescent="0.25">
      <c r="A24" s="31" t="str">
        <f>Marksheet!A23</f>
        <v>Rishiv Kumar</v>
      </c>
      <c r="B24" s="12">
        <f>Marksheet!B23</f>
        <v>590029209</v>
      </c>
      <c r="C24" s="12">
        <v>77</v>
      </c>
      <c r="D24" s="10">
        <v>4</v>
      </c>
      <c r="E24" s="10"/>
      <c r="F24" s="10">
        <v>2</v>
      </c>
      <c r="G24" s="10"/>
      <c r="H24" s="10"/>
      <c r="I24" s="10"/>
      <c r="J24" s="10"/>
      <c r="K24" s="10">
        <v>3</v>
      </c>
      <c r="L24" s="10">
        <v>8</v>
      </c>
      <c r="M24" s="10"/>
      <c r="N24" s="10"/>
      <c r="O24" s="14">
        <f t="shared" si="0"/>
        <v>17</v>
      </c>
      <c r="P24" s="9"/>
      <c r="S24" s="26">
        <f t="shared" si="1"/>
        <v>7.6</v>
      </c>
      <c r="T24" s="26">
        <f t="shared" si="2"/>
        <v>9.4</v>
      </c>
      <c r="U24" s="26">
        <f t="shared" si="3"/>
        <v>17</v>
      </c>
    </row>
    <row r="25" spans="1:21" x14ac:dyDescent="0.25">
      <c r="A25" s="31" t="str">
        <f>Marksheet!A24</f>
        <v>Sankalp Sunil Ronge</v>
      </c>
      <c r="B25" s="12">
        <f>Marksheet!B24</f>
        <v>590027268</v>
      </c>
      <c r="C25" s="12">
        <v>77</v>
      </c>
      <c r="D25" s="10">
        <v>6</v>
      </c>
      <c r="E25" s="10">
        <v>1</v>
      </c>
      <c r="F25" s="10"/>
      <c r="G25" s="10"/>
      <c r="H25" s="10"/>
      <c r="I25" s="10"/>
      <c r="J25" s="10"/>
      <c r="K25" s="10">
        <v>1</v>
      </c>
      <c r="L25" s="10"/>
      <c r="M25" s="10"/>
      <c r="N25" s="10"/>
      <c r="O25" s="14">
        <f t="shared" si="0"/>
        <v>8</v>
      </c>
      <c r="P25" s="9"/>
      <c r="S25" s="26">
        <f t="shared" si="1"/>
        <v>7</v>
      </c>
      <c r="T25" s="26">
        <f t="shared" si="2"/>
        <v>1</v>
      </c>
      <c r="U25" s="26">
        <f t="shared" si="3"/>
        <v>8</v>
      </c>
    </row>
    <row r="26" spans="1:21" hidden="1" x14ac:dyDescent="0.25">
      <c r="A26" s="31" t="str">
        <f>Marksheet!A25</f>
        <v>Sartaj Singh</v>
      </c>
      <c r="B26" s="12">
        <f>Marksheet!B25</f>
        <v>590029227</v>
      </c>
      <c r="C26" s="12">
        <v>77</v>
      </c>
      <c r="D26" s="10">
        <v>6</v>
      </c>
      <c r="E26" s="10">
        <v>6</v>
      </c>
      <c r="F26" s="10">
        <v>6</v>
      </c>
      <c r="G26" s="10">
        <v>6</v>
      </c>
      <c r="H26" s="10">
        <v>6</v>
      </c>
      <c r="I26" s="10">
        <v>15</v>
      </c>
      <c r="J26" s="10">
        <v>15</v>
      </c>
      <c r="K26" s="10">
        <v>7</v>
      </c>
      <c r="L26" s="10">
        <v>18</v>
      </c>
      <c r="M26" s="10"/>
      <c r="N26" s="10"/>
      <c r="O26" s="14">
        <f t="shared" si="0"/>
        <v>85</v>
      </c>
      <c r="P26" s="9"/>
      <c r="S26" s="26">
        <f t="shared" si="1"/>
        <v>57.6</v>
      </c>
      <c r="T26" s="26">
        <f t="shared" si="2"/>
        <v>27.4</v>
      </c>
      <c r="U26" s="26">
        <f t="shared" si="3"/>
        <v>85</v>
      </c>
    </row>
    <row r="27" spans="1:21" hidden="1" x14ac:dyDescent="0.25">
      <c r="A27" s="31" t="str">
        <f>Marksheet!A26</f>
        <v>Satakshi Gupta</v>
      </c>
      <c r="B27" s="12">
        <f>Marksheet!B26</f>
        <v>590029241</v>
      </c>
      <c r="C27" s="12">
        <v>77</v>
      </c>
      <c r="D27" s="10">
        <v>2</v>
      </c>
      <c r="E27" s="10">
        <v>4</v>
      </c>
      <c r="F27" s="10">
        <v>6</v>
      </c>
      <c r="G27" s="10"/>
      <c r="H27" s="10"/>
      <c r="I27" s="10">
        <v>15</v>
      </c>
      <c r="J27" s="10">
        <v>14</v>
      </c>
      <c r="K27" s="10">
        <v>2</v>
      </c>
      <c r="L27" s="10"/>
      <c r="M27" s="10"/>
      <c r="N27" s="10"/>
      <c r="O27" s="14">
        <f t="shared" si="0"/>
        <v>43</v>
      </c>
      <c r="P27" s="9"/>
      <c r="S27" s="26">
        <f t="shared" si="1"/>
        <v>41</v>
      </c>
      <c r="T27" s="26">
        <f t="shared" si="2"/>
        <v>2</v>
      </c>
      <c r="U27" s="26">
        <f t="shared" si="3"/>
        <v>43</v>
      </c>
    </row>
    <row r="28" spans="1:21" x14ac:dyDescent="0.25">
      <c r="A28" s="31" t="str">
        <f>Marksheet!A27</f>
        <v>Shaswat Shantanu</v>
      </c>
      <c r="B28" s="12">
        <f>Marksheet!B27</f>
        <v>590023855</v>
      </c>
      <c r="C28" s="12">
        <v>77</v>
      </c>
      <c r="D28" s="10">
        <v>4</v>
      </c>
      <c r="E28" s="10"/>
      <c r="F28" s="10"/>
      <c r="G28" s="10"/>
      <c r="H28" s="10"/>
      <c r="I28" s="10">
        <v>5</v>
      </c>
      <c r="J28" s="10">
        <v>11</v>
      </c>
      <c r="K28" s="10"/>
      <c r="L28" s="10">
        <v>9</v>
      </c>
      <c r="M28" s="10"/>
      <c r="N28" s="10"/>
      <c r="O28" s="14">
        <f t="shared" si="0"/>
        <v>29</v>
      </c>
      <c r="P28" s="9"/>
      <c r="S28" s="26">
        <f t="shared" si="1"/>
        <v>21.8</v>
      </c>
      <c r="T28" s="26">
        <f t="shared" si="2"/>
        <v>7.2</v>
      </c>
      <c r="U28" s="26">
        <f t="shared" si="3"/>
        <v>29</v>
      </c>
    </row>
    <row r="29" spans="1:21" x14ac:dyDescent="0.25">
      <c r="A29" s="31" t="str">
        <f>Marksheet!A28</f>
        <v>Siddhant Rai</v>
      </c>
      <c r="B29" s="12">
        <f>Marksheet!B28</f>
        <v>590029215</v>
      </c>
      <c r="C29" s="12">
        <v>77</v>
      </c>
      <c r="D29" s="10">
        <v>6</v>
      </c>
      <c r="E29" s="10">
        <v>5</v>
      </c>
      <c r="F29" s="10">
        <v>3</v>
      </c>
      <c r="G29" s="10"/>
      <c r="H29" s="10"/>
      <c r="I29" s="10">
        <v>7</v>
      </c>
      <c r="J29" s="10"/>
      <c r="K29" s="10"/>
      <c r="L29" s="10"/>
      <c r="M29" s="10"/>
      <c r="N29" s="10"/>
      <c r="O29" s="14">
        <f t="shared" si="0"/>
        <v>21</v>
      </c>
      <c r="P29" s="9"/>
      <c r="S29" s="26">
        <f t="shared" si="1"/>
        <v>21</v>
      </c>
      <c r="T29" s="26">
        <f t="shared" si="2"/>
        <v>0</v>
      </c>
      <c r="U29" s="26">
        <f t="shared" si="3"/>
        <v>21</v>
      </c>
    </row>
    <row r="30" spans="1:21" x14ac:dyDescent="0.25">
      <c r="A30" s="31" t="str">
        <f>Marksheet!A29</f>
        <v>Sidhaant Singh Jyrwa</v>
      </c>
      <c r="B30" s="12">
        <f>Marksheet!B29</f>
        <v>590029111</v>
      </c>
      <c r="C30" s="12">
        <v>77</v>
      </c>
      <c r="D30" s="10">
        <v>2</v>
      </c>
      <c r="E30" s="10"/>
      <c r="F30" s="10">
        <v>1</v>
      </c>
      <c r="G30" s="10"/>
      <c r="H30" s="10"/>
      <c r="I30" s="10"/>
      <c r="J30" s="10"/>
      <c r="K30" s="10"/>
      <c r="L30" s="10"/>
      <c r="M30" s="10"/>
      <c r="N30" s="10"/>
      <c r="O30" s="14">
        <f t="shared" si="0"/>
        <v>3</v>
      </c>
      <c r="P30" s="9"/>
      <c r="S30" s="26">
        <f t="shared" si="1"/>
        <v>3</v>
      </c>
      <c r="T30" s="26">
        <f t="shared" si="2"/>
        <v>0</v>
      </c>
      <c r="U30" s="26">
        <f t="shared" si="3"/>
        <v>3</v>
      </c>
    </row>
    <row r="31" spans="1:21" x14ac:dyDescent="0.25">
      <c r="A31" s="31" t="str">
        <f>Marksheet!A30</f>
        <v>Subrat Singh Jadaun</v>
      </c>
      <c r="B31" s="12">
        <f>Marksheet!B30</f>
        <v>590028683</v>
      </c>
      <c r="C31" s="12">
        <v>77</v>
      </c>
      <c r="D31" s="10">
        <v>6</v>
      </c>
      <c r="E31" s="10">
        <v>3</v>
      </c>
      <c r="F31" s="10">
        <v>3</v>
      </c>
      <c r="G31" s="10">
        <v>2</v>
      </c>
      <c r="H31" s="10"/>
      <c r="I31" s="10">
        <v>5</v>
      </c>
      <c r="J31" s="10">
        <v>4</v>
      </c>
      <c r="K31" s="10"/>
      <c r="L31" s="10"/>
      <c r="M31" s="10"/>
      <c r="N31" s="10"/>
      <c r="O31" s="14">
        <f t="shared" si="0"/>
        <v>23</v>
      </c>
      <c r="P31" s="9"/>
      <c r="S31" s="26">
        <f t="shared" si="1"/>
        <v>21</v>
      </c>
      <c r="T31" s="26">
        <f t="shared" si="2"/>
        <v>2</v>
      </c>
      <c r="U31" s="26">
        <f t="shared" si="3"/>
        <v>23</v>
      </c>
    </row>
    <row r="32" spans="1:21" hidden="1" x14ac:dyDescent="0.25">
      <c r="A32" s="31" t="str">
        <f>Marksheet!A31</f>
        <v>Tushita Sharma</v>
      </c>
      <c r="B32" s="12">
        <f>Marksheet!B31</f>
        <v>590029121</v>
      </c>
      <c r="C32" s="12">
        <v>77</v>
      </c>
      <c r="D32" s="10">
        <v>6</v>
      </c>
      <c r="E32" s="10">
        <v>6</v>
      </c>
      <c r="F32" s="10">
        <v>6</v>
      </c>
      <c r="G32" s="10">
        <v>4</v>
      </c>
      <c r="H32" s="10">
        <v>5</v>
      </c>
      <c r="I32" s="10">
        <v>15</v>
      </c>
      <c r="J32" s="10">
        <v>8</v>
      </c>
      <c r="K32" s="10">
        <v>5</v>
      </c>
      <c r="L32" s="10">
        <v>24</v>
      </c>
      <c r="M32" s="10"/>
      <c r="N32" s="10"/>
      <c r="O32" s="14">
        <f t="shared" si="0"/>
        <v>79</v>
      </c>
      <c r="P32" s="9"/>
      <c r="S32" s="26">
        <f t="shared" si="1"/>
        <v>50.8</v>
      </c>
      <c r="T32" s="26">
        <f t="shared" si="2"/>
        <v>28.2</v>
      </c>
      <c r="U32" s="26">
        <f t="shared" si="3"/>
        <v>79</v>
      </c>
    </row>
    <row r="33" spans="1:21" x14ac:dyDescent="0.25">
      <c r="A33" s="31" t="str">
        <f>Marksheet!A32</f>
        <v>Vaishnavi Kumari</v>
      </c>
      <c r="B33" s="12">
        <f>Marksheet!B32</f>
        <v>590029048</v>
      </c>
      <c r="C33" s="12">
        <v>77</v>
      </c>
      <c r="D33" s="10">
        <v>6</v>
      </c>
      <c r="E33" s="10">
        <v>5</v>
      </c>
      <c r="F33" s="10">
        <v>5</v>
      </c>
      <c r="G33" s="10"/>
      <c r="H33" s="10">
        <v>2</v>
      </c>
      <c r="I33" s="10">
        <v>8</v>
      </c>
      <c r="J33" s="10"/>
      <c r="K33" s="10"/>
      <c r="L33" s="10"/>
      <c r="M33" s="10"/>
      <c r="N33" s="10"/>
      <c r="O33" s="14">
        <f t="shared" si="0"/>
        <v>26</v>
      </c>
      <c r="P33" s="9"/>
      <c r="S33" s="26">
        <f t="shared" si="1"/>
        <v>26</v>
      </c>
      <c r="T33" s="26">
        <f t="shared" si="2"/>
        <v>0</v>
      </c>
      <c r="U33" s="26">
        <f t="shared" si="3"/>
        <v>26</v>
      </c>
    </row>
    <row r="34" spans="1:21" hidden="1" x14ac:dyDescent="0.25">
      <c r="A34" s="31" t="str">
        <f>Marksheet!A33</f>
        <v>Vivek Chauhan</v>
      </c>
      <c r="B34" s="12">
        <f>Marksheet!B33</f>
        <v>590029184</v>
      </c>
      <c r="C34" s="12">
        <v>77</v>
      </c>
      <c r="D34" s="10">
        <v>6</v>
      </c>
      <c r="E34" s="10">
        <v>6</v>
      </c>
      <c r="F34" s="10">
        <v>3</v>
      </c>
      <c r="G34" s="10">
        <v>1</v>
      </c>
      <c r="H34" s="10">
        <v>2</v>
      </c>
      <c r="I34" s="10">
        <v>12</v>
      </c>
      <c r="J34" s="10">
        <v>15</v>
      </c>
      <c r="K34" s="10">
        <v>15</v>
      </c>
      <c r="L34" s="10">
        <v>5</v>
      </c>
      <c r="M34" s="10"/>
      <c r="N34" s="10"/>
      <c r="O34" s="14">
        <f t="shared" si="0"/>
        <v>65</v>
      </c>
      <c r="P34" s="9"/>
      <c r="S34" s="26">
        <f t="shared" si="1"/>
        <v>45</v>
      </c>
      <c r="T34" s="26">
        <f t="shared" si="2"/>
        <v>20</v>
      </c>
      <c r="U34" s="26">
        <f t="shared" si="3"/>
        <v>65</v>
      </c>
    </row>
    <row r="35" spans="1:21" x14ac:dyDescent="0.25">
      <c r="A35" s="31" t="str">
        <f>Marksheet!A34</f>
        <v>Aadarshi Bisht</v>
      </c>
      <c r="B35" s="12">
        <f>Marksheet!B34</f>
        <v>590029330</v>
      </c>
      <c r="C35" s="12">
        <v>78</v>
      </c>
      <c r="D35" s="10">
        <v>3</v>
      </c>
      <c r="E35" s="10">
        <v>6</v>
      </c>
      <c r="F35" s="10">
        <v>5</v>
      </c>
      <c r="G35" s="10">
        <v>0</v>
      </c>
      <c r="H35" s="10">
        <v>4</v>
      </c>
      <c r="I35" s="10">
        <v>5</v>
      </c>
      <c r="J35" s="10">
        <v>13</v>
      </c>
      <c r="K35" s="10">
        <v>0</v>
      </c>
      <c r="L35" s="10">
        <v>2</v>
      </c>
      <c r="M35" s="10"/>
      <c r="N35" s="10"/>
      <c r="O35" s="14">
        <f t="shared" si="0"/>
        <v>38</v>
      </c>
      <c r="P35" s="9"/>
      <c r="S35" s="26">
        <f t="shared" si="1"/>
        <v>36.4</v>
      </c>
      <c r="T35" s="26">
        <f t="shared" si="2"/>
        <v>1.6</v>
      </c>
      <c r="U35" s="26">
        <f t="shared" si="3"/>
        <v>38</v>
      </c>
    </row>
    <row r="36" spans="1:21" x14ac:dyDescent="0.25">
      <c r="A36" s="31" t="str">
        <f>Marksheet!A35</f>
        <v>Aarush Prasad</v>
      </c>
      <c r="B36" s="12">
        <f>Marksheet!B35</f>
        <v>590027630</v>
      </c>
      <c r="C36" s="12">
        <v>78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/>
      <c r="N36" s="10"/>
      <c r="O36" s="14">
        <f t="shared" si="0"/>
        <v>0</v>
      </c>
      <c r="P36" s="9"/>
      <c r="S36" s="26">
        <f t="shared" si="1"/>
        <v>0</v>
      </c>
      <c r="T36" s="26">
        <f t="shared" si="2"/>
        <v>0</v>
      </c>
      <c r="U36" s="26">
        <f t="shared" si="3"/>
        <v>0</v>
      </c>
    </row>
    <row r="37" spans="1:21" x14ac:dyDescent="0.25">
      <c r="A37" s="31" t="str">
        <f>Marksheet!A36</f>
        <v>Aditya Mishra</v>
      </c>
      <c r="B37" s="12">
        <f>Marksheet!B36</f>
        <v>590029219</v>
      </c>
      <c r="C37" s="12">
        <v>78</v>
      </c>
      <c r="D37" s="10">
        <v>6</v>
      </c>
      <c r="E37" s="10">
        <v>4</v>
      </c>
      <c r="F37" s="10">
        <v>5</v>
      </c>
      <c r="G37" s="10">
        <v>0</v>
      </c>
      <c r="H37" s="10">
        <v>0</v>
      </c>
      <c r="I37" s="10">
        <v>13</v>
      </c>
      <c r="J37" s="10">
        <v>3</v>
      </c>
      <c r="K37" s="10">
        <v>0</v>
      </c>
      <c r="L37" s="10">
        <v>0</v>
      </c>
      <c r="M37" s="10"/>
      <c r="N37" s="10"/>
      <c r="O37" s="14">
        <f t="shared" si="0"/>
        <v>31</v>
      </c>
      <c r="P37" s="9"/>
      <c r="S37" s="26">
        <f t="shared" si="1"/>
        <v>31</v>
      </c>
      <c r="T37" s="26">
        <f t="shared" si="2"/>
        <v>0</v>
      </c>
      <c r="U37" s="26">
        <f t="shared" si="3"/>
        <v>31</v>
      </c>
    </row>
    <row r="38" spans="1:21" hidden="1" x14ac:dyDescent="0.25">
      <c r="A38" s="31" t="str">
        <f>Marksheet!A37</f>
        <v>Aman Barnwal</v>
      </c>
      <c r="B38" s="12">
        <f>Marksheet!B37</f>
        <v>590028933</v>
      </c>
      <c r="C38" s="12">
        <v>78</v>
      </c>
      <c r="D38" s="10">
        <v>4</v>
      </c>
      <c r="E38" s="10">
        <v>6</v>
      </c>
      <c r="F38" s="10">
        <v>5</v>
      </c>
      <c r="G38" s="10">
        <v>2</v>
      </c>
      <c r="H38" s="10">
        <v>5</v>
      </c>
      <c r="I38" s="10">
        <v>15</v>
      </c>
      <c r="J38" s="10">
        <v>12</v>
      </c>
      <c r="K38" s="10">
        <v>2</v>
      </c>
      <c r="L38" s="10">
        <v>5</v>
      </c>
      <c r="M38" s="10"/>
      <c r="N38" s="10"/>
      <c r="O38" s="14">
        <f t="shared" si="0"/>
        <v>56</v>
      </c>
      <c r="P38" s="9"/>
      <c r="S38" s="26">
        <f t="shared" si="1"/>
        <v>48</v>
      </c>
      <c r="T38" s="26">
        <f t="shared" si="2"/>
        <v>8</v>
      </c>
      <c r="U38" s="26">
        <f t="shared" si="3"/>
        <v>56</v>
      </c>
    </row>
    <row r="39" spans="1:21" x14ac:dyDescent="0.25">
      <c r="A39" s="31" t="str">
        <f>Marksheet!A38</f>
        <v>Ashutosh Shrivastava</v>
      </c>
      <c r="B39" s="12">
        <f>Marksheet!B38</f>
        <v>590027859</v>
      </c>
      <c r="C39" s="12">
        <v>78</v>
      </c>
      <c r="D39" s="10">
        <v>2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/>
      <c r="N39" s="10"/>
      <c r="O39" s="14">
        <f t="shared" si="0"/>
        <v>2</v>
      </c>
      <c r="P39" s="9"/>
      <c r="S39" s="26">
        <f t="shared" si="1"/>
        <v>2</v>
      </c>
      <c r="T39" s="26">
        <f t="shared" si="2"/>
        <v>0</v>
      </c>
      <c r="U39" s="26">
        <f t="shared" si="3"/>
        <v>2</v>
      </c>
    </row>
    <row r="40" spans="1:21" hidden="1" x14ac:dyDescent="0.25">
      <c r="A40" s="31" t="str">
        <f>Marksheet!A39</f>
        <v>Ayan Pande</v>
      </c>
      <c r="B40" s="12">
        <f>Marksheet!B39</f>
        <v>590028682</v>
      </c>
      <c r="C40" s="12">
        <v>78</v>
      </c>
      <c r="D40" s="10">
        <v>6</v>
      </c>
      <c r="E40" s="10">
        <v>6</v>
      </c>
      <c r="F40" s="10">
        <v>5</v>
      </c>
      <c r="G40" s="10">
        <v>6</v>
      </c>
      <c r="H40" s="10">
        <v>6</v>
      </c>
      <c r="I40" s="10">
        <v>13</v>
      </c>
      <c r="J40" s="10">
        <v>5</v>
      </c>
      <c r="K40" s="10">
        <v>5</v>
      </c>
      <c r="L40" s="10">
        <v>2</v>
      </c>
      <c r="M40" s="10"/>
      <c r="N40" s="10"/>
      <c r="O40" s="14">
        <f t="shared" si="0"/>
        <v>54</v>
      </c>
      <c r="P40" s="9"/>
      <c r="S40" s="26">
        <f t="shared" si="1"/>
        <v>41.4</v>
      </c>
      <c r="T40" s="26">
        <f t="shared" si="2"/>
        <v>12.6</v>
      </c>
      <c r="U40" s="26">
        <f t="shared" si="3"/>
        <v>54</v>
      </c>
    </row>
    <row r="41" spans="1:21" x14ac:dyDescent="0.25">
      <c r="A41" s="31" t="str">
        <f>Marksheet!A40</f>
        <v>Ayush Pratap Singh</v>
      </c>
      <c r="B41" s="12">
        <f>Marksheet!B40</f>
        <v>590023917</v>
      </c>
      <c r="C41" s="12">
        <v>78</v>
      </c>
      <c r="D41" s="10">
        <v>4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/>
      <c r="N41" s="10"/>
      <c r="O41" s="14">
        <f t="shared" si="0"/>
        <v>4</v>
      </c>
      <c r="P41" s="9"/>
      <c r="S41" s="26">
        <f t="shared" si="1"/>
        <v>4</v>
      </c>
      <c r="T41" s="26">
        <f t="shared" si="2"/>
        <v>0</v>
      </c>
      <c r="U41" s="26">
        <f t="shared" si="3"/>
        <v>4</v>
      </c>
    </row>
    <row r="42" spans="1:21" x14ac:dyDescent="0.25">
      <c r="A42" s="31" t="str">
        <f>Marksheet!A41</f>
        <v>Gayatri Bhatt</v>
      </c>
      <c r="B42" s="12">
        <f>Marksheet!B41</f>
        <v>590023785</v>
      </c>
      <c r="C42" s="12">
        <v>78</v>
      </c>
      <c r="D42" s="10">
        <v>4</v>
      </c>
      <c r="E42" s="10">
        <v>4</v>
      </c>
      <c r="F42" s="10">
        <v>4</v>
      </c>
      <c r="G42" s="10">
        <v>1</v>
      </c>
      <c r="H42" s="10">
        <v>2</v>
      </c>
      <c r="I42" s="10">
        <v>12</v>
      </c>
      <c r="J42" s="10">
        <v>3</v>
      </c>
      <c r="K42" s="10">
        <v>0</v>
      </c>
      <c r="L42" s="10">
        <v>0</v>
      </c>
      <c r="M42" s="10"/>
      <c r="N42" s="10"/>
      <c r="O42" s="14">
        <f t="shared" si="0"/>
        <v>30</v>
      </c>
      <c r="P42" s="9"/>
      <c r="S42" s="26">
        <f t="shared" si="1"/>
        <v>29</v>
      </c>
      <c r="T42" s="26">
        <f t="shared" si="2"/>
        <v>1</v>
      </c>
      <c r="U42" s="26">
        <f t="shared" si="3"/>
        <v>30</v>
      </c>
    </row>
    <row r="43" spans="1:21" x14ac:dyDescent="0.25">
      <c r="A43" s="31" t="str">
        <f>Marksheet!A42</f>
        <v>Harsh Mudgal</v>
      </c>
      <c r="B43" s="12">
        <f>Marksheet!B42</f>
        <v>590029264</v>
      </c>
      <c r="C43" s="12">
        <v>78</v>
      </c>
      <c r="D43" s="10">
        <v>6</v>
      </c>
      <c r="E43" s="10">
        <v>4</v>
      </c>
      <c r="F43" s="10">
        <v>0</v>
      </c>
      <c r="G43" s="10">
        <v>0</v>
      </c>
      <c r="H43" s="10">
        <v>0</v>
      </c>
      <c r="I43" s="10">
        <v>2</v>
      </c>
      <c r="J43" s="10">
        <v>0</v>
      </c>
      <c r="K43" s="10">
        <v>0</v>
      </c>
      <c r="L43" s="10">
        <v>0</v>
      </c>
      <c r="M43" s="10"/>
      <c r="N43" s="10"/>
      <c r="O43" s="14">
        <f t="shared" si="0"/>
        <v>12</v>
      </c>
      <c r="P43" s="9"/>
      <c r="S43" s="26">
        <f t="shared" si="1"/>
        <v>12</v>
      </c>
      <c r="T43" s="26">
        <f t="shared" si="2"/>
        <v>0</v>
      </c>
      <c r="U43" s="26">
        <f t="shared" si="3"/>
        <v>12</v>
      </c>
    </row>
    <row r="44" spans="1:21" x14ac:dyDescent="0.25">
      <c r="A44" s="31" t="str">
        <f>Marksheet!A43</f>
        <v>Kanan Nidhania</v>
      </c>
      <c r="B44" s="12">
        <f>Marksheet!B43</f>
        <v>590029042</v>
      </c>
      <c r="C44" s="12">
        <v>78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/>
      <c r="N44" s="10"/>
      <c r="O44" s="14">
        <f t="shared" si="0"/>
        <v>0</v>
      </c>
      <c r="P44" s="9"/>
      <c r="S44" s="26">
        <f t="shared" si="1"/>
        <v>0</v>
      </c>
      <c r="T44" s="26">
        <f t="shared" si="2"/>
        <v>0</v>
      </c>
      <c r="U44" s="26">
        <f t="shared" si="3"/>
        <v>0</v>
      </c>
    </row>
    <row r="45" spans="1:21" x14ac:dyDescent="0.25">
      <c r="A45" s="31" t="str">
        <f>Marksheet!A44</f>
        <v>Kanishka Diwakar</v>
      </c>
      <c r="B45" s="12">
        <f>Marksheet!B44</f>
        <v>590029336</v>
      </c>
      <c r="C45" s="12">
        <v>78</v>
      </c>
      <c r="D45" s="10">
        <v>4</v>
      </c>
      <c r="E45" s="10">
        <v>3</v>
      </c>
      <c r="F45" s="10">
        <v>1</v>
      </c>
      <c r="G45" s="10">
        <v>0</v>
      </c>
      <c r="H45" s="10">
        <v>1</v>
      </c>
      <c r="I45" s="10">
        <v>2</v>
      </c>
      <c r="J45" s="10">
        <v>0</v>
      </c>
      <c r="K45" s="10">
        <v>0</v>
      </c>
      <c r="L45" s="10">
        <v>0</v>
      </c>
      <c r="M45" s="10"/>
      <c r="N45" s="10"/>
      <c r="O45" s="14">
        <f t="shared" si="0"/>
        <v>11</v>
      </c>
      <c r="P45" s="9"/>
      <c r="S45" s="26">
        <f t="shared" si="1"/>
        <v>11</v>
      </c>
      <c r="T45" s="26">
        <f t="shared" si="2"/>
        <v>0</v>
      </c>
      <c r="U45" s="26">
        <f t="shared" si="3"/>
        <v>11</v>
      </c>
    </row>
    <row r="46" spans="1:21" x14ac:dyDescent="0.25">
      <c r="A46" s="31" t="str">
        <f>Marksheet!A45</f>
        <v>Keshav Chahda</v>
      </c>
      <c r="B46" s="12">
        <f>Marksheet!B45</f>
        <v>590029233</v>
      </c>
      <c r="C46" s="12">
        <v>78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/>
      <c r="N46" s="10"/>
      <c r="O46" s="14">
        <f t="shared" si="0"/>
        <v>0</v>
      </c>
      <c r="P46" s="9"/>
      <c r="S46" s="26">
        <f t="shared" si="1"/>
        <v>0</v>
      </c>
      <c r="T46" s="26">
        <f t="shared" si="2"/>
        <v>0</v>
      </c>
      <c r="U46" s="26">
        <f t="shared" si="3"/>
        <v>0</v>
      </c>
    </row>
    <row r="47" spans="1:21" x14ac:dyDescent="0.25">
      <c r="A47" s="31" t="str">
        <f>Marksheet!A46</f>
        <v>Lakshay Dhanda</v>
      </c>
      <c r="B47" s="12">
        <f>Marksheet!B46</f>
        <v>590029328</v>
      </c>
      <c r="C47" s="12">
        <v>78</v>
      </c>
      <c r="D47" s="10">
        <v>4</v>
      </c>
      <c r="E47" s="10">
        <v>2</v>
      </c>
      <c r="F47" s="10">
        <v>0</v>
      </c>
      <c r="G47" s="10">
        <v>2</v>
      </c>
      <c r="H47" s="10">
        <v>1</v>
      </c>
      <c r="I47" s="10">
        <v>0</v>
      </c>
      <c r="J47" s="10">
        <v>1</v>
      </c>
      <c r="K47" s="10">
        <v>0</v>
      </c>
      <c r="L47" s="10">
        <v>0</v>
      </c>
      <c r="M47" s="10"/>
      <c r="N47" s="10"/>
      <c r="O47" s="14">
        <f t="shared" si="0"/>
        <v>10</v>
      </c>
      <c r="P47" s="9"/>
      <c r="S47" s="26">
        <f t="shared" si="1"/>
        <v>8</v>
      </c>
      <c r="T47" s="26">
        <f t="shared" si="2"/>
        <v>2</v>
      </c>
      <c r="U47" s="26">
        <f t="shared" si="3"/>
        <v>10</v>
      </c>
    </row>
    <row r="48" spans="1:21" x14ac:dyDescent="0.25">
      <c r="A48" s="31" t="str">
        <f>Marksheet!A47</f>
        <v>Lakshya Singh</v>
      </c>
      <c r="B48" s="12">
        <f>Marksheet!B47</f>
        <v>590028608</v>
      </c>
      <c r="C48" s="12">
        <v>78</v>
      </c>
      <c r="D48" s="10">
        <v>0</v>
      </c>
      <c r="E48" s="10">
        <v>4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/>
      <c r="N48" s="10"/>
      <c r="O48" s="14">
        <f t="shared" si="0"/>
        <v>4</v>
      </c>
      <c r="P48" s="9"/>
      <c r="S48" s="26">
        <f t="shared" si="1"/>
        <v>4</v>
      </c>
      <c r="T48" s="26">
        <f t="shared" si="2"/>
        <v>0</v>
      </c>
      <c r="U48" s="26">
        <f t="shared" si="3"/>
        <v>4</v>
      </c>
    </row>
    <row r="49" spans="1:21" x14ac:dyDescent="0.25">
      <c r="A49" s="31" t="str">
        <f>Marksheet!A48</f>
        <v>Mayank Chand Ramola</v>
      </c>
      <c r="B49" s="12">
        <f>Marksheet!B48</f>
        <v>590028605</v>
      </c>
      <c r="C49" s="12">
        <v>78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/>
      <c r="N49" s="10"/>
      <c r="O49" s="14">
        <f t="shared" si="0"/>
        <v>0</v>
      </c>
      <c r="P49" s="9"/>
      <c r="S49" s="26">
        <f t="shared" si="1"/>
        <v>0</v>
      </c>
      <c r="T49" s="26">
        <f t="shared" si="2"/>
        <v>0</v>
      </c>
      <c r="U49" s="26">
        <f t="shared" si="3"/>
        <v>0</v>
      </c>
    </row>
    <row r="50" spans="1:21" x14ac:dyDescent="0.25">
      <c r="A50" s="31" t="str">
        <f>Marksheet!A49</f>
        <v>Mukesh Patel</v>
      </c>
      <c r="B50" s="12">
        <f>Marksheet!B49</f>
        <v>590026626</v>
      </c>
      <c r="C50" s="12">
        <v>78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/>
      <c r="N50" s="10"/>
      <c r="O50" s="14">
        <f t="shared" si="0"/>
        <v>0</v>
      </c>
      <c r="P50" s="9"/>
      <c r="S50" s="26">
        <f t="shared" si="1"/>
        <v>0</v>
      </c>
      <c r="T50" s="26">
        <f t="shared" si="2"/>
        <v>0</v>
      </c>
      <c r="U50" s="26">
        <f t="shared" si="3"/>
        <v>0</v>
      </c>
    </row>
    <row r="51" spans="1:21" hidden="1" x14ac:dyDescent="0.25">
      <c r="A51" s="31" t="str">
        <f>Marksheet!A50</f>
        <v>Nipun Singh</v>
      </c>
      <c r="B51" s="12">
        <f>Marksheet!B50</f>
        <v>590029310</v>
      </c>
      <c r="C51" s="12">
        <v>78</v>
      </c>
      <c r="D51" s="10">
        <v>4</v>
      </c>
      <c r="E51" s="10">
        <v>4</v>
      </c>
      <c r="F51" s="10">
        <v>6</v>
      </c>
      <c r="G51" s="10">
        <v>4</v>
      </c>
      <c r="H51" s="10">
        <v>2</v>
      </c>
      <c r="I51" s="10">
        <v>12</v>
      </c>
      <c r="J51" s="10">
        <v>12</v>
      </c>
      <c r="K51" s="10">
        <v>0</v>
      </c>
      <c r="L51" s="10">
        <v>2</v>
      </c>
      <c r="M51" s="10"/>
      <c r="N51" s="10"/>
      <c r="O51" s="14">
        <f t="shared" si="0"/>
        <v>46</v>
      </c>
      <c r="P51" s="9"/>
      <c r="S51" s="26">
        <f t="shared" si="1"/>
        <v>40.4</v>
      </c>
      <c r="T51" s="26">
        <f t="shared" si="2"/>
        <v>5.6</v>
      </c>
      <c r="U51" s="26">
        <f t="shared" si="3"/>
        <v>46</v>
      </c>
    </row>
    <row r="52" spans="1:21" x14ac:dyDescent="0.25">
      <c r="A52" s="31" t="str">
        <f>Marksheet!A51</f>
        <v>Paras Bhall</v>
      </c>
      <c r="B52" s="12">
        <f>Marksheet!B51</f>
        <v>590029319</v>
      </c>
      <c r="C52" s="12">
        <v>78</v>
      </c>
      <c r="D52" s="10">
        <v>1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/>
      <c r="N52" s="10"/>
      <c r="O52" s="14">
        <f t="shared" si="0"/>
        <v>1</v>
      </c>
      <c r="P52" s="9"/>
      <c r="S52" s="26">
        <f t="shared" si="1"/>
        <v>1</v>
      </c>
      <c r="T52" s="26">
        <f t="shared" si="2"/>
        <v>0</v>
      </c>
      <c r="U52" s="26">
        <f t="shared" si="3"/>
        <v>1</v>
      </c>
    </row>
    <row r="53" spans="1:21" x14ac:dyDescent="0.25">
      <c r="A53" s="31" t="str">
        <f>Marksheet!A52</f>
        <v>Raghav Kumar Goyal</v>
      </c>
      <c r="B53" s="12">
        <f>Marksheet!B52</f>
        <v>590029339</v>
      </c>
      <c r="C53" s="12">
        <v>78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1</v>
      </c>
      <c r="K53" s="10">
        <v>0</v>
      </c>
      <c r="L53" s="10">
        <v>0</v>
      </c>
      <c r="M53" s="10"/>
      <c r="N53" s="10"/>
      <c r="O53" s="14">
        <f t="shared" si="0"/>
        <v>1</v>
      </c>
      <c r="P53" s="9"/>
      <c r="S53" s="26">
        <f t="shared" si="1"/>
        <v>1</v>
      </c>
      <c r="T53" s="26">
        <f t="shared" si="2"/>
        <v>0</v>
      </c>
      <c r="U53" s="26">
        <f t="shared" si="3"/>
        <v>1</v>
      </c>
    </row>
    <row r="54" spans="1:21" x14ac:dyDescent="0.25">
      <c r="A54" s="31" t="str">
        <f>Marksheet!A53</f>
        <v>Rahul</v>
      </c>
      <c r="B54" s="12">
        <f>Marksheet!B53</f>
        <v>590029148</v>
      </c>
      <c r="C54" s="12">
        <v>78</v>
      </c>
      <c r="D54" s="10">
        <v>6</v>
      </c>
      <c r="E54" s="10">
        <v>5</v>
      </c>
      <c r="F54" s="10">
        <v>0</v>
      </c>
      <c r="G54" s="10">
        <v>0</v>
      </c>
      <c r="H54" s="10">
        <v>0</v>
      </c>
      <c r="I54" s="10">
        <v>6</v>
      </c>
      <c r="J54" s="10">
        <v>0</v>
      </c>
      <c r="K54" s="10">
        <v>0</v>
      </c>
      <c r="L54" s="10">
        <v>0</v>
      </c>
      <c r="M54" s="10"/>
      <c r="N54" s="10"/>
      <c r="O54" s="14">
        <f t="shared" si="0"/>
        <v>17</v>
      </c>
      <c r="P54" s="9"/>
      <c r="S54" s="26">
        <f t="shared" si="1"/>
        <v>17</v>
      </c>
      <c r="T54" s="26">
        <f t="shared" si="2"/>
        <v>0</v>
      </c>
      <c r="U54" s="26">
        <f t="shared" si="3"/>
        <v>17</v>
      </c>
    </row>
    <row r="55" spans="1:21" x14ac:dyDescent="0.25">
      <c r="A55" s="31" t="str">
        <f>Marksheet!A54</f>
        <v>Rahul Singh</v>
      </c>
      <c r="B55" s="12">
        <f>Marksheet!B54</f>
        <v>590029309</v>
      </c>
      <c r="C55" s="12">
        <v>78</v>
      </c>
      <c r="D55" s="10">
        <v>2</v>
      </c>
      <c r="E55" s="10">
        <v>2</v>
      </c>
      <c r="F55" s="10">
        <v>4</v>
      </c>
      <c r="G55" s="10">
        <v>0</v>
      </c>
      <c r="H55" s="10">
        <v>2</v>
      </c>
      <c r="I55" s="10">
        <v>2</v>
      </c>
      <c r="J55" s="10">
        <v>4</v>
      </c>
      <c r="K55" s="10">
        <v>0</v>
      </c>
      <c r="L55" s="10">
        <v>1</v>
      </c>
      <c r="M55" s="10"/>
      <c r="N55" s="10"/>
      <c r="O55" s="14">
        <f t="shared" si="0"/>
        <v>17</v>
      </c>
      <c r="P55" s="9"/>
      <c r="S55" s="26">
        <f t="shared" si="1"/>
        <v>16.2</v>
      </c>
      <c r="T55" s="26">
        <f t="shared" si="2"/>
        <v>0.8</v>
      </c>
      <c r="U55" s="26">
        <f t="shared" si="3"/>
        <v>17</v>
      </c>
    </row>
    <row r="56" spans="1:21" x14ac:dyDescent="0.25">
      <c r="A56" s="31" t="str">
        <f>Marksheet!A55</f>
        <v>Satyam Singh</v>
      </c>
      <c r="B56" s="12">
        <f>Marksheet!B55</f>
        <v>590028838</v>
      </c>
      <c r="C56" s="12">
        <v>78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/>
      <c r="N56" s="10"/>
      <c r="O56" s="14">
        <f t="shared" si="0"/>
        <v>0</v>
      </c>
      <c r="P56" s="9"/>
      <c r="S56" s="26">
        <f t="shared" si="1"/>
        <v>0</v>
      </c>
      <c r="T56" s="26">
        <f t="shared" si="2"/>
        <v>0</v>
      </c>
      <c r="U56" s="26">
        <f t="shared" si="3"/>
        <v>0</v>
      </c>
    </row>
    <row r="57" spans="1:21" x14ac:dyDescent="0.25">
      <c r="A57" s="31" t="str">
        <f>Marksheet!A56</f>
        <v>Shashwat Agrawal</v>
      </c>
      <c r="B57" s="12">
        <f>Marksheet!B56</f>
        <v>590029107</v>
      </c>
      <c r="C57" s="12">
        <v>78</v>
      </c>
      <c r="D57" s="10">
        <v>4</v>
      </c>
      <c r="E57" s="10">
        <v>1</v>
      </c>
      <c r="F57" s="10">
        <v>4</v>
      </c>
      <c r="G57" s="10">
        <v>0</v>
      </c>
      <c r="H57" s="10">
        <v>0</v>
      </c>
      <c r="I57" s="10">
        <v>3</v>
      </c>
      <c r="J57" s="10">
        <v>0</v>
      </c>
      <c r="K57" s="10">
        <v>0</v>
      </c>
      <c r="L57" s="10">
        <v>10</v>
      </c>
      <c r="M57" s="10"/>
      <c r="N57" s="10"/>
      <c r="O57" s="14">
        <f t="shared" si="0"/>
        <v>22</v>
      </c>
      <c r="P57" s="9"/>
      <c r="S57" s="26">
        <f t="shared" si="1"/>
        <v>14</v>
      </c>
      <c r="T57" s="26">
        <f t="shared" si="2"/>
        <v>8</v>
      </c>
      <c r="U57" s="26">
        <f t="shared" si="3"/>
        <v>22</v>
      </c>
    </row>
    <row r="58" spans="1:21" x14ac:dyDescent="0.25">
      <c r="A58" s="31" t="str">
        <f>Marksheet!A57</f>
        <v>Siddhant Gurung</v>
      </c>
      <c r="B58" s="12">
        <f>Marksheet!B57</f>
        <v>590029266</v>
      </c>
      <c r="C58" s="12">
        <v>78</v>
      </c>
      <c r="D58" s="10">
        <v>4</v>
      </c>
      <c r="E58" s="10">
        <v>0</v>
      </c>
      <c r="F58" s="10">
        <v>0</v>
      </c>
      <c r="G58" s="10">
        <v>0</v>
      </c>
      <c r="H58" s="10">
        <v>0</v>
      </c>
      <c r="I58" s="10">
        <v>5</v>
      </c>
      <c r="J58" s="10">
        <v>0</v>
      </c>
      <c r="K58" s="10">
        <v>0</v>
      </c>
      <c r="L58" s="10">
        <v>0</v>
      </c>
      <c r="M58" s="10"/>
      <c r="N58" s="10"/>
      <c r="O58" s="14">
        <f t="shared" si="0"/>
        <v>9</v>
      </c>
      <c r="P58" s="9"/>
      <c r="S58" s="26">
        <f t="shared" si="1"/>
        <v>9</v>
      </c>
      <c r="T58" s="26">
        <f t="shared" si="2"/>
        <v>0</v>
      </c>
      <c r="U58" s="26">
        <f t="shared" si="3"/>
        <v>9</v>
      </c>
    </row>
    <row r="59" spans="1:21" hidden="1" x14ac:dyDescent="0.25">
      <c r="A59" s="31" t="str">
        <f>Marksheet!A58</f>
        <v>Simarjot Kaur Gill</v>
      </c>
      <c r="B59" s="12">
        <f>Marksheet!B58</f>
        <v>590029354</v>
      </c>
      <c r="C59" s="12">
        <v>78</v>
      </c>
      <c r="D59" s="10">
        <v>6</v>
      </c>
      <c r="E59" s="10">
        <v>6</v>
      </c>
      <c r="F59" s="10">
        <v>5</v>
      </c>
      <c r="G59" s="10">
        <v>4</v>
      </c>
      <c r="H59" s="10">
        <v>6</v>
      </c>
      <c r="I59" s="10">
        <v>15</v>
      </c>
      <c r="J59" s="10">
        <v>15</v>
      </c>
      <c r="K59" s="10">
        <v>10</v>
      </c>
      <c r="L59" s="10">
        <v>15</v>
      </c>
      <c r="M59" s="10"/>
      <c r="N59" s="10"/>
      <c r="O59" s="14">
        <f t="shared" si="0"/>
        <v>82</v>
      </c>
      <c r="P59" s="9"/>
      <c r="S59" s="26">
        <f t="shared" si="1"/>
        <v>56</v>
      </c>
      <c r="T59" s="26">
        <f t="shared" si="2"/>
        <v>26</v>
      </c>
      <c r="U59" s="26">
        <f t="shared" si="3"/>
        <v>82</v>
      </c>
    </row>
    <row r="60" spans="1:21" x14ac:dyDescent="0.25">
      <c r="A60" s="31" t="str">
        <f>Marksheet!A59</f>
        <v>Tanishq Bansal</v>
      </c>
      <c r="B60" s="12">
        <f>Marksheet!B59</f>
        <v>590029349</v>
      </c>
      <c r="C60" s="12">
        <v>78</v>
      </c>
      <c r="D60" s="10">
        <v>4</v>
      </c>
      <c r="E60" s="10">
        <v>0</v>
      </c>
      <c r="F60" s="10">
        <v>0</v>
      </c>
      <c r="G60" s="10">
        <v>0</v>
      </c>
      <c r="H60" s="10">
        <v>2</v>
      </c>
      <c r="I60" s="10">
        <v>7</v>
      </c>
      <c r="J60" s="10">
        <v>3</v>
      </c>
      <c r="K60" s="10">
        <v>0</v>
      </c>
      <c r="L60" s="10">
        <v>15</v>
      </c>
      <c r="M60" s="10"/>
      <c r="N60" s="10"/>
      <c r="O60" s="14">
        <f t="shared" si="0"/>
        <v>31</v>
      </c>
      <c r="P60" s="9"/>
      <c r="S60" s="26">
        <f t="shared" si="1"/>
        <v>19</v>
      </c>
      <c r="T60" s="26">
        <f t="shared" si="2"/>
        <v>12</v>
      </c>
      <c r="U60" s="26">
        <f t="shared" si="3"/>
        <v>31</v>
      </c>
    </row>
    <row r="61" spans="1:21" hidden="1" x14ac:dyDescent="0.25">
      <c r="A61" s="31" t="str">
        <f>Marksheet!A60</f>
        <v>Tanmay Amit Verma</v>
      </c>
      <c r="B61" s="12">
        <f>Marksheet!B60</f>
        <v>590029302</v>
      </c>
      <c r="C61" s="12">
        <v>78</v>
      </c>
      <c r="D61" s="10">
        <v>6</v>
      </c>
      <c r="E61" s="10">
        <v>5.5</v>
      </c>
      <c r="F61" s="10">
        <v>6</v>
      </c>
      <c r="G61" s="10">
        <v>5.5</v>
      </c>
      <c r="H61" s="10">
        <v>3</v>
      </c>
      <c r="I61" s="10">
        <v>15</v>
      </c>
      <c r="J61" s="10">
        <v>15</v>
      </c>
      <c r="K61" s="10">
        <v>3</v>
      </c>
      <c r="L61" s="10">
        <v>9</v>
      </c>
      <c r="M61" s="10"/>
      <c r="N61" s="10"/>
      <c r="O61" s="14">
        <f t="shared" si="0"/>
        <v>68</v>
      </c>
      <c r="P61" s="9"/>
      <c r="S61" s="26">
        <f t="shared" si="1"/>
        <v>52.3</v>
      </c>
      <c r="T61" s="26">
        <f t="shared" si="2"/>
        <v>15.7</v>
      </c>
      <c r="U61" s="26">
        <f t="shared" si="3"/>
        <v>68</v>
      </c>
    </row>
    <row r="62" spans="1:21" hidden="1" x14ac:dyDescent="0.25">
      <c r="A62" s="31" t="str">
        <f>Marksheet!A61</f>
        <v>Vandana Yadav</v>
      </c>
      <c r="B62" s="12">
        <f>Marksheet!B61</f>
        <v>590029262</v>
      </c>
      <c r="C62" s="12">
        <v>78</v>
      </c>
      <c r="D62" s="10">
        <v>6</v>
      </c>
      <c r="E62" s="10">
        <v>6</v>
      </c>
      <c r="F62" s="10">
        <v>6</v>
      </c>
      <c r="G62" s="10">
        <v>4</v>
      </c>
      <c r="H62" s="10">
        <v>4</v>
      </c>
      <c r="I62" s="10">
        <v>14</v>
      </c>
      <c r="J62" s="10">
        <v>5</v>
      </c>
      <c r="K62" s="10">
        <v>5</v>
      </c>
      <c r="L62" s="10">
        <v>10</v>
      </c>
      <c r="M62" s="10"/>
      <c r="N62" s="10"/>
      <c r="O62" s="14">
        <f t="shared" si="0"/>
        <v>60</v>
      </c>
      <c r="P62" s="9"/>
      <c r="S62" s="26">
        <f t="shared" si="1"/>
        <v>43</v>
      </c>
      <c r="T62" s="26">
        <f t="shared" si="2"/>
        <v>17</v>
      </c>
      <c r="U62" s="26">
        <f t="shared" si="3"/>
        <v>60</v>
      </c>
    </row>
    <row r="63" spans="1:21" hidden="1" x14ac:dyDescent="0.25">
      <c r="A63" s="31" t="str">
        <f>Marksheet!A62</f>
        <v>Vidit Ahuja</v>
      </c>
      <c r="B63" s="12">
        <f>Marksheet!B62</f>
        <v>590029285</v>
      </c>
      <c r="C63" s="12">
        <v>78</v>
      </c>
      <c r="D63" s="10">
        <v>4</v>
      </c>
      <c r="E63" s="10">
        <v>6</v>
      </c>
      <c r="F63" s="10">
        <v>6</v>
      </c>
      <c r="G63" s="10">
        <v>2</v>
      </c>
      <c r="H63" s="10">
        <v>5</v>
      </c>
      <c r="I63" s="10">
        <v>10</v>
      </c>
      <c r="J63" s="10">
        <v>15</v>
      </c>
      <c r="K63" s="10">
        <v>5</v>
      </c>
      <c r="L63" s="10">
        <v>10</v>
      </c>
      <c r="M63" s="10"/>
      <c r="N63" s="10"/>
      <c r="O63" s="14">
        <f t="shared" si="0"/>
        <v>63</v>
      </c>
      <c r="P63" s="9"/>
      <c r="S63" s="26">
        <f t="shared" si="1"/>
        <v>48</v>
      </c>
      <c r="T63" s="26">
        <f t="shared" si="2"/>
        <v>15</v>
      </c>
      <c r="U63" s="26">
        <f t="shared" si="3"/>
        <v>63</v>
      </c>
    </row>
    <row r="64" spans="1:21" x14ac:dyDescent="0.25">
      <c r="A64" s="31" t="str">
        <f>Marksheet!A63</f>
        <v>Vinit Kumar</v>
      </c>
      <c r="B64" s="12">
        <f>Marksheet!B63</f>
        <v>590029353</v>
      </c>
      <c r="C64" s="12">
        <v>78</v>
      </c>
      <c r="D64" s="10">
        <v>1</v>
      </c>
      <c r="E64" s="10">
        <v>2</v>
      </c>
      <c r="F64" s="10">
        <v>3</v>
      </c>
      <c r="G64" s="10">
        <v>0</v>
      </c>
      <c r="H64" s="10">
        <v>0</v>
      </c>
      <c r="I64" s="10">
        <v>2</v>
      </c>
      <c r="J64" s="10">
        <v>0</v>
      </c>
      <c r="K64" s="10">
        <v>0</v>
      </c>
      <c r="L64" s="10">
        <v>5</v>
      </c>
      <c r="M64" s="10"/>
      <c r="N64" s="10"/>
      <c r="O64" s="14">
        <f t="shared" si="0"/>
        <v>13</v>
      </c>
      <c r="P64" s="9"/>
      <c r="S64" s="26">
        <f t="shared" si="1"/>
        <v>9</v>
      </c>
      <c r="T64" s="26">
        <f t="shared" si="2"/>
        <v>4</v>
      </c>
      <c r="U64" s="26">
        <f t="shared" si="3"/>
        <v>13</v>
      </c>
    </row>
    <row r="65" spans="1:21" hidden="1" x14ac:dyDescent="0.25">
      <c r="A65" s="31"/>
      <c r="C65" s="12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4">
        <f t="shared" si="0"/>
        <v>0</v>
      </c>
      <c r="P65" s="9"/>
      <c r="S65" s="26">
        <f t="shared" si="1"/>
        <v>0</v>
      </c>
      <c r="T65" s="26">
        <f t="shared" si="2"/>
        <v>0</v>
      </c>
      <c r="U65" s="26">
        <f t="shared" si="3"/>
        <v>0</v>
      </c>
    </row>
  </sheetData>
  <mergeCells count="2">
    <mergeCell ref="A1:P1"/>
    <mergeCell ref="A2:P2"/>
  </mergeCells>
  <phoneticPr fontId="3" type="noConversion"/>
  <pageMargins left="0.7" right="0.7" top="0.75" bottom="0.75" header="0.3" footer="0.3"/>
  <pageSetup paperSize="9" scale="66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9C77-33C1-4CBC-91FC-1994BECB7B48}">
  <sheetPr>
    <pageSetUpPr fitToPage="1"/>
  </sheetPr>
  <dimension ref="A1:O66"/>
  <sheetViews>
    <sheetView workbookViewId="0">
      <selection activeCell="C6" sqref="C6"/>
    </sheetView>
  </sheetViews>
  <sheetFormatPr defaultRowHeight="15" x14ac:dyDescent="0.25"/>
  <cols>
    <col min="1" max="1" width="20.7109375" style="20" customWidth="1"/>
    <col min="2" max="2" width="24.5703125" customWidth="1"/>
    <col min="15" max="15" width="13.140625" customWidth="1"/>
  </cols>
  <sheetData>
    <row r="1" spans="1:15" ht="24.75" x14ac:dyDescent="0.4">
      <c r="A1" s="47" t="s">
        <v>151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x14ac:dyDescent="0.25">
      <c r="A3" s="16"/>
      <c r="B3" s="1"/>
      <c r="C3" s="2" t="s">
        <v>135</v>
      </c>
      <c r="D3" s="2" t="s">
        <v>136</v>
      </c>
      <c r="E3" s="2" t="s">
        <v>137</v>
      </c>
      <c r="F3" s="2" t="s">
        <v>135</v>
      </c>
      <c r="G3" s="2" t="s">
        <v>136</v>
      </c>
      <c r="H3" s="2" t="s">
        <v>135</v>
      </c>
      <c r="I3" s="2" t="s">
        <v>137</v>
      </c>
      <c r="J3" s="2" t="s">
        <v>137</v>
      </c>
      <c r="K3" s="2" t="s">
        <v>152</v>
      </c>
      <c r="L3" s="2" t="s">
        <v>137</v>
      </c>
      <c r="M3" s="2" t="s">
        <v>152</v>
      </c>
      <c r="N3" s="1"/>
      <c r="O3" s="1"/>
    </row>
    <row r="4" spans="1:15" x14ac:dyDescent="0.25">
      <c r="A4" s="17" t="s">
        <v>153</v>
      </c>
      <c r="B4" s="3" t="s">
        <v>138</v>
      </c>
      <c r="C4" s="3" t="s">
        <v>140</v>
      </c>
      <c r="D4" s="3" t="s">
        <v>141</v>
      </c>
      <c r="E4" s="3" t="s">
        <v>142</v>
      </c>
      <c r="F4" s="3" t="s">
        <v>143</v>
      </c>
      <c r="G4" s="3" t="s">
        <v>144</v>
      </c>
      <c r="H4" s="3" t="s">
        <v>145</v>
      </c>
      <c r="I4" s="3" t="s">
        <v>146</v>
      </c>
      <c r="J4" s="3" t="s">
        <v>147</v>
      </c>
      <c r="K4" s="3" t="s">
        <v>148</v>
      </c>
      <c r="L4" s="3" t="s">
        <v>149</v>
      </c>
      <c r="M4" s="3" t="s">
        <v>150</v>
      </c>
      <c r="N4" s="3" t="s">
        <v>11</v>
      </c>
      <c r="O4" s="3" t="s">
        <v>12</v>
      </c>
    </row>
    <row r="5" spans="1:15" x14ac:dyDescent="0.25">
      <c r="A5" s="18"/>
      <c r="B5" s="5" t="s">
        <v>15</v>
      </c>
      <c r="C5" s="5">
        <v>4</v>
      </c>
      <c r="D5" s="5">
        <v>4</v>
      </c>
      <c r="E5" s="5">
        <v>4</v>
      </c>
      <c r="F5" s="5">
        <v>4</v>
      </c>
      <c r="G5" s="5">
        <v>4</v>
      </c>
      <c r="H5" s="5">
        <v>10</v>
      </c>
      <c r="I5" s="5">
        <v>10</v>
      </c>
      <c r="J5" s="5">
        <v>10</v>
      </c>
      <c r="K5" s="5">
        <v>10</v>
      </c>
      <c r="L5" s="5">
        <v>20</v>
      </c>
      <c r="M5" s="5">
        <v>20</v>
      </c>
      <c r="N5" s="5">
        <f>SUM(C5:M5)</f>
        <v>100</v>
      </c>
      <c r="O5" s="5"/>
    </row>
    <row r="6" spans="1:15" x14ac:dyDescent="0.25">
      <c r="A6" s="19">
        <f>'Mid Sem'!B6</f>
        <v>590029213</v>
      </c>
      <c r="B6" s="4" t="str">
        <f>'Mid Sem'!A6</f>
        <v>Aadya Dubey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/>
      <c r="O6" s="1"/>
    </row>
    <row r="7" spans="1:15" x14ac:dyDescent="0.25">
      <c r="A7" s="19">
        <f>'Mid Sem'!B7</f>
        <v>590029270</v>
      </c>
      <c r="B7" s="4" t="str">
        <f>'Mid Sem'!A7</f>
        <v>Aditya Vishwakarma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1"/>
    </row>
    <row r="8" spans="1:15" x14ac:dyDescent="0.25">
      <c r="A8" s="19">
        <f>'Mid Sem'!B8</f>
        <v>590029204</v>
      </c>
      <c r="B8" s="4" t="str">
        <f>'Mid Sem'!A8</f>
        <v>Arjun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"/>
    </row>
    <row r="9" spans="1:15" x14ac:dyDescent="0.25">
      <c r="A9" s="19">
        <f>'Mid Sem'!B9</f>
        <v>590029109</v>
      </c>
      <c r="B9" s="4" t="str">
        <f>'Mid Sem'!A9</f>
        <v>Aryan Yadav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"/>
    </row>
    <row r="10" spans="1:15" x14ac:dyDescent="0.25">
      <c r="A10" s="19">
        <f>'Mid Sem'!B10</f>
        <v>590029070</v>
      </c>
      <c r="B10" s="4" t="str">
        <f>'Mid Sem'!A10</f>
        <v>Astik Patel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"/>
    </row>
    <row r="11" spans="1:15" x14ac:dyDescent="0.25">
      <c r="A11" s="19">
        <f>'Mid Sem'!B11</f>
        <v>590029157</v>
      </c>
      <c r="B11" s="4" t="str">
        <f>'Mid Sem'!A11</f>
        <v>Ayush Mohan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1"/>
    </row>
    <row r="12" spans="1:15" x14ac:dyDescent="0.25">
      <c r="A12" s="19">
        <f>'Mid Sem'!B12</f>
        <v>590027157</v>
      </c>
      <c r="B12" s="4" t="str">
        <f>'Mid Sem'!A12</f>
        <v>Bhanu Purohit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1"/>
    </row>
    <row r="13" spans="1:15" x14ac:dyDescent="0.25">
      <c r="A13" s="19">
        <f>'Mid Sem'!B13</f>
        <v>590029274</v>
      </c>
      <c r="B13" s="4" t="str">
        <f>'Mid Sem'!A13</f>
        <v>Biswabandya Mohanty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1"/>
    </row>
    <row r="14" spans="1:15" x14ac:dyDescent="0.25">
      <c r="A14" s="19">
        <f>'Mid Sem'!B14</f>
        <v>590028572</v>
      </c>
      <c r="B14" s="4" t="str">
        <f>'Mid Sem'!A14</f>
        <v>Eashan Vashisht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"/>
      <c r="O14" s="1"/>
    </row>
    <row r="15" spans="1:15" x14ac:dyDescent="0.25">
      <c r="A15" s="19">
        <f>'Mid Sem'!B15</f>
        <v>590029230</v>
      </c>
      <c r="B15" s="4" t="str">
        <f>'Mid Sem'!A15</f>
        <v>Hardik Joshi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"/>
      <c r="O15" s="1"/>
    </row>
    <row r="16" spans="1:15" x14ac:dyDescent="0.25">
      <c r="A16" s="19">
        <f>'Mid Sem'!B16</f>
        <v>590029169</v>
      </c>
      <c r="B16" s="4" t="str">
        <f>'Mid Sem'!A16</f>
        <v>Hrithvik Bhardwaj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O16" s="1"/>
    </row>
    <row r="17" spans="1:15" x14ac:dyDescent="0.25">
      <c r="A17" s="19">
        <f>'Mid Sem'!B17</f>
        <v>590029112</v>
      </c>
      <c r="B17" s="4" t="str">
        <f>'Mid Sem'!A17</f>
        <v>Nitish Kumar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"/>
      <c r="O17" s="1"/>
    </row>
    <row r="18" spans="1:15" x14ac:dyDescent="0.25">
      <c r="A18" s="19">
        <f>'Mid Sem'!B18</f>
        <v>590025556</v>
      </c>
      <c r="B18" s="4" t="str">
        <f>'Mid Sem'!A18</f>
        <v>Omkareshwar Chaubey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"/>
      <c r="O18" s="1"/>
    </row>
    <row r="19" spans="1:15" x14ac:dyDescent="0.25">
      <c r="A19" s="19">
        <f>'Mid Sem'!B19</f>
        <v>590027830</v>
      </c>
      <c r="B19" s="4" t="str">
        <f>'Mid Sem'!A19</f>
        <v>Pavani Jain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O19" s="1"/>
    </row>
    <row r="20" spans="1:15" x14ac:dyDescent="0.25">
      <c r="A20" s="19">
        <f>'Mid Sem'!B20</f>
        <v>590028360</v>
      </c>
      <c r="B20" s="4" t="str">
        <f>'Mid Sem'!A20</f>
        <v>Prapti Uniyal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"/>
      <c r="O20" s="1"/>
    </row>
    <row r="21" spans="1:15" x14ac:dyDescent="0.25">
      <c r="A21" s="19">
        <f>'Mid Sem'!B21</f>
        <v>590029237</v>
      </c>
      <c r="B21" s="4" t="str">
        <f>'Mid Sem'!A21</f>
        <v>Priyadarshi Prabhakar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"/>
      <c r="O21" s="1"/>
    </row>
    <row r="22" spans="1:15" x14ac:dyDescent="0.25">
      <c r="A22" s="19">
        <f>'Mid Sem'!B22</f>
        <v>590029079</v>
      </c>
      <c r="B22" s="4" t="str">
        <f>'Mid Sem'!A22</f>
        <v>Radhe Patel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9">
        <f>'Mid Sem'!B23</f>
        <v>590029145</v>
      </c>
      <c r="B23" s="4" t="str">
        <f>'Mid Sem'!A23</f>
        <v>Rishika Purushotham</v>
      </c>
    </row>
    <row r="24" spans="1:15" x14ac:dyDescent="0.25">
      <c r="A24" s="19">
        <f>'Mid Sem'!B24</f>
        <v>590029209</v>
      </c>
      <c r="B24" s="4" t="str">
        <f>'Mid Sem'!A24</f>
        <v>Rishiv Kumar</v>
      </c>
    </row>
    <row r="25" spans="1:15" x14ac:dyDescent="0.25">
      <c r="A25" s="19">
        <f>'Mid Sem'!B25</f>
        <v>590027268</v>
      </c>
      <c r="B25" s="4" t="str">
        <f>'Mid Sem'!A25</f>
        <v>Sankalp Sunil Ronge</v>
      </c>
    </row>
    <row r="26" spans="1:15" x14ac:dyDescent="0.25">
      <c r="A26" s="19">
        <f>'Mid Sem'!B26</f>
        <v>590029227</v>
      </c>
      <c r="B26" s="4" t="str">
        <f>'Mid Sem'!A26</f>
        <v>Sartaj Singh</v>
      </c>
    </row>
    <row r="27" spans="1:15" x14ac:dyDescent="0.25">
      <c r="A27" s="19">
        <f>'Mid Sem'!B27</f>
        <v>590029241</v>
      </c>
      <c r="B27" s="4" t="str">
        <f>'Mid Sem'!A27</f>
        <v>Satakshi Gupta</v>
      </c>
    </row>
    <row r="28" spans="1:15" x14ac:dyDescent="0.25">
      <c r="A28" s="19">
        <f>'Mid Sem'!B28</f>
        <v>590023855</v>
      </c>
      <c r="B28" s="4" t="str">
        <f>'Mid Sem'!A28</f>
        <v>Shaswat Shantanu</v>
      </c>
    </row>
    <row r="29" spans="1:15" x14ac:dyDescent="0.25">
      <c r="A29" s="19">
        <f>'Mid Sem'!B29</f>
        <v>590029215</v>
      </c>
      <c r="B29" s="4" t="str">
        <f>'Mid Sem'!A29</f>
        <v>Siddhant Rai</v>
      </c>
    </row>
    <row r="30" spans="1:15" x14ac:dyDescent="0.25">
      <c r="A30" s="19">
        <f>'Mid Sem'!B30</f>
        <v>590029111</v>
      </c>
      <c r="B30" s="4" t="str">
        <f>'Mid Sem'!A30</f>
        <v>Sidhaant Singh Jyrwa</v>
      </c>
    </row>
    <row r="31" spans="1:15" x14ac:dyDescent="0.25">
      <c r="A31" s="19">
        <f>'Mid Sem'!B31</f>
        <v>590028683</v>
      </c>
      <c r="B31" s="4" t="str">
        <f>'Mid Sem'!A31</f>
        <v>Subrat Singh Jadaun</v>
      </c>
    </row>
    <row r="32" spans="1:15" x14ac:dyDescent="0.25">
      <c r="A32" s="19">
        <f>'Mid Sem'!B32</f>
        <v>590029121</v>
      </c>
      <c r="B32" s="4" t="str">
        <f>'Mid Sem'!A32</f>
        <v>Tushita Sharma</v>
      </c>
    </row>
    <row r="33" spans="1:2" x14ac:dyDescent="0.25">
      <c r="A33" s="19">
        <f>'Mid Sem'!B33</f>
        <v>590029048</v>
      </c>
      <c r="B33" s="4" t="str">
        <f>'Mid Sem'!A33</f>
        <v>Vaishnavi Kumari</v>
      </c>
    </row>
    <row r="34" spans="1:2" x14ac:dyDescent="0.25">
      <c r="A34" s="19">
        <f>'Mid Sem'!B34</f>
        <v>590029184</v>
      </c>
      <c r="B34" s="4" t="str">
        <f>'Mid Sem'!A34</f>
        <v>Vivek Chauhan</v>
      </c>
    </row>
    <row r="35" spans="1:2" x14ac:dyDescent="0.25">
      <c r="A35" s="19">
        <f>'Mid Sem'!B35</f>
        <v>590029330</v>
      </c>
      <c r="B35" s="4" t="str">
        <f>'Mid Sem'!A35</f>
        <v>Aadarshi Bisht</v>
      </c>
    </row>
    <row r="36" spans="1:2" x14ac:dyDescent="0.25">
      <c r="A36" s="19">
        <f>'Mid Sem'!B36</f>
        <v>590027630</v>
      </c>
      <c r="B36" s="4" t="str">
        <f>'Mid Sem'!A36</f>
        <v>Aarush Prasad</v>
      </c>
    </row>
    <row r="37" spans="1:2" x14ac:dyDescent="0.25">
      <c r="A37" s="19">
        <f>'Mid Sem'!B37</f>
        <v>590029219</v>
      </c>
      <c r="B37" s="4" t="str">
        <f>'Mid Sem'!A37</f>
        <v>Aditya Mishra</v>
      </c>
    </row>
    <row r="38" spans="1:2" x14ac:dyDescent="0.25">
      <c r="A38" s="19">
        <f>'Mid Sem'!B38</f>
        <v>590028933</v>
      </c>
      <c r="B38" s="4" t="str">
        <f>'Mid Sem'!A38</f>
        <v>Aman Barnwal</v>
      </c>
    </row>
    <row r="39" spans="1:2" x14ac:dyDescent="0.25">
      <c r="A39" s="19">
        <f>'Mid Sem'!B39</f>
        <v>590027859</v>
      </c>
      <c r="B39" s="4" t="str">
        <f>'Mid Sem'!A39</f>
        <v>Ashutosh Shrivastava</v>
      </c>
    </row>
    <row r="40" spans="1:2" x14ac:dyDescent="0.25">
      <c r="A40" s="19">
        <f>'Mid Sem'!B40</f>
        <v>590028682</v>
      </c>
      <c r="B40" s="4" t="str">
        <f>'Mid Sem'!A40</f>
        <v>Ayan Pande</v>
      </c>
    </row>
    <row r="41" spans="1:2" x14ac:dyDescent="0.25">
      <c r="A41" s="19">
        <f>'Mid Sem'!B41</f>
        <v>590023917</v>
      </c>
      <c r="B41" s="4" t="str">
        <f>'Mid Sem'!A41</f>
        <v>Ayush Pratap Singh</v>
      </c>
    </row>
    <row r="42" spans="1:2" x14ac:dyDescent="0.25">
      <c r="A42" s="19">
        <f>'Mid Sem'!B42</f>
        <v>590023785</v>
      </c>
      <c r="B42" s="4" t="str">
        <f>'Mid Sem'!A42</f>
        <v>Gayatri Bhatt</v>
      </c>
    </row>
    <row r="43" spans="1:2" x14ac:dyDescent="0.25">
      <c r="A43" s="19">
        <f>'Mid Sem'!B43</f>
        <v>590029264</v>
      </c>
      <c r="B43" s="4" t="str">
        <f>'Mid Sem'!A43</f>
        <v>Harsh Mudgal</v>
      </c>
    </row>
    <row r="44" spans="1:2" x14ac:dyDescent="0.25">
      <c r="A44" s="19">
        <f>'Mid Sem'!B44</f>
        <v>590029042</v>
      </c>
      <c r="B44" s="4" t="str">
        <f>'Mid Sem'!A44</f>
        <v>Kanan Nidhania</v>
      </c>
    </row>
    <row r="45" spans="1:2" x14ac:dyDescent="0.25">
      <c r="A45" s="19">
        <f>'Mid Sem'!B45</f>
        <v>590029336</v>
      </c>
      <c r="B45" s="4" t="str">
        <f>'Mid Sem'!A45</f>
        <v>Kanishka Diwakar</v>
      </c>
    </row>
    <row r="46" spans="1:2" x14ac:dyDescent="0.25">
      <c r="A46" s="19">
        <f>'Mid Sem'!B46</f>
        <v>590029233</v>
      </c>
      <c r="B46" s="4" t="str">
        <f>'Mid Sem'!A46</f>
        <v>Keshav Chahda</v>
      </c>
    </row>
    <row r="47" spans="1:2" x14ac:dyDescent="0.25">
      <c r="A47" s="19">
        <f>'Mid Sem'!B47</f>
        <v>590029328</v>
      </c>
      <c r="B47" s="4" t="str">
        <f>'Mid Sem'!A47</f>
        <v>Lakshay Dhanda</v>
      </c>
    </row>
    <row r="48" spans="1:2" x14ac:dyDescent="0.25">
      <c r="A48" s="19">
        <f>'Mid Sem'!B48</f>
        <v>590028608</v>
      </c>
      <c r="B48" s="4" t="str">
        <f>'Mid Sem'!A48</f>
        <v>Lakshya Singh</v>
      </c>
    </row>
    <row r="49" spans="1:2" x14ac:dyDescent="0.25">
      <c r="A49" s="19">
        <f>'Mid Sem'!B49</f>
        <v>590028605</v>
      </c>
      <c r="B49" s="4" t="str">
        <f>'Mid Sem'!A49</f>
        <v>Mayank Chand Ramola</v>
      </c>
    </row>
    <row r="50" spans="1:2" x14ac:dyDescent="0.25">
      <c r="A50" s="19">
        <f>'Mid Sem'!B50</f>
        <v>590026626</v>
      </c>
      <c r="B50" s="4" t="str">
        <f>'Mid Sem'!A50</f>
        <v>Mukesh Patel</v>
      </c>
    </row>
    <row r="51" spans="1:2" x14ac:dyDescent="0.25">
      <c r="A51" s="19">
        <f>'Mid Sem'!B51</f>
        <v>590029310</v>
      </c>
      <c r="B51" s="4" t="str">
        <f>'Mid Sem'!A51</f>
        <v>Nipun Singh</v>
      </c>
    </row>
    <row r="52" spans="1:2" x14ac:dyDescent="0.25">
      <c r="A52" s="19">
        <f>'Mid Sem'!B52</f>
        <v>590029319</v>
      </c>
      <c r="B52" s="4" t="str">
        <f>'Mid Sem'!A52</f>
        <v>Paras Bhall</v>
      </c>
    </row>
    <row r="53" spans="1:2" x14ac:dyDescent="0.25">
      <c r="A53" s="19">
        <f>'Mid Sem'!B53</f>
        <v>590029339</v>
      </c>
      <c r="B53" s="4" t="str">
        <f>'Mid Sem'!A53</f>
        <v>Raghav Kumar Goyal</v>
      </c>
    </row>
    <row r="54" spans="1:2" x14ac:dyDescent="0.25">
      <c r="A54" s="19">
        <f>'Mid Sem'!B54</f>
        <v>590029148</v>
      </c>
      <c r="B54" s="4" t="str">
        <f>'Mid Sem'!A54</f>
        <v>Rahul</v>
      </c>
    </row>
    <row r="55" spans="1:2" x14ac:dyDescent="0.25">
      <c r="A55" s="19">
        <f>'Mid Sem'!B55</f>
        <v>590029309</v>
      </c>
      <c r="B55" s="4" t="str">
        <f>'Mid Sem'!A55</f>
        <v>Rahul Singh</v>
      </c>
    </row>
    <row r="56" spans="1:2" x14ac:dyDescent="0.25">
      <c r="A56" s="19">
        <f>'Mid Sem'!B56</f>
        <v>590028838</v>
      </c>
      <c r="B56" s="4" t="str">
        <f>'Mid Sem'!A56</f>
        <v>Satyam Singh</v>
      </c>
    </row>
    <row r="57" spans="1:2" x14ac:dyDescent="0.25">
      <c r="A57" s="19">
        <f>'Mid Sem'!B57</f>
        <v>590029107</v>
      </c>
      <c r="B57" s="4" t="str">
        <f>'Mid Sem'!A57</f>
        <v>Shashwat Agrawal</v>
      </c>
    </row>
    <row r="58" spans="1:2" x14ac:dyDescent="0.25">
      <c r="A58" s="19">
        <f>'Mid Sem'!B58</f>
        <v>590029266</v>
      </c>
      <c r="B58" s="4" t="str">
        <f>'Mid Sem'!A58</f>
        <v>Siddhant Gurung</v>
      </c>
    </row>
    <row r="59" spans="1:2" x14ac:dyDescent="0.25">
      <c r="A59" s="19">
        <f>'Mid Sem'!B59</f>
        <v>590029354</v>
      </c>
      <c r="B59" s="4" t="str">
        <f>'Mid Sem'!A59</f>
        <v>Simarjot Kaur Gill</v>
      </c>
    </row>
    <row r="60" spans="1:2" x14ac:dyDescent="0.25">
      <c r="A60" s="19">
        <f>'Mid Sem'!B60</f>
        <v>590029349</v>
      </c>
      <c r="B60" s="4" t="str">
        <f>'Mid Sem'!A60</f>
        <v>Tanishq Bansal</v>
      </c>
    </row>
    <row r="61" spans="1:2" x14ac:dyDescent="0.25">
      <c r="A61" s="19">
        <f>'Mid Sem'!B61</f>
        <v>590029302</v>
      </c>
      <c r="B61" s="4" t="str">
        <f>'Mid Sem'!A61</f>
        <v>Tanmay Amit Verma</v>
      </c>
    </row>
    <row r="62" spans="1:2" x14ac:dyDescent="0.25">
      <c r="A62" s="19">
        <f>'Mid Sem'!B62</f>
        <v>590029262</v>
      </c>
      <c r="B62" s="4" t="str">
        <f>'Mid Sem'!A62</f>
        <v>Vandana Yadav</v>
      </c>
    </row>
    <row r="63" spans="1:2" x14ac:dyDescent="0.25">
      <c r="A63" s="19">
        <f>'Mid Sem'!B63</f>
        <v>590029285</v>
      </c>
      <c r="B63" s="4" t="str">
        <f>'Mid Sem'!A63</f>
        <v>Vidit Ahuja</v>
      </c>
    </row>
    <row r="64" spans="1:2" x14ac:dyDescent="0.25">
      <c r="A64" s="19">
        <f>'Mid Sem'!B64</f>
        <v>590029353</v>
      </c>
      <c r="B64" s="4" t="str">
        <f>'Mid Sem'!A64</f>
        <v>Vinit Kumar</v>
      </c>
    </row>
    <row r="65" spans="1:2" x14ac:dyDescent="0.25">
      <c r="A65" s="19">
        <f>'Mid Sem'!B65</f>
        <v>0</v>
      </c>
      <c r="B65" s="4">
        <f>'Mid Sem'!A65</f>
        <v>0</v>
      </c>
    </row>
    <row r="66" spans="1:2" x14ac:dyDescent="0.25">
      <c r="A66" s="19">
        <f>'Mid Sem'!B66</f>
        <v>0</v>
      </c>
      <c r="B66" s="4">
        <f>'Mid Sem'!A66</f>
        <v>0</v>
      </c>
    </row>
  </sheetData>
  <mergeCells count="2">
    <mergeCell ref="A1:O1"/>
    <mergeCell ref="A2:O2"/>
  </mergeCells>
  <pageMargins left="0.7" right="0.7" top="0.75" bottom="0.75" header="0.3" footer="0.3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EBFD-2930-4660-B24B-DD7AF4E41CF2}">
  <dimension ref="A1:V66"/>
  <sheetViews>
    <sheetView topLeftCell="A27" workbookViewId="0">
      <selection activeCell="O36" sqref="O36"/>
    </sheetView>
  </sheetViews>
  <sheetFormatPr defaultRowHeight="15" x14ac:dyDescent="0.25"/>
  <cols>
    <col min="1" max="1" width="19" customWidth="1"/>
    <col min="2" max="2" width="24.28515625" bestFit="1" customWidth="1"/>
    <col min="3" max="3" width="5.5703125" customWidth="1"/>
    <col min="4" max="14" width="4.5703125" bestFit="1" customWidth="1"/>
    <col min="15" max="15" width="5.42578125" bestFit="1" customWidth="1"/>
    <col min="16" max="16" width="4.7109375" bestFit="1" customWidth="1"/>
  </cols>
  <sheetData>
    <row r="1" spans="1:22" ht="24.75" x14ac:dyDescent="0.4">
      <c r="A1" s="47" t="s">
        <v>163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22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22" x14ac:dyDescent="0.25">
      <c r="A3" s="1"/>
      <c r="B3" s="1"/>
      <c r="C3" s="1"/>
      <c r="D3" s="2" t="s">
        <v>174</v>
      </c>
      <c r="E3" s="2" t="s">
        <v>152</v>
      </c>
      <c r="F3" s="2" t="s">
        <v>174</v>
      </c>
      <c r="G3" s="2" t="s">
        <v>152</v>
      </c>
      <c r="H3" s="2" t="s">
        <v>174</v>
      </c>
      <c r="I3" s="2" t="s">
        <v>137</v>
      </c>
      <c r="J3" s="2" t="s">
        <v>152</v>
      </c>
      <c r="K3" s="2" t="s">
        <v>174</v>
      </c>
      <c r="L3" s="2" t="s">
        <v>152</v>
      </c>
      <c r="M3" s="2"/>
      <c r="N3" s="2"/>
      <c r="O3" s="1"/>
      <c r="P3" s="1"/>
      <c r="S3" s="2" t="s">
        <v>137</v>
      </c>
      <c r="T3" s="2" t="s">
        <v>152</v>
      </c>
      <c r="U3" s="2" t="s">
        <v>174</v>
      </c>
    </row>
    <row r="4" spans="1:22" x14ac:dyDescent="0.25">
      <c r="A4" s="3" t="s">
        <v>153</v>
      </c>
      <c r="B4" s="3" t="s">
        <v>138</v>
      </c>
      <c r="C4" s="3"/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  <c r="I4" s="3" t="s">
        <v>145</v>
      </c>
      <c r="J4" s="3" t="s">
        <v>146</v>
      </c>
      <c r="K4" s="3" t="s">
        <v>147</v>
      </c>
      <c r="L4" s="3" t="s">
        <v>148</v>
      </c>
      <c r="M4" s="3" t="s">
        <v>149</v>
      </c>
      <c r="N4" s="3" t="s">
        <v>150</v>
      </c>
      <c r="O4" s="3" t="s">
        <v>11</v>
      </c>
      <c r="P4" s="3" t="s">
        <v>12</v>
      </c>
      <c r="S4" s="3"/>
      <c r="T4" s="3"/>
      <c r="U4" s="3"/>
      <c r="V4" s="3" t="s">
        <v>11</v>
      </c>
    </row>
    <row r="5" spans="1:22" x14ac:dyDescent="0.25">
      <c r="A5" s="5"/>
      <c r="B5" s="5" t="s">
        <v>15</v>
      </c>
      <c r="C5" s="5" t="s">
        <v>167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3</v>
      </c>
      <c r="J5" s="5">
        <v>3</v>
      </c>
      <c r="K5" s="5">
        <v>2</v>
      </c>
      <c r="L5" s="5">
        <v>2</v>
      </c>
      <c r="M5" s="5"/>
      <c r="N5" s="5"/>
      <c r="O5" s="5">
        <f>SUM(D5:L5)</f>
        <v>15</v>
      </c>
      <c r="P5" s="5"/>
      <c r="S5" s="5">
        <f>SUM(I5)</f>
        <v>3</v>
      </c>
      <c r="T5" s="5">
        <f>SUM(E5,G5,J5,L5)</f>
        <v>7</v>
      </c>
      <c r="U5" s="5">
        <f>SUM(D5,F5,H5,K5)</f>
        <v>5</v>
      </c>
      <c r="V5" s="5">
        <f>SUM(S5:U5)</f>
        <v>15</v>
      </c>
    </row>
    <row r="6" spans="1:22" x14ac:dyDescent="0.25">
      <c r="A6" s="4">
        <f>'Mid Sem'!B6</f>
        <v>590029213</v>
      </c>
      <c r="B6" s="4" t="str">
        <f>'Mid Sem'!A6</f>
        <v>Aadya Dubey</v>
      </c>
      <c r="C6" s="27" t="b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3</v>
      </c>
      <c r="J6" s="1">
        <v>3</v>
      </c>
      <c r="K6" s="1">
        <v>2</v>
      </c>
      <c r="L6" s="1">
        <v>2</v>
      </c>
      <c r="M6" s="1"/>
      <c r="N6" s="1"/>
      <c r="O6" s="1">
        <f>SUM(D6:L6)</f>
        <v>15</v>
      </c>
      <c r="P6" s="1"/>
      <c r="S6" s="4">
        <f t="shared" ref="S6:S64" si="0">SUM(I6)</f>
        <v>3</v>
      </c>
      <c r="T6" s="4">
        <f t="shared" ref="T6:T64" si="1">SUM(E6,G6,J6,L6)</f>
        <v>7</v>
      </c>
      <c r="U6" s="4">
        <f t="shared" ref="U6:U64" si="2">SUM(D6,F6,H6,K6)</f>
        <v>5</v>
      </c>
      <c r="V6" s="4">
        <f t="shared" ref="V6:V64" si="3">SUM(S6:U6)</f>
        <v>15</v>
      </c>
    </row>
    <row r="7" spans="1:22" x14ac:dyDescent="0.25">
      <c r="A7" s="4">
        <f>'Mid Sem'!B7</f>
        <v>590029270</v>
      </c>
      <c r="B7" s="4" t="str">
        <f>'Mid Sem'!A7</f>
        <v>Aditya Vishwakarma</v>
      </c>
      <c r="C7" s="27" t="b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3</v>
      </c>
      <c r="J7" s="1">
        <v>3</v>
      </c>
      <c r="K7" s="1">
        <v>2</v>
      </c>
      <c r="L7" s="1">
        <v>2</v>
      </c>
      <c r="M7" s="1"/>
      <c r="N7" s="1"/>
      <c r="O7" s="1">
        <f t="shared" ref="O7:O64" si="4">SUM(D7:L7)</f>
        <v>15</v>
      </c>
      <c r="P7" s="1"/>
      <c r="S7" s="4">
        <f t="shared" si="0"/>
        <v>3</v>
      </c>
      <c r="T7" s="4">
        <f t="shared" si="1"/>
        <v>7</v>
      </c>
      <c r="U7" s="4">
        <f t="shared" si="2"/>
        <v>5</v>
      </c>
      <c r="V7" s="4">
        <f t="shared" si="3"/>
        <v>15</v>
      </c>
    </row>
    <row r="8" spans="1:22" x14ac:dyDescent="0.25">
      <c r="A8" s="4">
        <f>'Mid Sem'!B8</f>
        <v>590029204</v>
      </c>
      <c r="B8" s="4" t="str">
        <f>'Mid Sem'!A8</f>
        <v>Arjun</v>
      </c>
      <c r="C8" s="27" t="b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1.5</v>
      </c>
      <c r="L8" s="1">
        <v>2</v>
      </c>
      <c r="M8" s="1"/>
      <c r="N8" s="1"/>
      <c r="O8" s="1">
        <f t="shared" si="4"/>
        <v>10.5</v>
      </c>
      <c r="P8" s="1"/>
      <c r="S8" s="4">
        <f t="shared" si="0"/>
        <v>1</v>
      </c>
      <c r="T8" s="4">
        <f t="shared" si="1"/>
        <v>5</v>
      </c>
      <c r="U8" s="4">
        <f t="shared" si="2"/>
        <v>4.5</v>
      </c>
      <c r="V8" s="4">
        <f t="shared" si="3"/>
        <v>10.5</v>
      </c>
    </row>
    <row r="9" spans="1:22" x14ac:dyDescent="0.25">
      <c r="A9" s="4">
        <f>'Mid Sem'!B9</f>
        <v>590029109</v>
      </c>
      <c r="B9" s="4" t="str">
        <f>'Mid Sem'!A9</f>
        <v>Aryan Yadav</v>
      </c>
      <c r="C9" s="27" t="b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3</v>
      </c>
      <c r="J9" s="1">
        <v>3</v>
      </c>
      <c r="K9" s="1">
        <v>2</v>
      </c>
      <c r="L9" s="1">
        <v>2</v>
      </c>
      <c r="M9" s="1"/>
      <c r="N9" s="1"/>
      <c r="O9" s="1">
        <f t="shared" si="4"/>
        <v>15</v>
      </c>
      <c r="P9" s="1"/>
      <c r="S9" s="4">
        <f t="shared" si="0"/>
        <v>3</v>
      </c>
      <c r="T9" s="4">
        <f t="shared" si="1"/>
        <v>7</v>
      </c>
      <c r="U9" s="4">
        <f t="shared" si="2"/>
        <v>5</v>
      </c>
      <c r="V9" s="4">
        <f t="shared" si="3"/>
        <v>15</v>
      </c>
    </row>
    <row r="10" spans="1:22" x14ac:dyDescent="0.25">
      <c r="A10" s="4">
        <f>'Mid Sem'!B10</f>
        <v>590029070</v>
      </c>
      <c r="B10" s="4" t="str">
        <f>'Mid Sem'!A10</f>
        <v>Astik Patel</v>
      </c>
      <c r="C10" s="27" t="b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3</v>
      </c>
      <c r="J10" s="1">
        <v>3</v>
      </c>
      <c r="K10" s="1">
        <v>2</v>
      </c>
      <c r="L10" s="1">
        <v>2</v>
      </c>
      <c r="M10" s="1"/>
      <c r="N10" s="1"/>
      <c r="O10" s="1">
        <f t="shared" si="4"/>
        <v>15</v>
      </c>
      <c r="P10" s="1"/>
      <c r="S10" s="4">
        <f t="shared" si="0"/>
        <v>3</v>
      </c>
      <c r="T10" s="4">
        <f t="shared" si="1"/>
        <v>7</v>
      </c>
      <c r="U10" s="4">
        <f t="shared" si="2"/>
        <v>5</v>
      </c>
      <c r="V10" s="4">
        <f t="shared" si="3"/>
        <v>15</v>
      </c>
    </row>
    <row r="11" spans="1:22" x14ac:dyDescent="0.25">
      <c r="A11" s="4">
        <f>'Mid Sem'!B11</f>
        <v>590029157</v>
      </c>
      <c r="B11" s="4" t="str">
        <f>'Mid Sem'!A11</f>
        <v>Ayush Mohan</v>
      </c>
      <c r="C11" s="27" t="b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2.5</v>
      </c>
      <c r="J11" s="1">
        <v>1</v>
      </c>
      <c r="K11" s="1">
        <v>2</v>
      </c>
      <c r="L11" s="1">
        <v>2</v>
      </c>
      <c r="M11" s="1"/>
      <c r="N11" s="1"/>
      <c r="O11" s="1">
        <f t="shared" si="4"/>
        <v>12.5</v>
      </c>
      <c r="P11" s="1"/>
      <c r="S11" s="4">
        <f t="shared" si="0"/>
        <v>2.5</v>
      </c>
      <c r="T11" s="4">
        <f t="shared" si="1"/>
        <v>5</v>
      </c>
      <c r="U11" s="4">
        <f t="shared" si="2"/>
        <v>5</v>
      </c>
      <c r="V11" s="4">
        <f t="shared" si="3"/>
        <v>12.5</v>
      </c>
    </row>
    <row r="12" spans="1:22" x14ac:dyDescent="0.25">
      <c r="A12" s="4">
        <f>'Mid Sem'!B12</f>
        <v>590027157</v>
      </c>
      <c r="B12" s="4" t="str">
        <f>'Mid Sem'!A12</f>
        <v>Bhanu Purohit</v>
      </c>
      <c r="C12" s="27" t="b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0</v>
      </c>
      <c r="J12" s="1">
        <v>3</v>
      </c>
      <c r="K12" s="1">
        <v>1</v>
      </c>
      <c r="L12" s="1">
        <v>1</v>
      </c>
      <c r="M12" s="1"/>
      <c r="N12" s="1"/>
      <c r="O12" s="1">
        <f t="shared" si="4"/>
        <v>10</v>
      </c>
      <c r="P12" s="1"/>
      <c r="S12" s="4">
        <f t="shared" si="0"/>
        <v>0</v>
      </c>
      <c r="T12" s="4">
        <f t="shared" si="1"/>
        <v>6</v>
      </c>
      <c r="U12" s="4">
        <f t="shared" si="2"/>
        <v>4</v>
      </c>
      <c r="V12" s="4">
        <f t="shared" si="3"/>
        <v>10</v>
      </c>
    </row>
    <row r="13" spans="1:22" x14ac:dyDescent="0.25">
      <c r="A13" s="4">
        <f>'Mid Sem'!B13</f>
        <v>590029274</v>
      </c>
      <c r="B13" s="4" t="str">
        <f>'Mid Sem'!A13</f>
        <v>Biswabandya Mohanty</v>
      </c>
      <c r="C13" s="27" t="b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2</v>
      </c>
      <c r="L13" s="1">
        <v>2</v>
      </c>
      <c r="M13" s="1"/>
      <c r="N13" s="1"/>
      <c r="O13" s="1">
        <f t="shared" si="4"/>
        <v>14</v>
      </c>
      <c r="P13" s="1"/>
      <c r="S13" s="4">
        <f t="shared" si="0"/>
        <v>3</v>
      </c>
      <c r="T13" s="4">
        <f t="shared" si="1"/>
        <v>6</v>
      </c>
      <c r="U13" s="4">
        <f t="shared" si="2"/>
        <v>5</v>
      </c>
      <c r="V13" s="4">
        <f t="shared" si="3"/>
        <v>14</v>
      </c>
    </row>
    <row r="14" spans="1:22" x14ac:dyDescent="0.25">
      <c r="A14" s="4">
        <f>'Mid Sem'!B14</f>
        <v>590028572</v>
      </c>
      <c r="B14" s="4" t="str">
        <f>'Mid Sem'!A14</f>
        <v>Eashan Vashisht</v>
      </c>
      <c r="C14" s="27" t="b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3</v>
      </c>
      <c r="J14" s="1">
        <v>0</v>
      </c>
      <c r="K14" s="1">
        <v>2</v>
      </c>
      <c r="L14" s="1">
        <v>2</v>
      </c>
      <c r="M14" s="1"/>
      <c r="N14" s="1"/>
      <c r="O14" s="1">
        <f t="shared" si="4"/>
        <v>12</v>
      </c>
      <c r="P14" s="1"/>
      <c r="S14" s="4">
        <f t="shared" si="0"/>
        <v>3</v>
      </c>
      <c r="T14" s="4">
        <f t="shared" si="1"/>
        <v>4</v>
      </c>
      <c r="U14" s="4">
        <f t="shared" si="2"/>
        <v>5</v>
      </c>
      <c r="V14" s="4">
        <f t="shared" si="3"/>
        <v>12</v>
      </c>
    </row>
    <row r="15" spans="1:22" x14ac:dyDescent="0.25">
      <c r="A15" s="4">
        <f>'Mid Sem'!B15</f>
        <v>590029230</v>
      </c>
      <c r="B15" s="4" t="str">
        <f>'Mid Sem'!A15</f>
        <v>Hardik Joshi</v>
      </c>
      <c r="C15" s="27" t="b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f t="shared" si="4"/>
        <v>0</v>
      </c>
      <c r="P15" s="1"/>
      <c r="S15" s="4">
        <f t="shared" si="0"/>
        <v>0</v>
      </c>
      <c r="T15" s="4">
        <f t="shared" si="1"/>
        <v>0</v>
      </c>
      <c r="U15" s="4">
        <f t="shared" si="2"/>
        <v>0</v>
      </c>
      <c r="V15" s="4">
        <f t="shared" si="3"/>
        <v>0</v>
      </c>
    </row>
    <row r="16" spans="1:22" x14ac:dyDescent="0.25">
      <c r="A16" s="4">
        <f>'Mid Sem'!B16</f>
        <v>590029169</v>
      </c>
      <c r="B16" s="4" t="str">
        <f>'Mid Sem'!A16</f>
        <v>Hrithvik Bhardwaj</v>
      </c>
      <c r="C16" s="27" t="b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3</v>
      </c>
      <c r="J16" s="1">
        <v>3</v>
      </c>
      <c r="K16" s="1">
        <v>0</v>
      </c>
      <c r="L16" s="1">
        <v>2</v>
      </c>
      <c r="M16" s="1"/>
      <c r="N16" s="1"/>
      <c r="O16" s="1">
        <f t="shared" si="4"/>
        <v>13</v>
      </c>
      <c r="P16" s="1"/>
      <c r="S16" s="4">
        <f t="shared" si="0"/>
        <v>3</v>
      </c>
      <c r="T16" s="4">
        <f t="shared" si="1"/>
        <v>7</v>
      </c>
      <c r="U16" s="4">
        <f t="shared" si="2"/>
        <v>3</v>
      </c>
      <c r="V16" s="4">
        <f t="shared" si="3"/>
        <v>13</v>
      </c>
    </row>
    <row r="17" spans="1:22" x14ac:dyDescent="0.25">
      <c r="A17" s="4">
        <f>'Mid Sem'!B17</f>
        <v>590029112</v>
      </c>
      <c r="B17" s="4" t="str">
        <f>'Mid Sem'!A17</f>
        <v>Nitish Kumar</v>
      </c>
      <c r="C17" s="27" t="b">
        <v>1</v>
      </c>
      <c r="D17" s="1">
        <v>1</v>
      </c>
      <c r="E17" s="1">
        <v>0</v>
      </c>
      <c r="F17" s="1">
        <v>0</v>
      </c>
      <c r="G17" s="1">
        <v>1</v>
      </c>
      <c r="H17" s="1">
        <v>1</v>
      </c>
      <c r="I17" s="1">
        <v>1</v>
      </c>
      <c r="J17" s="1">
        <v>2</v>
      </c>
      <c r="K17" s="1">
        <v>0</v>
      </c>
      <c r="L17" s="1">
        <v>0</v>
      </c>
      <c r="M17" s="1"/>
      <c r="N17" s="1"/>
      <c r="O17" s="1">
        <f t="shared" si="4"/>
        <v>6</v>
      </c>
      <c r="P17" s="1"/>
      <c r="S17" s="4">
        <f t="shared" si="0"/>
        <v>1</v>
      </c>
      <c r="T17" s="4">
        <f t="shared" si="1"/>
        <v>3</v>
      </c>
      <c r="U17" s="4">
        <f t="shared" si="2"/>
        <v>2</v>
      </c>
      <c r="V17" s="4">
        <f t="shared" si="3"/>
        <v>6</v>
      </c>
    </row>
    <row r="18" spans="1:22" x14ac:dyDescent="0.25">
      <c r="A18" s="4">
        <f>'Mid Sem'!B18</f>
        <v>590025556</v>
      </c>
      <c r="B18" s="4" t="str">
        <f>'Mid Sem'!A18</f>
        <v>Omkareshwar Chaubey</v>
      </c>
      <c r="C18" s="27" t="b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3</v>
      </c>
      <c r="J18" s="1">
        <v>3</v>
      </c>
      <c r="K18" s="1">
        <v>2</v>
      </c>
      <c r="L18" s="1">
        <v>2</v>
      </c>
      <c r="M18" s="1"/>
      <c r="N18" s="1"/>
      <c r="O18" s="1">
        <f t="shared" si="4"/>
        <v>15</v>
      </c>
      <c r="P18" s="1"/>
      <c r="S18" s="4">
        <f t="shared" si="0"/>
        <v>3</v>
      </c>
      <c r="T18" s="4">
        <f t="shared" si="1"/>
        <v>7</v>
      </c>
      <c r="U18" s="4">
        <f t="shared" si="2"/>
        <v>5</v>
      </c>
      <c r="V18" s="4">
        <f t="shared" si="3"/>
        <v>15</v>
      </c>
    </row>
    <row r="19" spans="1:22" x14ac:dyDescent="0.25">
      <c r="A19" s="4">
        <f>'Mid Sem'!B19</f>
        <v>590027830</v>
      </c>
      <c r="B19" s="4" t="str">
        <f>'Mid Sem'!A19</f>
        <v>Pavani Jain</v>
      </c>
      <c r="C19" s="27" t="b">
        <v>1</v>
      </c>
      <c r="D19" s="1">
        <v>1</v>
      </c>
      <c r="E19" s="1">
        <v>0</v>
      </c>
      <c r="F19" s="1">
        <v>1</v>
      </c>
      <c r="G19" s="1">
        <v>0</v>
      </c>
      <c r="H19" s="1">
        <v>1</v>
      </c>
      <c r="I19" s="1">
        <v>1</v>
      </c>
      <c r="J19" s="1">
        <v>2</v>
      </c>
      <c r="K19" s="1">
        <v>2</v>
      </c>
      <c r="L19" s="1">
        <v>2</v>
      </c>
      <c r="M19" s="1"/>
      <c r="N19" s="1"/>
      <c r="O19" s="1">
        <f t="shared" si="4"/>
        <v>10</v>
      </c>
      <c r="P19" s="1"/>
      <c r="S19" s="4">
        <f t="shared" si="0"/>
        <v>1</v>
      </c>
      <c r="T19" s="4">
        <f t="shared" si="1"/>
        <v>4</v>
      </c>
      <c r="U19" s="4">
        <f t="shared" si="2"/>
        <v>5</v>
      </c>
      <c r="V19" s="4">
        <f t="shared" si="3"/>
        <v>10</v>
      </c>
    </row>
    <row r="20" spans="1:22" x14ac:dyDescent="0.25">
      <c r="A20" s="4">
        <f>'Mid Sem'!B20</f>
        <v>590028360</v>
      </c>
      <c r="B20" s="4" t="str">
        <f>'Mid Sem'!A20</f>
        <v>Prapti Uniyal</v>
      </c>
      <c r="C20" s="27" t="b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3</v>
      </c>
      <c r="J20" s="1">
        <v>3</v>
      </c>
      <c r="K20" s="1">
        <v>1</v>
      </c>
      <c r="L20" s="1">
        <v>2</v>
      </c>
      <c r="M20" s="1"/>
      <c r="N20" s="1"/>
      <c r="O20" s="1">
        <f t="shared" si="4"/>
        <v>14</v>
      </c>
      <c r="P20" s="1"/>
      <c r="S20" s="4">
        <f t="shared" si="0"/>
        <v>3</v>
      </c>
      <c r="T20" s="4">
        <f t="shared" si="1"/>
        <v>7</v>
      </c>
      <c r="U20" s="4">
        <f t="shared" si="2"/>
        <v>4</v>
      </c>
      <c r="V20" s="4">
        <f t="shared" si="3"/>
        <v>14</v>
      </c>
    </row>
    <row r="21" spans="1:22" x14ac:dyDescent="0.25">
      <c r="A21" s="4">
        <f>'Mid Sem'!B21</f>
        <v>590029237</v>
      </c>
      <c r="B21" s="4" t="str">
        <f>'Mid Sem'!A21</f>
        <v>Priyadarshi Prabhakar</v>
      </c>
      <c r="C21" s="27" t="b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0</v>
      </c>
      <c r="K21" s="1">
        <v>2</v>
      </c>
      <c r="L21" s="1">
        <v>2</v>
      </c>
      <c r="M21" s="1"/>
      <c r="N21" s="1"/>
      <c r="O21" s="1">
        <f t="shared" si="4"/>
        <v>10</v>
      </c>
      <c r="P21" s="1"/>
      <c r="S21" s="4">
        <f t="shared" si="0"/>
        <v>1</v>
      </c>
      <c r="T21" s="4">
        <f t="shared" si="1"/>
        <v>4</v>
      </c>
      <c r="U21" s="4">
        <f t="shared" si="2"/>
        <v>5</v>
      </c>
      <c r="V21" s="4">
        <f t="shared" si="3"/>
        <v>10</v>
      </c>
    </row>
    <row r="22" spans="1:22" x14ac:dyDescent="0.25">
      <c r="A22" s="4">
        <f>'Mid Sem'!B22</f>
        <v>590029079</v>
      </c>
      <c r="B22" s="4" t="str">
        <f>'Mid Sem'!A22</f>
        <v>Radhe Patel</v>
      </c>
      <c r="C22" s="27" t="b">
        <v>0</v>
      </c>
      <c r="D22" s="1"/>
      <c r="E22" s="1"/>
      <c r="F22" s="1"/>
      <c r="G22" s="1"/>
      <c r="H22" s="1"/>
      <c r="I22" s="1"/>
      <c r="J22" s="1"/>
      <c r="K22" s="1"/>
      <c r="L22" s="1"/>
      <c r="O22" s="1">
        <f t="shared" si="4"/>
        <v>0</v>
      </c>
      <c r="P22" s="1"/>
      <c r="S22" s="4">
        <f t="shared" si="0"/>
        <v>0</v>
      </c>
      <c r="T22" s="4">
        <f t="shared" si="1"/>
        <v>0</v>
      </c>
      <c r="U22" s="4">
        <f t="shared" si="2"/>
        <v>0</v>
      </c>
      <c r="V22" s="4">
        <f t="shared" si="3"/>
        <v>0</v>
      </c>
    </row>
    <row r="23" spans="1:22" x14ac:dyDescent="0.25">
      <c r="A23" s="4">
        <f>'Mid Sem'!B23</f>
        <v>590029145</v>
      </c>
      <c r="B23" s="4" t="str">
        <f>'Mid Sem'!A23</f>
        <v>Rishika Purushotham</v>
      </c>
      <c r="C23" s="27" t="b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3</v>
      </c>
      <c r="J23" s="1">
        <v>3</v>
      </c>
      <c r="K23" s="1">
        <v>2</v>
      </c>
      <c r="L23" s="1">
        <v>2</v>
      </c>
      <c r="O23" s="1">
        <f t="shared" si="4"/>
        <v>15</v>
      </c>
      <c r="P23" s="1"/>
      <c r="S23" s="4">
        <f t="shared" si="0"/>
        <v>3</v>
      </c>
      <c r="T23" s="4">
        <f t="shared" si="1"/>
        <v>7</v>
      </c>
      <c r="U23" s="4">
        <f t="shared" si="2"/>
        <v>5</v>
      </c>
      <c r="V23" s="4">
        <f t="shared" si="3"/>
        <v>15</v>
      </c>
    </row>
    <row r="24" spans="1:22" x14ac:dyDescent="0.25">
      <c r="A24" s="4">
        <f>'Mid Sem'!B24</f>
        <v>590029209</v>
      </c>
      <c r="B24" s="4" t="str">
        <f>'Mid Sem'!A24</f>
        <v>Rishiv Kumar</v>
      </c>
      <c r="C24" s="27" t="b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2</v>
      </c>
      <c r="O24" s="1">
        <f t="shared" si="4"/>
        <v>8</v>
      </c>
      <c r="P24" s="1"/>
      <c r="S24" s="4">
        <f t="shared" si="0"/>
        <v>1</v>
      </c>
      <c r="T24" s="4">
        <f t="shared" si="1"/>
        <v>4</v>
      </c>
      <c r="U24" s="4">
        <f t="shared" si="2"/>
        <v>3</v>
      </c>
      <c r="V24" s="4">
        <f t="shared" si="3"/>
        <v>8</v>
      </c>
    </row>
    <row r="25" spans="1:22" x14ac:dyDescent="0.25">
      <c r="A25" s="4">
        <f>'Mid Sem'!B25</f>
        <v>590027268</v>
      </c>
      <c r="B25" s="4" t="str">
        <f>'Mid Sem'!A25</f>
        <v>Sankalp Sunil Ronge</v>
      </c>
      <c r="C25" s="27" t="b">
        <v>1</v>
      </c>
      <c r="D25" s="1">
        <v>1</v>
      </c>
      <c r="E25" s="1">
        <v>1</v>
      </c>
      <c r="F25" s="1">
        <v>0</v>
      </c>
      <c r="G25" s="1">
        <v>1</v>
      </c>
      <c r="H25" s="1">
        <v>1</v>
      </c>
      <c r="I25" s="1">
        <v>2</v>
      </c>
      <c r="J25" s="1">
        <v>0</v>
      </c>
      <c r="K25" s="1">
        <v>1</v>
      </c>
      <c r="L25" s="1">
        <v>0</v>
      </c>
      <c r="O25" s="1">
        <f t="shared" si="4"/>
        <v>7</v>
      </c>
      <c r="P25" s="1"/>
      <c r="S25" s="4">
        <f t="shared" si="0"/>
        <v>2</v>
      </c>
      <c r="T25" s="4">
        <f t="shared" si="1"/>
        <v>2</v>
      </c>
      <c r="U25" s="4">
        <f t="shared" si="2"/>
        <v>3</v>
      </c>
      <c r="V25" s="4">
        <f t="shared" si="3"/>
        <v>7</v>
      </c>
    </row>
    <row r="26" spans="1:22" x14ac:dyDescent="0.25">
      <c r="A26" s="4">
        <f>'Mid Sem'!B26</f>
        <v>590029227</v>
      </c>
      <c r="B26" s="4" t="str">
        <f>'Mid Sem'!A26</f>
        <v>Sartaj Singh</v>
      </c>
      <c r="C26" s="27" t="b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3</v>
      </c>
      <c r="J26" s="1">
        <v>3</v>
      </c>
      <c r="K26" s="1">
        <v>2</v>
      </c>
      <c r="L26" s="1">
        <v>2</v>
      </c>
      <c r="O26" s="1">
        <f t="shared" si="4"/>
        <v>15</v>
      </c>
      <c r="P26" s="1"/>
      <c r="S26" s="4">
        <f t="shared" si="0"/>
        <v>3</v>
      </c>
      <c r="T26" s="4">
        <f t="shared" si="1"/>
        <v>7</v>
      </c>
      <c r="U26" s="4">
        <f t="shared" si="2"/>
        <v>5</v>
      </c>
      <c r="V26" s="4">
        <f t="shared" si="3"/>
        <v>15</v>
      </c>
    </row>
    <row r="27" spans="1:22" x14ac:dyDescent="0.25">
      <c r="A27" s="4">
        <f>'Mid Sem'!B27</f>
        <v>590029241</v>
      </c>
      <c r="B27" s="4" t="str">
        <f>'Mid Sem'!A27</f>
        <v>Satakshi Gupta</v>
      </c>
      <c r="C27" s="27" t="b">
        <v>1</v>
      </c>
      <c r="D27" s="1">
        <v>1</v>
      </c>
      <c r="E27" s="1">
        <v>0</v>
      </c>
      <c r="F27" s="1">
        <v>1</v>
      </c>
      <c r="G27" s="1">
        <v>1</v>
      </c>
      <c r="H27" s="1">
        <v>1</v>
      </c>
      <c r="I27" s="1">
        <v>2</v>
      </c>
      <c r="J27" s="1">
        <v>1.5</v>
      </c>
      <c r="K27" s="1">
        <v>1.5</v>
      </c>
      <c r="L27" s="1">
        <v>2</v>
      </c>
      <c r="O27" s="1">
        <f t="shared" si="4"/>
        <v>11</v>
      </c>
      <c r="P27" s="1"/>
      <c r="S27" s="4">
        <f t="shared" si="0"/>
        <v>2</v>
      </c>
      <c r="T27" s="4">
        <f t="shared" si="1"/>
        <v>4.5</v>
      </c>
      <c r="U27" s="4">
        <f t="shared" si="2"/>
        <v>4.5</v>
      </c>
      <c r="V27" s="4">
        <f t="shared" si="3"/>
        <v>11</v>
      </c>
    </row>
    <row r="28" spans="1:22" x14ac:dyDescent="0.25">
      <c r="A28" s="4">
        <f>'Mid Sem'!B28</f>
        <v>590023855</v>
      </c>
      <c r="B28" s="4" t="str">
        <f>'Mid Sem'!A28</f>
        <v>Shaswat Shantanu</v>
      </c>
      <c r="C28" s="27" t="b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0</v>
      </c>
      <c r="K28" s="1">
        <v>2</v>
      </c>
      <c r="L28" s="1">
        <v>1</v>
      </c>
      <c r="O28" s="1">
        <f t="shared" si="4"/>
        <v>9</v>
      </c>
      <c r="P28" s="1"/>
      <c r="S28" s="4">
        <f t="shared" si="0"/>
        <v>1</v>
      </c>
      <c r="T28" s="4">
        <f t="shared" si="1"/>
        <v>3</v>
      </c>
      <c r="U28" s="4">
        <f t="shared" si="2"/>
        <v>5</v>
      </c>
      <c r="V28" s="4">
        <f t="shared" si="3"/>
        <v>9</v>
      </c>
    </row>
    <row r="29" spans="1:22" x14ac:dyDescent="0.25">
      <c r="A29" s="4">
        <f>'Mid Sem'!B29</f>
        <v>590029215</v>
      </c>
      <c r="B29" s="4" t="str">
        <f>'Mid Sem'!A29</f>
        <v>Siddhant Rai</v>
      </c>
      <c r="C29" s="27" t="b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3</v>
      </c>
      <c r="J29" s="1">
        <v>2</v>
      </c>
      <c r="K29" s="1">
        <v>2</v>
      </c>
      <c r="L29" s="1">
        <v>2</v>
      </c>
      <c r="O29" s="1">
        <f t="shared" si="4"/>
        <v>14</v>
      </c>
      <c r="P29" s="1"/>
      <c r="S29" s="4">
        <f t="shared" si="0"/>
        <v>3</v>
      </c>
      <c r="T29" s="4">
        <f t="shared" si="1"/>
        <v>6</v>
      </c>
      <c r="U29" s="4">
        <f t="shared" si="2"/>
        <v>5</v>
      </c>
      <c r="V29" s="4">
        <f t="shared" si="3"/>
        <v>14</v>
      </c>
    </row>
    <row r="30" spans="1:22" x14ac:dyDescent="0.25">
      <c r="A30" s="4">
        <f>'Mid Sem'!B30</f>
        <v>590029111</v>
      </c>
      <c r="B30" s="4" t="str">
        <f>'Mid Sem'!A30</f>
        <v>Sidhaant Singh Jyrwa</v>
      </c>
      <c r="C30" s="27" t="b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2.5</v>
      </c>
      <c r="J30" s="1">
        <v>0</v>
      </c>
      <c r="K30" s="1">
        <v>2</v>
      </c>
      <c r="L30" s="1">
        <v>2</v>
      </c>
      <c r="O30" s="1">
        <f t="shared" si="4"/>
        <v>11.5</v>
      </c>
      <c r="P30" s="1"/>
      <c r="S30" s="4">
        <f t="shared" si="0"/>
        <v>2.5</v>
      </c>
      <c r="T30" s="4">
        <f t="shared" si="1"/>
        <v>4</v>
      </c>
      <c r="U30" s="4">
        <f t="shared" si="2"/>
        <v>5</v>
      </c>
      <c r="V30" s="4">
        <f t="shared" si="3"/>
        <v>11.5</v>
      </c>
    </row>
    <row r="31" spans="1:22" x14ac:dyDescent="0.25">
      <c r="A31" s="4">
        <f>'Mid Sem'!B31</f>
        <v>590028683</v>
      </c>
      <c r="B31" s="4" t="str">
        <f>'Mid Sem'!A31</f>
        <v>Subrat Singh Jadaun</v>
      </c>
      <c r="C31" s="27" t="b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0</v>
      </c>
      <c r="K31" s="1">
        <v>1</v>
      </c>
      <c r="L31" s="1">
        <v>2</v>
      </c>
      <c r="O31" s="1">
        <f t="shared" si="4"/>
        <v>9</v>
      </c>
      <c r="P31" s="1"/>
      <c r="S31" s="4">
        <f t="shared" si="0"/>
        <v>1</v>
      </c>
      <c r="T31" s="4">
        <f t="shared" si="1"/>
        <v>4</v>
      </c>
      <c r="U31" s="4">
        <f t="shared" si="2"/>
        <v>4</v>
      </c>
      <c r="V31" s="4">
        <f t="shared" si="3"/>
        <v>9</v>
      </c>
    </row>
    <row r="32" spans="1:22" x14ac:dyDescent="0.25">
      <c r="A32" s="4">
        <f>'Mid Sem'!B32</f>
        <v>590029121</v>
      </c>
      <c r="B32" s="4" t="str">
        <f>'Mid Sem'!A32</f>
        <v>Tushita Sharma</v>
      </c>
      <c r="C32" s="27" t="b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3</v>
      </c>
      <c r="J32" s="1">
        <v>3</v>
      </c>
      <c r="K32" s="1">
        <v>2</v>
      </c>
      <c r="L32" s="1">
        <v>2</v>
      </c>
      <c r="O32" s="1">
        <f t="shared" si="4"/>
        <v>15</v>
      </c>
      <c r="P32" s="1"/>
      <c r="S32" s="4">
        <f t="shared" si="0"/>
        <v>3</v>
      </c>
      <c r="T32" s="4">
        <f t="shared" si="1"/>
        <v>7</v>
      </c>
      <c r="U32" s="4">
        <f t="shared" si="2"/>
        <v>5</v>
      </c>
      <c r="V32" s="4">
        <f t="shared" si="3"/>
        <v>15</v>
      </c>
    </row>
    <row r="33" spans="1:22" x14ac:dyDescent="0.25">
      <c r="A33" s="4">
        <f>'Mid Sem'!B33</f>
        <v>590029048</v>
      </c>
      <c r="B33" s="4" t="str">
        <f>'Mid Sem'!A33</f>
        <v>Vaishnavi Kumari</v>
      </c>
      <c r="C33" s="27" t="b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3</v>
      </c>
      <c r="J33" s="1">
        <v>3</v>
      </c>
      <c r="K33" s="1">
        <v>1.5</v>
      </c>
      <c r="L33" s="1">
        <v>2</v>
      </c>
      <c r="O33" s="1">
        <f t="shared" si="4"/>
        <v>14.5</v>
      </c>
      <c r="P33" s="1"/>
      <c r="S33" s="4">
        <f t="shared" si="0"/>
        <v>3</v>
      </c>
      <c r="T33" s="4">
        <f t="shared" si="1"/>
        <v>7</v>
      </c>
      <c r="U33" s="4">
        <f t="shared" si="2"/>
        <v>4.5</v>
      </c>
      <c r="V33" s="4">
        <f t="shared" si="3"/>
        <v>14.5</v>
      </c>
    </row>
    <row r="34" spans="1:22" x14ac:dyDescent="0.25">
      <c r="A34" s="4">
        <f>'Mid Sem'!B34</f>
        <v>590029184</v>
      </c>
      <c r="B34" s="4" t="str">
        <f>'Mid Sem'!A34</f>
        <v>Vivek Chauhan</v>
      </c>
      <c r="C34" s="27" t="b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3</v>
      </c>
      <c r="J34" s="1">
        <v>3</v>
      </c>
      <c r="K34" s="1">
        <v>2</v>
      </c>
      <c r="L34" s="1">
        <v>2</v>
      </c>
      <c r="O34" s="1">
        <f t="shared" si="4"/>
        <v>15</v>
      </c>
      <c r="P34" s="1"/>
      <c r="S34" s="4">
        <f t="shared" si="0"/>
        <v>3</v>
      </c>
      <c r="T34" s="4">
        <f t="shared" si="1"/>
        <v>7</v>
      </c>
      <c r="U34" s="4">
        <f t="shared" si="2"/>
        <v>5</v>
      </c>
      <c r="V34" s="4">
        <f t="shared" si="3"/>
        <v>15</v>
      </c>
    </row>
    <row r="35" spans="1:22" x14ac:dyDescent="0.25">
      <c r="A35" s="4">
        <f>'Mid Sem'!B35</f>
        <v>590029330</v>
      </c>
      <c r="B35" s="4" t="str">
        <f>'Mid Sem'!A35</f>
        <v>Aadarshi Bisht</v>
      </c>
      <c r="C35" s="27" t="b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3</v>
      </c>
      <c r="J35" s="1">
        <v>3</v>
      </c>
      <c r="K35" s="1">
        <v>2</v>
      </c>
      <c r="L35" s="1">
        <v>2</v>
      </c>
      <c r="O35" s="1">
        <f t="shared" si="4"/>
        <v>15</v>
      </c>
      <c r="P35" s="1"/>
      <c r="S35" s="4">
        <f t="shared" si="0"/>
        <v>3</v>
      </c>
      <c r="T35" s="4">
        <f t="shared" si="1"/>
        <v>7</v>
      </c>
      <c r="U35" s="4">
        <f t="shared" si="2"/>
        <v>5</v>
      </c>
      <c r="V35" s="4">
        <f t="shared" si="3"/>
        <v>15</v>
      </c>
    </row>
    <row r="36" spans="1:22" x14ac:dyDescent="0.25">
      <c r="A36" s="4">
        <f>'Mid Sem'!B36</f>
        <v>590027630</v>
      </c>
      <c r="B36" s="4" t="str">
        <f>'Mid Sem'!A36</f>
        <v>Aarush Prasad</v>
      </c>
      <c r="C36" s="27" t="b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  <c r="K36" s="1">
        <v>2</v>
      </c>
      <c r="L36" s="1">
        <v>2</v>
      </c>
      <c r="O36" s="1">
        <f t="shared" si="4"/>
        <v>10</v>
      </c>
      <c r="P36" s="1"/>
      <c r="S36" s="4">
        <f t="shared" si="0"/>
        <v>1</v>
      </c>
      <c r="T36" s="4">
        <f t="shared" si="1"/>
        <v>4</v>
      </c>
      <c r="U36" s="4">
        <f t="shared" si="2"/>
        <v>5</v>
      </c>
      <c r="V36" s="4">
        <f t="shared" si="3"/>
        <v>10</v>
      </c>
    </row>
    <row r="37" spans="1:22" x14ac:dyDescent="0.25">
      <c r="A37" s="4">
        <f>'Mid Sem'!B37</f>
        <v>590029219</v>
      </c>
      <c r="B37" s="4" t="str">
        <f>'Mid Sem'!A37</f>
        <v>Aditya Mishra</v>
      </c>
      <c r="C37" s="27" t="b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3</v>
      </c>
      <c r="J37" s="1">
        <v>3</v>
      </c>
      <c r="K37" s="1">
        <v>0</v>
      </c>
      <c r="L37" s="1">
        <v>2</v>
      </c>
      <c r="O37" s="1">
        <f t="shared" si="4"/>
        <v>13</v>
      </c>
      <c r="P37" s="1"/>
      <c r="S37" s="4">
        <f t="shared" si="0"/>
        <v>3</v>
      </c>
      <c r="T37" s="4">
        <f t="shared" si="1"/>
        <v>7</v>
      </c>
      <c r="U37" s="4">
        <f t="shared" si="2"/>
        <v>3</v>
      </c>
      <c r="V37" s="4">
        <f t="shared" si="3"/>
        <v>13</v>
      </c>
    </row>
    <row r="38" spans="1:22" x14ac:dyDescent="0.25">
      <c r="A38" s="4">
        <f>'Mid Sem'!B38</f>
        <v>590028933</v>
      </c>
      <c r="B38" s="4" t="str">
        <f>'Mid Sem'!A38</f>
        <v>Aman Barnwal</v>
      </c>
      <c r="C38" s="27" t="b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2</v>
      </c>
      <c r="J38" s="1">
        <v>3</v>
      </c>
      <c r="K38" s="1">
        <v>2</v>
      </c>
      <c r="L38" s="1">
        <v>2</v>
      </c>
      <c r="O38" s="1">
        <f t="shared" si="4"/>
        <v>14</v>
      </c>
      <c r="P38" s="1"/>
      <c r="S38" s="4">
        <f t="shared" si="0"/>
        <v>2</v>
      </c>
      <c r="T38" s="4">
        <f t="shared" si="1"/>
        <v>7</v>
      </c>
      <c r="U38" s="4">
        <f t="shared" si="2"/>
        <v>5</v>
      </c>
      <c r="V38" s="4">
        <f t="shared" si="3"/>
        <v>14</v>
      </c>
    </row>
    <row r="39" spans="1:22" x14ac:dyDescent="0.25">
      <c r="A39" s="4">
        <f>'Mid Sem'!B39</f>
        <v>590027859</v>
      </c>
      <c r="B39" s="4" t="str">
        <f>'Mid Sem'!A39</f>
        <v>Ashutosh Shrivastava</v>
      </c>
      <c r="C39" s="27" t="b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0</v>
      </c>
      <c r="J39" s="1">
        <v>3</v>
      </c>
      <c r="K39" s="1">
        <v>1.5</v>
      </c>
      <c r="L39" s="1">
        <v>2</v>
      </c>
      <c r="O39" s="1">
        <f t="shared" si="4"/>
        <v>11.5</v>
      </c>
      <c r="P39" s="1"/>
      <c r="S39" s="4">
        <f t="shared" si="0"/>
        <v>0</v>
      </c>
      <c r="T39" s="4">
        <f t="shared" si="1"/>
        <v>7</v>
      </c>
      <c r="U39" s="4">
        <f t="shared" si="2"/>
        <v>4.5</v>
      </c>
      <c r="V39" s="4">
        <f t="shared" si="3"/>
        <v>11.5</v>
      </c>
    </row>
    <row r="40" spans="1:22" x14ac:dyDescent="0.25">
      <c r="A40" s="4">
        <f>'Mid Sem'!B40</f>
        <v>590028682</v>
      </c>
      <c r="B40" s="4" t="str">
        <f>'Mid Sem'!A40</f>
        <v>Ayan Pande</v>
      </c>
      <c r="C40" s="27" t="b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3</v>
      </c>
      <c r="J40" s="1">
        <v>3</v>
      </c>
      <c r="K40" s="1">
        <v>2</v>
      </c>
      <c r="L40" s="1">
        <v>2</v>
      </c>
      <c r="O40" s="1">
        <f t="shared" si="4"/>
        <v>15</v>
      </c>
      <c r="P40" s="1"/>
      <c r="S40" s="4">
        <f t="shared" si="0"/>
        <v>3</v>
      </c>
      <c r="T40" s="4">
        <f t="shared" si="1"/>
        <v>7</v>
      </c>
      <c r="U40" s="4">
        <f t="shared" si="2"/>
        <v>5</v>
      </c>
      <c r="V40" s="4">
        <f t="shared" si="3"/>
        <v>15</v>
      </c>
    </row>
    <row r="41" spans="1:22" x14ac:dyDescent="0.25">
      <c r="A41" s="4">
        <f>'Mid Sem'!B41</f>
        <v>590023917</v>
      </c>
      <c r="B41" s="4" t="str">
        <f>'Mid Sem'!A41</f>
        <v>Ayush Pratap Singh</v>
      </c>
      <c r="C41" s="27" t="b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0</v>
      </c>
      <c r="K41" s="1">
        <v>2</v>
      </c>
      <c r="L41" s="1">
        <v>2</v>
      </c>
      <c r="O41" s="1">
        <f t="shared" si="4"/>
        <v>10</v>
      </c>
      <c r="P41" s="1"/>
      <c r="S41" s="4">
        <f t="shared" si="0"/>
        <v>1</v>
      </c>
      <c r="T41" s="4">
        <f t="shared" si="1"/>
        <v>4</v>
      </c>
      <c r="U41" s="4">
        <f t="shared" si="2"/>
        <v>5</v>
      </c>
      <c r="V41" s="4">
        <f t="shared" si="3"/>
        <v>10</v>
      </c>
    </row>
    <row r="42" spans="1:22" x14ac:dyDescent="0.25">
      <c r="A42" s="4">
        <f>'Mid Sem'!B42</f>
        <v>590023785</v>
      </c>
      <c r="B42" s="4" t="str">
        <f>'Mid Sem'!A42</f>
        <v>Gayatri Bhatt</v>
      </c>
      <c r="C42" s="27" t="b">
        <v>1</v>
      </c>
      <c r="D42" s="1">
        <v>1</v>
      </c>
      <c r="E42" s="1">
        <v>0</v>
      </c>
      <c r="F42" s="1">
        <v>1</v>
      </c>
      <c r="G42" s="1">
        <v>1</v>
      </c>
      <c r="H42" s="1">
        <v>1</v>
      </c>
      <c r="I42" s="1">
        <v>2</v>
      </c>
      <c r="J42" s="1">
        <v>3</v>
      </c>
      <c r="K42" s="1">
        <v>2</v>
      </c>
      <c r="L42" s="1">
        <v>2</v>
      </c>
      <c r="O42" s="1">
        <f t="shared" si="4"/>
        <v>13</v>
      </c>
      <c r="P42" s="1"/>
      <c r="S42" s="4">
        <f t="shared" si="0"/>
        <v>2</v>
      </c>
      <c r="T42" s="4">
        <f t="shared" si="1"/>
        <v>6</v>
      </c>
      <c r="U42" s="4">
        <f t="shared" si="2"/>
        <v>5</v>
      </c>
      <c r="V42" s="4">
        <f t="shared" si="3"/>
        <v>13</v>
      </c>
    </row>
    <row r="43" spans="1:22" x14ac:dyDescent="0.25">
      <c r="A43" s="4">
        <f>'Mid Sem'!B43</f>
        <v>590029264</v>
      </c>
      <c r="B43" s="4" t="str">
        <f>'Mid Sem'!A43</f>
        <v>Harsh Mudgal</v>
      </c>
      <c r="C43" s="27" t="b">
        <v>0</v>
      </c>
      <c r="D43" s="1"/>
      <c r="E43" s="1"/>
      <c r="F43" s="1"/>
      <c r="G43" s="1"/>
      <c r="H43" s="1"/>
      <c r="I43" s="1"/>
      <c r="J43" s="1"/>
      <c r="K43" s="1"/>
      <c r="L43" s="1"/>
      <c r="O43" s="1">
        <f t="shared" si="4"/>
        <v>0</v>
      </c>
      <c r="P43" s="1"/>
      <c r="S43" s="4">
        <f t="shared" si="0"/>
        <v>0</v>
      </c>
      <c r="T43" s="4">
        <f t="shared" si="1"/>
        <v>0</v>
      </c>
      <c r="U43" s="4">
        <f t="shared" si="2"/>
        <v>0</v>
      </c>
      <c r="V43" s="4">
        <f t="shared" si="3"/>
        <v>0</v>
      </c>
    </row>
    <row r="44" spans="1:22" x14ac:dyDescent="0.25">
      <c r="A44" s="4">
        <f>'Mid Sem'!B44</f>
        <v>590029042</v>
      </c>
      <c r="B44" s="4" t="str">
        <f>'Mid Sem'!A44</f>
        <v>Kanan Nidhania</v>
      </c>
      <c r="C44" s="27" t="b">
        <v>0</v>
      </c>
      <c r="D44" s="1"/>
      <c r="E44" s="1"/>
      <c r="F44" s="1"/>
      <c r="G44" s="1"/>
      <c r="H44" s="1"/>
      <c r="I44" s="1"/>
      <c r="J44" s="1"/>
      <c r="K44" s="1"/>
      <c r="L44" s="1"/>
      <c r="O44" s="1">
        <f t="shared" si="4"/>
        <v>0</v>
      </c>
      <c r="P44" s="1"/>
      <c r="S44" s="4">
        <f t="shared" si="0"/>
        <v>0</v>
      </c>
      <c r="T44" s="4">
        <f t="shared" si="1"/>
        <v>0</v>
      </c>
      <c r="U44" s="4">
        <f t="shared" si="2"/>
        <v>0</v>
      </c>
      <c r="V44" s="4">
        <f t="shared" si="3"/>
        <v>0</v>
      </c>
    </row>
    <row r="45" spans="1:22" x14ac:dyDescent="0.25">
      <c r="A45" s="4">
        <f>'Mid Sem'!B45</f>
        <v>590029336</v>
      </c>
      <c r="B45" s="4" t="str">
        <f>'Mid Sem'!A45</f>
        <v>Kanishka Diwakar</v>
      </c>
      <c r="C45" s="27" t="b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2</v>
      </c>
      <c r="J45" s="1">
        <v>0</v>
      </c>
      <c r="K45" s="1">
        <v>2</v>
      </c>
      <c r="L45" s="1">
        <v>2</v>
      </c>
      <c r="O45" s="1">
        <f t="shared" si="4"/>
        <v>11</v>
      </c>
      <c r="P45" s="1"/>
      <c r="S45" s="4">
        <f t="shared" si="0"/>
        <v>2</v>
      </c>
      <c r="T45" s="4">
        <f t="shared" si="1"/>
        <v>4</v>
      </c>
      <c r="U45" s="4">
        <f t="shared" si="2"/>
        <v>5</v>
      </c>
      <c r="V45" s="4">
        <f t="shared" si="3"/>
        <v>11</v>
      </c>
    </row>
    <row r="46" spans="1:22" x14ac:dyDescent="0.25">
      <c r="A46" s="4">
        <f>'Mid Sem'!B46</f>
        <v>590029233</v>
      </c>
      <c r="B46" s="4" t="str">
        <f>'Mid Sem'!A46</f>
        <v>Keshav Chahda</v>
      </c>
      <c r="C46" s="27" t="b">
        <v>0</v>
      </c>
      <c r="D46" s="1"/>
      <c r="E46" s="1"/>
      <c r="F46" s="1"/>
      <c r="G46" s="1"/>
      <c r="H46" s="1"/>
      <c r="I46" s="1"/>
      <c r="J46" s="1"/>
      <c r="K46" s="1"/>
      <c r="L46" s="1"/>
      <c r="O46" s="1">
        <f t="shared" si="4"/>
        <v>0</v>
      </c>
      <c r="P46" s="1"/>
      <c r="S46" s="4">
        <f t="shared" si="0"/>
        <v>0</v>
      </c>
      <c r="T46" s="4">
        <f t="shared" si="1"/>
        <v>0</v>
      </c>
      <c r="U46" s="4">
        <f t="shared" si="2"/>
        <v>0</v>
      </c>
      <c r="V46" s="4">
        <f t="shared" si="3"/>
        <v>0</v>
      </c>
    </row>
    <row r="47" spans="1:22" x14ac:dyDescent="0.25">
      <c r="A47" s="4">
        <f>'Mid Sem'!B47</f>
        <v>590029328</v>
      </c>
      <c r="B47" s="4" t="str">
        <f>'Mid Sem'!A47</f>
        <v>Lakshay Dhanda</v>
      </c>
      <c r="C47" s="27" t="b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3</v>
      </c>
      <c r="J47" s="1">
        <v>3</v>
      </c>
      <c r="K47" s="1">
        <v>2</v>
      </c>
      <c r="L47" s="1">
        <v>2</v>
      </c>
      <c r="O47" s="1">
        <f t="shared" si="4"/>
        <v>15</v>
      </c>
      <c r="P47" s="1"/>
      <c r="S47" s="4">
        <f t="shared" si="0"/>
        <v>3</v>
      </c>
      <c r="T47" s="4">
        <f t="shared" si="1"/>
        <v>7</v>
      </c>
      <c r="U47" s="4">
        <f t="shared" si="2"/>
        <v>5</v>
      </c>
      <c r="V47" s="4">
        <f t="shared" si="3"/>
        <v>15</v>
      </c>
    </row>
    <row r="48" spans="1:22" x14ac:dyDescent="0.25">
      <c r="A48" s="4">
        <f>'Mid Sem'!B48</f>
        <v>590028608</v>
      </c>
      <c r="B48" s="4" t="str">
        <f>'Mid Sem'!A48</f>
        <v>Lakshya Singh</v>
      </c>
      <c r="C48" s="27" t="b">
        <v>0</v>
      </c>
      <c r="D48" s="1"/>
      <c r="E48" s="1"/>
      <c r="F48" s="1"/>
      <c r="G48" s="1"/>
      <c r="H48" s="1"/>
      <c r="I48" s="1"/>
      <c r="J48" s="1"/>
      <c r="K48" s="1"/>
      <c r="L48" s="1"/>
      <c r="O48" s="1">
        <f t="shared" si="4"/>
        <v>0</v>
      </c>
      <c r="P48" s="1"/>
      <c r="S48" s="4">
        <f t="shared" si="0"/>
        <v>0</v>
      </c>
      <c r="T48" s="4">
        <f t="shared" si="1"/>
        <v>0</v>
      </c>
      <c r="U48" s="4">
        <f t="shared" si="2"/>
        <v>0</v>
      </c>
      <c r="V48" s="4">
        <f t="shared" si="3"/>
        <v>0</v>
      </c>
    </row>
    <row r="49" spans="1:22" x14ac:dyDescent="0.25">
      <c r="A49" s="4">
        <f>'Mid Sem'!B49</f>
        <v>590028605</v>
      </c>
      <c r="B49" s="4" t="str">
        <f>'Mid Sem'!A49</f>
        <v>Mayank Chand Ramola</v>
      </c>
      <c r="C49" s="27" t="b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0</v>
      </c>
      <c r="J49" s="1">
        <v>2</v>
      </c>
      <c r="K49" s="1">
        <v>2</v>
      </c>
      <c r="L49" s="1">
        <v>2</v>
      </c>
      <c r="O49" s="1">
        <f t="shared" si="4"/>
        <v>11</v>
      </c>
      <c r="P49" s="1"/>
      <c r="S49" s="4">
        <f t="shared" si="0"/>
        <v>0</v>
      </c>
      <c r="T49" s="4">
        <f t="shared" si="1"/>
        <v>6</v>
      </c>
      <c r="U49" s="4">
        <f t="shared" si="2"/>
        <v>5</v>
      </c>
      <c r="V49" s="4">
        <f t="shared" si="3"/>
        <v>11</v>
      </c>
    </row>
    <row r="50" spans="1:22" x14ac:dyDescent="0.25">
      <c r="A50" s="4">
        <f>'Mid Sem'!B50</f>
        <v>590026626</v>
      </c>
      <c r="B50" s="4" t="str">
        <f>'Mid Sem'!A50</f>
        <v>Mukesh Patel</v>
      </c>
      <c r="C50" s="27" t="b">
        <v>0</v>
      </c>
      <c r="D50" s="1"/>
      <c r="E50" s="1"/>
      <c r="F50" s="1"/>
      <c r="G50" s="1"/>
      <c r="H50" s="1"/>
      <c r="I50" s="1"/>
      <c r="J50" s="1"/>
      <c r="K50" s="1"/>
      <c r="L50" s="1"/>
      <c r="O50" s="1">
        <f t="shared" si="4"/>
        <v>0</v>
      </c>
      <c r="P50" s="1"/>
      <c r="S50" s="4">
        <f t="shared" si="0"/>
        <v>0</v>
      </c>
      <c r="T50" s="4">
        <f t="shared" si="1"/>
        <v>0</v>
      </c>
      <c r="U50" s="4">
        <f t="shared" si="2"/>
        <v>0</v>
      </c>
      <c r="V50" s="4">
        <f t="shared" si="3"/>
        <v>0</v>
      </c>
    </row>
    <row r="51" spans="1:22" x14ac:dyDescent="0.25">
      <c r="A51" s="4">
        <f>'Mid Sem'!B51</f>
        <v>590029310</v>
      </c>
      <c r="B51" s="4" t="str">
        <f>'Mid Sem'!A51</f>
        <v>Nipun Singh</v>
      </c>
      <c r="C51" s="27" t="b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3</v>
      </c>
      <c r="J51" s="1">
        <v>3</v>
      </c>
      <c r="K51" s="1">
        <v>2</v>
      </c>
      <c r="L51" s="1">
        <v>2</v>
      </c>
      <c r="O51" s="1">
        <f t="shared" si="4"/>
        <v>15</v>
      </c>
      <c r="P51" s="1"/>
      <c r="S51" s="4">
        <f t="shared" si="0"/>
        <v>3</v>
      </c>
      <c r="T51" s="4">
        <f t="shared" si="1"/>
        <v>7</v>
      </c>
      <c r="U51" s="4">
        <f t="shared" si="2"/>
        <v>5</v>
      </c>
      <c r="V51" s="4">
        <f t="shared" si="3"/>
        <v>15</v>
      </c>
    </row>
    <row r="52" spans="1:22" x14ac:dyDescent="0.25">
      <c r="A52" s="4">
        <f>'Mid Sem'!B52</f>
        <v>590029319</v>
      </c>
      <c r="B52" s="4" t="str">
        <f>'Mid Sem'!A52</f>
        <v>Paras Bhall</v>
      </c>
      <c r="C52" s="27" t="b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3</v>
      </c>
      <c r="J52" s="1">
        <v>3</v>
      </c>
      <c r="K52" s="1">
        <v>2</v>
      </c>
      <c r="L52" s="1">
        <v>2</v>
      </c>
      <c r="O52" s="1">
        <f t="shared" si="4"/>
        <v>15</v>
      </c>
      <c r="P52" s="1"/>
      <c r="S52" s="4">
        <f t="shared" si="0"/>
        <v>3</v>
      </c>
      <c r="T52" s="4">
        <f t="shared" si="1"/>
        <v>7</v>
      </c>
      <c r="U52" s="4">
        <f t="shared" si="2"/>
        <v>5</v>
      </c>
      <c r="V52" s="4">
        <f t="shared" si="3"/>
        <v>15</v>
      </c>
    </row>
    <row r="53" spans="1:22" x14ac:dyDescent="0.25">
      <c r="A53" s="4">
        <f>'Mid Sem'!B53</f>
        <v>590029339</v>
      </c>
      <c r="B53" s="4" t="str">
        <f>'Mid Sem'!A53</f>
        <v>Raghav Kumar Goyal</v>
      </c>
      <c r="C53" s="27" t="b">
        <v>0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3</v>
      </c>
      <c r="J53" s="1">
        <v>3</v>
      </c>
      <c r="K53" s="1">
        <v>2</v>
      </c>
      <c r="L53" s="1">
        <v>2</v>
      </c>
      <c r="O53" s="1">
        <f t="shared" si="4"/>
        <v>15</v>
      </c>
      <c r="P53" s="1"/>
      <c r="S53" s="4">
        <f t="shared" si="0"/>
        <v>3</v>
      </c>
      <c r="T53" s="4">
        <f t="shared" si="1"/>
        <v>7</v>
      </c>
      <c r="U53" s="4">
        <f t="shared" si="2"/>
        <v>5</v>
      </c>
      <c r="V53" s="4">
        <f t="shared" si="3"/>
        <v>15</v>
      </c>
    </row>
    <row r="54" spans="1:22" x14ac:dyDescent="0.25">
      <c r="A54" s="4">
        <f>'Mid Sem'!B54</f>
        <v>590029148</v>
      </c>
      <c r="B54" s="4" t="str">
        <f>'Mid Sem'!A54</f>
        <v>Rahul</v>
      </c>
      <c r="C54" s="27" t="b">
        <v>1</v>
      </c>
      <c r="D54" s="1">
        <v>0</v>
      </c>
      <c r="E54" s="1"/>
      <c r="F54" s="1"/>
      <c r="G54" s="1"/>
      <c r="H54" s="1"/>
      <c r="I54" s="1"/>
      <c r="J54" s="1"/>
      <c r="K54" s="1"/>
      <c r="L54" s="1"/>
      <c r="O54" s="1">
        <f t="shared" si="4"/>
        <v>0</v>
      </c>
      <c r="P54" s="1"/>
      <c r="S54" s="4">
        <f t="shared" si="0"/>
        <v>0</v>
      </c>
      <c r="T54" s="4">
        <f t="shared" si="1"/>
        <v>0</v>
      </c>
      <c r="U54" s="4">
        <f t="shared" si="2"/>
        <v>0</v>
      </c>
      <c r="V54" s="4">
        <f t="shared" si="3"/>
        <v>0</v>
      </c>
    </row>
    <row r="55" spans="1:22" x14ac:dyDescent="0.25">
      <c r="A55" s="4">
        <f>'Mid Sem'!B55</f>
        <v>590029309</v>
      </c>
      <c r="B55" s="4" t="str">
        <f>'Mid Sem'!A55</f>
        <v>Rahul Singh</v>
      </c>
      <c r="C55" s="27" t="b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3</v>
      </c>
      <c r="J55" s="1">
        <v>3</v>
      </c>
      <c r="K55" s="1">
        <v>2</v>
      </c>
      <c r="L55" s="1">
        <v>2</v>
      </c>
      <c r="O55" s="1">
        <f t="shared" si="4"/>
        <v>15</v>
      </c>
      <c r="P55" s="1"/>
      <c r="S55" s="4">
        <f t="shared" si="0"/>
        <v>3</v>
      </c>
      <c r="T55" s="4">
        <f t="shared" si="1"/>
        <v>7</v>
      </c>
      <c r="U55" s="4">
        <f t="shared" si="2"/>
        <v>5</v>
      </c>
      <c r="V55" s="4">
        <f t="shared" si="3"/>
        <v>15</v>
      </c>
    </row>
    <row r="56" spans="1:22" x14ac:dyDescent="0.25">
      <c r="A56" s="4">
        <f>'Mid Sem'!B56</f>
        <v>590028838</v>
      </c>
      <c r="B56" s="4" t="str">
        <f>'Mid Sem'!A56</f>
        <v>Satyam Singh</v>
      </c>
      <c r="C56" s="27" t="b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  <c r="J56" s="1">
        <v>1</v>
      </c>
      <c r="K56" s="1">
        <v>1</v>
      </c>
      <c r="L56" s="1">
        <v>1</v>
      </c>
      <c r="O56" s="1">
        <f t="shared" si="4"/>
        <v>8</v>
      </c>
      <c r="P56" s="1"/>
      <c r="S56" s="4">
        <f t="shared" si="0"/>
        <v>0</v>
      </c>
      <c r="T56" s="4">
        <f t="shared" si="1"/>
        <v>4</v>
      </c>
      <c r="U56" s="4">
        <f t="shared" si="2"/>
        <v>4</v>
      </c>
      <c r="V56" s="4">
        <f t="shared" si="3"/>
        <v>8</v>
      </c>
    </row>
    <row r="57" spans="1:22" x14ac:dyDescent="0.25">
      <c r="A57" s="4">
        <f>'Mid Sem'!B57</f>
        <v>590029107</v>
      </c>
      <c r="B57" s="4" t="str">
        <f>'Mid Sem'!A57</f>
        <v>Shashwat Agrawal</v>
      </c>
      <c r="C57" s="27" t="b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3</v>
      </c>
      <c r="J57" s="1">
        <v>3</v>
      </c>
      <c r="K57" s="1">
        <v>2</v>
      </c>
      <c r="L57" s="1">
        <v>1</v>
      </c>
      <c r="O57" s="1">
        <f t="shared" si="4"/>
        <v>14</v>
      </c>
      <c r="P57" s="1"/>
      <c r="S57" s="4">
        <f t="shared" si="0"/>
        <v>3</v>
      </c>
      <c r="T57" s="4">
        <f t="shared" si="1"/>
        <v>6</v>
      </c>
      <c r="U57" s="4">
        <f t="shared" si="2"/>
        <v>5</v>
      </c>
      <c r="V57" s="4">
        <f t="shared" si="3"/>
        <v>14</v>
      </c>
    </row>
    <row r="58" spans="1:22" x14ac:dyDescent="0.25">
      <c r="A58" s="4">
        <f>'Mid Sem'!B58</f>
        <v>590029266</v>
      </c>
      <c r="B58" s="4" t="str">
        <f>'Mid Sem'!A58</f>
        <v>Siddhant Gurung</v>
      </c>
      <c r="C58" s="27" t="b">
        <v>0</v>
      </c>
      <c r="D58" s="1"/>
      <c r="E58" s="1"/>
      <c r="F58" s="1"/>
      <c r="G58" s="1"/>
      <c r="H58" s="1"/>
      <c r="I58" s="1"/>
      <c r="J58" s="1"/>
      <c r="K58" s="1"/>
      <c r="L58" s="1"/>
      <c r="O58" s="1">
        <f t="shared" si="4"/>
        <v>0</v>
      </c>
      <c r="P58" s="1"/>
      <c r="S58" s="4">
        <f t="shared" si="0"/>
        <v>0</v>
      </c>
      <c r="T58" s="4">
        <f t="shared" si="1"/>
        <v>0</v>
      </c>
      <c r="U58" s="4">
        <f t="shared" si="2"/>
        <v>0</v>
      </c>
      <c r="V58" s="4">
        <f t="shared" si="3"/>
        <v>0</v>
      </c>
    </row>
    <row r="59" spans="1:22" x14ac:dyDescent="0.25">
      <c r="A59" s="4">
        <f>'Mid Sem'!B59</f>
        <v>590029354</v>
      </c>
      <c r="B59" s="4" t="str">
        <f>'Mid Sem'!A59</f>
        <v>Simarjot Kaur Gill</v>
      </c>
      <c r="C59" s="27" t="b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3</v>
      </c>
      <c r="J59" s="1">
        <v>3</v>
      </c>
      <c r="K59" s="1">
        <v>1</v>
      </c>
      <c r="L59" s="1">
        <v>1.5</v>
      </c>
      <c r="O59" s="1">
        <f t="shared" si="4"/>
        <v>13.5</v>
      </c>
      <c r="P59" s="1"/>
      <c r="S59" s="4">
        <f t="shared" si="0"/>
        <v>3</v>
      </c>
      <c r="T59" s="4">
        <f t="shared" si="1"/>
        <v>6.5</v>
      </c>
      <c r="U59" s="4">
        <f t="shared" si="2"/>
        <v>4</v>
      </c>
      <c r="V59" s="4">
        <f t="shared" si="3"/>
        <v>13.5</v>
      </c>
    </row>
    <row r="60" spans="1:22" x14ac:dyDescent="0.25">
      <c r="A60" s="4">
        <f>'Mid Sem'!B60</f>
        <v>590029349</v>
      </c>
      <c r="B60" s="4" t="str">
        <f>'Mid Sem'!A60</f>
        <v>Tanishq Bansal</v>
      </c>
      <c r="C60" s="27" t="b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2</v>
      </c>
      <c r="J60" s="1">
        <v>3</v>
      </c>
      <c r="K60" s="1">
        <v>2</v>
      </c>
      <c r="L60" s="1">
        <v>2</v>
      </c>
      <c r="O60" s="1">
        <f t="shared" si="4"/>
        <v>14</v>
      </c>
      <c r="P60" s="1"/>
      <c r="S60" s="4">
        <f t="shared" si="0"/>
        <v>2</v>
      </c>
      <c r="T60" s="4">
        <f t="shared" si="1"/>
        <v>7</v>
      </c>
      <c r="U60" s="4">
        <f t="shared" si="2"/>
        <v>5</v>
      </c>
      <c r="V60" s="4">
        <f t="shared" si="3"/>
        <v>14</v>
      </c>
    </row>
    <row r="61" spans="1:22" x14ac:dyDescent="0.25">
      <c r="A61" s="4">
        <f>'Mid Sem'!B61</f>
        <v>590029302</v>
      </c>
      <c r="B61" s="4" t="str">
        <f>'Mid Sem'!A61</f>
        <v>Tanmay Amit Verma</v>
      </c>
      <c r="C61" s="27" t="b">
        <v>1</v>
      </c>
      <c r="D61" s="1">
        <v>1</v>
      </c>
      <c r="E61" s="1">
        <v>0</v>
      </c>
      <c r="F61" s="1">
        <v>1</v>
      </c>
      <c r="G61" s="1">
        <v>1</v>
      </c>
      <c r="H61" s="1">
        <v>1</v>
      </c>
      <c r="I61" s="1">
        <v>3</v>
      </c>
      <c r="J61" s="1">
        <v>0</v>
      </c>
      <c r="K61" s="1">
        <v>2</v>
      </c>
      <c r="L61" s="1">
        <v>2</v>
      </c>
      <c r="O61" s="1">
        <f t="shared" si="4"/>
        <v>11</v>
      </c>
      <c r="P61" s="1"/>
      <c r="S61" s="4">
        <f t="shared" si="0"/>
        <v>3</v>
      </c>
      <c r="T61" s="4">
        <f t="shared" si="1"/>
        <v>3</v>
      </c>
      <c r="U61" s="4">
        <f t="shared" si="2"/>
        <v>5</v>
      </c>
      <c r="V61" s="4">
        <f t="shared" si="3"/>
        <v>11</v>
      </c>
    </row>
    <row r="62" spans="1:22" x14ac:dyDescent="0.25">
      <c r="A62" s="4">
        <f>'Mid Sem'!B62</f>
        <v>590029262</v>
      </c>
      <c r="B62" s="4" t="str">
        <f>'Mid Sem'!A62</f>
        <v>Vandana Yadav</v>
      </c>
      <c r="C62" s="27" t="b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3</v>
      </c>
      <c r="J62" s="1">
        <v>2</v>
      </c>
      <c r="K62" s="1">
        <v>2</v>
      </c>
      <c r="L62" s="1">
        <v>2</v>
      </c>
      <c r="O62" s="1">
        <f t="shared" si="4"/>
        <v>14</v>
      </c>
      <c r="P62" s="1"/>
      <c r="S62" s="4">
        <f t="shared" si="0"/>
        <v>3</v>
      </c>
      <c r="T62" s="4">
        <f t="shared" si="1"/>
        <v>6</v>
      </c>
      <c r="U62" s="4">
        <f t="shared" si="2"/>
        <v>5</v>
      </c>
      <c r="V62" s="4">
        <f t="shared" si="3"/>
        <v>14</v>
      </c>
    </row>
    <row r="63" spans="1:22" x14ac:dyDescent="0.25">
      <c r="A63" s="4">
        <f>'Mid Sem'!B63</f>
        <v>590029285</v>
      </c>
      <c r="B63" s="4" t="str">
        <f>'Mid Sem'!A63</f>
        <v>Vidit Ahuja</v>
      </c>
      <c r="C63" s="27" t="b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3</v>
      </c>
      <c r="J63" s="1">
        <v>3</v>
      </c>
      <c r="K63" s="1">
        <v>0</v>
      </c>
      <c r="L63" s="1">
        <v>2</v>
      </c>
      <c r="O63" s="1">
        <f t="shared" si="4"/>
        <v>13</v>
      </c>
      <c r="P63" s="1"/>
      <c r="S63" s="4">
        <f t="shared" si="0"/>
        <v>3</v>
      </c>
      <c r="T63" s="4">
        <f t="shared" si="1"/>
        <v>7</v>
      </c>
      <c r="U63" s="4">
        <f t="shared" si="2"/>
        <v>3</v>
      </c>
      <c r="V63" s="4">
        <f t="shared" si="3"/>
        <v>13</v>
      </c>
    </row>
    <row r="64" spans="1:22" x14ac:dyDescent="0.25">
      <c r="A64" s="4">
        <f>'Mid Sem'!B64</f>
        <v>590029353</v>
      </c>
      <c r="B64" s="4" t="str">
        <f>'Mid Sem'!A64</f>
        <v>Vinit Kumar</v>
      </c>
      <c r="C64" s="27" t="b">
        <v>0</v>
      </c>
      <c r="D64" s="1"/>
      <c r="E64" s="1"/>
      <c r="F64" s="1"/>
      <c r="G64" s="1"/>
      <c r="H64" s="1"/>
      <c r="I64" s="1"/>
      <c r="J64" s="1"/>
      <c r="K64" s="1"/>
      <c r="L64" s="1"/>
      <c r="O64" s="1">
        <f t="shared" si="4"/>
        <v>0</v>
      </c>
      <c r="P64" s="1"/>
      <c r="S64" s="4">
        <f t="shared" si="0"/>
        <v>0</v>
      </c>
      <c r="T64" s="4">
        <f t="shared" si="1"/>
        <v>0</v>
      </c>
      <c r="U64" s="4">
        <f t="shared" si="2"/>
        <v>0</v>
      </c>
      <c r="V64" s="4">
        <f t="shared" si="3"/>
        <v>0</v>
      </c>
    </row>
    <row r="65" spans="1:15" x14ac:dyDescent="0.25">
      <c r="A65" s="4"/>
      <c r="B65" s="4"/>
      <c r="C65" s="4"/>
      <c r="O65" s="1"/>
    </row>
    <row r="66" spans="1:15" x14ac:dyDescent="0.25">
      <c r="O66" s="1"/>
    </row>
  </sheetData>
  <mergeCells count="2">
    <mergeCell ref="A1:P1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2827-4102-4501-99F8-C9B7DD668F03}">
  <dimension ref="A1:V65"/>
  <sheetViews>
    <sheetView topLeftCell="A51" workbookViewId="0">
      <selection activeCell="C25" sqref="C25"/>
    </sheetView>
  </sheetViews>
  <sheetFormatPr defaultRowHeight="15" x14ac:dyDescent="0.25"/>
  <cols>
    <col min="1" max="1" width="19" customWidth="1"/>
    <col min="2" max="2" width="24.28515625" bestFit="1" customWidth="1"/>
    <col min="3" max="13" width="4.5703125" bestFit="1" customWidth="1"/>
    <col min="14" max="14" width="5.42578125" bestFit="1" customWidth="1"/>
    <col min="15" max="15" width="10.85546875" customWidth="1"/>
  </cols>
  <sheetData>
    <row r="1" spans="1:22" ht="24.75" x14ac:dyDescent="0.4">
      <c r="A1" s="47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22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22" x14ac:dyDescent="0.25">
      <c r="A3" s="1"/>
      <c r="B3" s="1"/>
      <c r="C3" s="2" t="s">
        <v>135</v>
      </c>
      <c r="D3" s="2" t="s">
        <v>135</v>
      </c>
      <c r="E3" s="2" t="s">
        <v>135</v>
      </c>
      <c r="F3" s="2" t="s">
        <v>135</v>
      </c>
      <c r="G3" s="2" t="s">
        <v>135</v>
      </c>
      <c r="H3" s="2" t="s">
        <v>136</v>
      </c>
      <c r="I3" s="2" t="s">
        <v>136</v>
      </c>
      <c r="J3" s="2" t="s">
        <v>136</v>
      </c>
      <c r="K3" s="2" t="s">
        <v>136</v>
      </c>
      <c r="L3" s="2" t="s">
        <v>136</v>
      </c>
      <c r="M3" s="2"/>
      <c r="N3" s="1"/>
      <c r="O3" s="1"/>
      <c r="R3" s="2" t="s">
        <v>135</v>
      </c>
      <c r="S3" s="2" t="s">
        <v>136</v>
      </c>
    </row>
    <row r="4" spans="1:22" x14ac:dyDescent="0.25">
      <c r="A4" s="3" t="s">
        <v>153</v>
      </c>
      <c r="B4" s="3" t="s">
        <v>138</v>
      </c>
      <c r="C4" s="3" t="s">
        <v>140</v>
      </c>
      <c r="D4" s="3" t="s">
        <v>141</v>
      </c>
      <c r="E4" s="3" t="s">
        <v>142</v>
      </c>
      <c r="F4" s="3" t="s">
        <v>143</v>
      </c>
      <c r="G4" s="3" t="s">
        <v>144</v>
      </c>
      <c r="H4" s="3" t="s">
        <v>145</v>
      </c>
      <c r="I4" s="3" t="s">
        <v>146</v>
      </c>
      <c r="J4" s="3" t="s">
        <v>147</v>
      </c>
      <c r="K4" s="3" t="s">
        <v>148</v>
      </c>
      <c r="L4" s="3" t="s">
        <v>149</v>
      </c>
      <c r="M4" s="3"/>
      <c r="N4" s="3" t="s">
        <v>11</v>
      </c>
      <c r="O4" s="3" t="s">
        <v>12</v>
      </c>
      <c r="R4" s="3"/>
      <c r="S4" s="3"/>
      <c r="T4" s="3" t="s">
        <v>11</v>
      </c>
    </row>
    <row r="5" spans="1:22" x14ac:dyDescent="0.25">
      <c r="A5" s="5"/>
      <c r="B5" s="5" t="s">
        <v>15</v>
      </c>
      <c r="C5" s="5">
        <v>20</v>
      </c>
      <c r="D5" s="5">
        <v>20</v>
      </c>
      <c r="E5" s="5">
        <v>20</v>
      </c>
      <c r="F5" s="5">
        <v>20</v>
      </c>
      <c r="G5" s="5">
        <v>15</v>
      </c>
      <c r="H5" s="5">
        <v>20</v>
      </c>
      <c r="I5" s="5">
        <v>15</v>
      </c>
      <c r="J5" s="5">
        <v>5</v>
      </c>
      <c r="K5" s="5">
        <v>10</v>
      </c>
      <c r="L5" s="5">
        <v>5</v>
      </c>
      <c r="M5" s="5"/>
      <c r="N5" s="5">
        <f>SUM(C5:L5)</f>
        <v>150</v>
      </c>
      <c r="O5" s="5"/>
      <c r="R5" s="5">
        <f>SUM(C5:G5)</f>
        <v>95</v>
      </c>
      <c r="S5" s="5">
        <f>SUM(H5:L5)</f>
        <v>55</v>
      </c>
      <c r="T5" s="5">
        <f>SUM(R5:S5)</f>
        <v>150</v>
      </c>
    </row>
    <row r="6" spans="1:22" x14ac:dyDescent="0.25">
      <c r="A6" s="4">
        <f>'Mid Sem'!B6</f>
        <v>590029213</v>
      </c>
      <c r="B6" s="4" t="str">
        <f>'Mid Sem'!A6</f>
        <v>Aadya Dubey</v>
      </c>
      <c r="C6" s="1">
        <v>20</v>
      </c>
      <c r="D6" s="1">
        <v>20</v>
      </c>
      <c r="E6" s="1">
        <v>18</v>
      </c>
      <c r="F6" s="1">
        <v>18</v>
      </c>
      <c r="G6" s="1">
        <v>15</v>
      </c>
      <c r="H6" s="1">
        <v>19</v>
      </c>
      <c r="I6" s="1">
        <v>15</v>
      </c>
      <c r="J6" s="1">
        <v>5</v>
      </c>
      <c r="K6" s="1">
        <v>10</v>
      </c>
      <c r="L6" s="1">
        <v>5</v>
      </c>
      <c r="M6" s="1"/>
      <c r="N6" s="5">
        <f t="shared" ref="N6:N64" si="0">SUM(C6:L6)</f>
        <v>145</v>
      </c>
      <c r="O6" s="1"/>
      <c r="R6" s="5">
        <f t="shared" ref="R6:R14" si="1">SUM(C6:G6)</f>
        <v>91</v>
      </c>
      <c r="S6" s="5">
        <f t="shared" ref="S6:S14" si="2">SUM(H6:L6)</f>
        <v>54</v>
      </c>
      <c r="T6" s="5">
        <f t="shared" ref="T6:T14" si="3">SUM(R6:S6)</f>
        <v>145</v>
      </c>
      <c r="U6">
        <f>R6/10</f>
        <v>9.1</v>
      </c>
      <c r="V6">
        <f>S6/10</f>
        <v>5.4</v>
      </c>
    </row>
    <row r="7" spans="1:22" x14ac:dyDescent="0.25">
      <c r="A7" s="4">
        <f>'Mid Sem'!B7</f>
        <v>590029270</v>
      </c>
      <c r="B7" s="4" t="str">
        <f>'Mid Sem'!A7</f>
        <v>Aditya Vishwakarma</v>
      </c>
      <c r="C7" s="1">
        <v>18</v>
      </c>
      <c r="D7" s="1">
        <v>20</v>
      </c>
      <c r="E7" s="1">
        <v>20</v>
      </c>
      <c r="F7" s="1">
        <v>13</v>
      </c>
      <c r="G7" s="1">
        <v>15</v>
      </c>
      <c r="H7" s="1">
        <v>19</v>
      </c>
      <c r="I7" s="1">
        <v>15</v>
      </c>
      <c r="J7" s="1">
        <v>5</v>
      </c>
      <c r="K7" s="1">
        <v>10</v>
      </c>
      <c r="L7" s="1">
        <v>5</v>
      </c>
      <c r="M7" s="1"/>
      <c r="N7" s="5">
        <f t="shared" si="0"/>
        <v>140</v>
      </c>
      <c r="O7" s="1"/>
      <c r="R7" s="5">
        <f t="shared" si="1"/>
        <v>86</v>
      </c>
      <c r="S7" s="5">
        <f t="shared" si="2"/>
        <v>54</v>
      </c>
      <c r="T7" s="5">
        <f t="shared" si="3"/>
        <v>140</v>
      </c>
      <c r="U7">
        <f t="shared" ref="U7:U64" si="4">R7/10</f>
        <v>8.6</v>
      </c>
      <c r="V7">
        <f t="shared" ref="V7:V64" si="5">S7/10</f>
        <v>5.4</v>
      </c>
    </row>
    <row r="8" spans="1:22" x14ac:dyDescent="0.25">
      <c r="A8" s="4">
        <f>'Mid Sem'!B8</f>
        <v>590029204</v>
      </c>
      <c r="B8" s="4" t="str">
        <f>'Mid Sem'!A8</f>
        <v>Arjun</v>
      </c>
      <c r="C8" s="1">
        <v>18</v>
      </c>
      <c r="D8" s="1">
        <v>18</v>
      </c>
      <c r="E8" s="1">
        <v>20</v>
      </c>
      <c r="F8" s="1">
        <v>18</v>
      </c>
      <c r="G8" s="1">
        <v>14</v>
      </c>
      <c r="H8" s="1">
        <v>19</v>
      </c>
      <c r="I8" s="1">
        <v>15</v>
      </c>
      <c r="J8" s="1">
        <v>5</v>
      </c>
      <c r="K8" s="1">
        <v>10</v>
      </c>
      <c r="L8" s="1">
        <v>5</v>
      </c>
      <c r="M8" s="1"/>
      <c r="N8" s="5">
        <f t="shared" si="0"/>
        <v>142</v>
      </c>
      <c r="O8" s="1"/>
      <c r="R8" s="5">
        <f t="shared" si="1"/>
        <v>88</v>
      </c>
      <c r="S8" s="5">
        <f t="shared" si="2"/>
        <v>54</v>
      </c>
      <c r="T8" s="5">
        <f t="shared" si="3"/>
        <v>142</v>
      </c>
      <c r="U8">
        <f t="shared" si="4"/>
        <v>8.8000000000000007</v>
      </c>
      <c r="V8">
        <f t="shared" si="5"/>
        <v>5.4</v>
      </c>
    </row>
    <row r="9" spans="1:22" x14ac:dyDescent="0.25">
      <c r="A9" s="4">
        <f>'Mid Sem'!B9</f>
        <v>590029109</v>
      </c>
      <c r="B9" s="4" t="str">
        <f>'Mid Sem'!A9</f>
        <v>Aryan Yadav</v>
      </c>
      <c r="C9" s="1">
        <v>20</v>
      </c>
      <c r="D9" s="1">
        <v>20</v>
      </c>
      <c r="E9" s="1">
        <v>20</v>
      </c>
      <c r="F9" s="1">
        <v>20</v>
      </c>
      <c r="G9" s="1">
        <v>15</v>
      </c>
      <c r="H9" s="1">
        <v>20</v>
      </c>
      <c r="I9" s="1">
        <v>15</v>
      </c>
      <c r="J9" s="1">
        <v>5</v>
      </c>
      <c r="K9" s="1">
        <v>10</v>
      </c>
      <c r="L9" s="1">
        <v>5</v>
      </c>
      <c r="M9" s="1"/>
      <c r="N9" s="5">
        <f t="shared" si="0"/>
        <v>150</v>
      </c>
      <c r="O9" s="1"/>
      <c r="R9" s="5">
        <f t="shared" si="1"/>
        <v>95</v>
      </c>
      <c r="S9" s="5">
        <f t="shared" si="2"/>
        <v>55</v>
      </c>
      <c r="T9" s="5">
        <f t="shared" si="3"/>
        <v>150</v>
      </c>
      <c r="U9">
        <f t="shared" si="4"/>
        <v>9.5</v>
      </c>
      <c r="V9">
        <f t="shared" si="5"/>
        <v>5.5</v>
      </c>
    </row>
    <row r="10" spans="1:22" x14ac:dyDescent="0.25">
      <c r="A10" s="4">
        <f>'Mid Sem'!B10</f>
        <v>590029070</v>
      </c>
      <c r="B10" s="4" t="str">
        <f>'Mid Sem'!A10</f>
        <v>Astik Patel</v>
      </c>
      <c r="C10" s="1">
        <v>20</v>
      </c>
      <c r="D10" s="1">
        <v>20</v>
      </c>
      <c r="E10" s="1">
        <v>18</v>
      </c>
      <c r="F10" s="1">
        <v>15</v>
      </c>
      <c r="G10" s="1">
        <v>15</v>
      </c>
      <c r="H10" s="1">
        <v>19</v>
      </c>
      <c r="I10" s="1">
        <v>15</v>
      </c>
      <c r="J10" s="1">
        <v>5</v>
      </c>
      <c r="K10" s="1">
        <v>10</v>
      </c>
      <c r="L10" s="1">
        <v>5</v>
      </c>
      <c r="M10" s="1"/>
      <c r="N10" s="5">
        <f t="shared" si="0"/>
        <v>142</v>
      </c>
      <c r="O10" s="1"/>
      <c r="R10" s="5">
        <f t="shared" si="1"/>
        <v>88</v>
      </c>
      <c r="S10" s="5">
        <f t="shared" si="2"/>
        <v>54</v>
      </c>
      <c r="T10" s="5">
        <f t="shared" si="3"/>
        <v>142</v>
      </c>
      <c r="U10">
        <f t="shared" si="4"/>
        <v>8.8000000000000007</v>
      </c>
      <c r="V10">
        <f t="shared" si="5"/>
        <v>5.4</v>
      </c>
    </row>
    <row r="11" spans="1:22" x14ac:dyDescent="0.25">
      <c r="A11" s="4">
        <f>'Mid Sem'!B11</f>
        <v>590029157</v>
      </c>
      <c r="B11" s="4" t="str">
        <f>'Mid Sem'!A11</f>
        <v>Ayush Mohan</v>
      </c>
      <c r="C11" s="1">
        <v>18</v>
      </c>
      <c r="D11" s="1">
        <v>18</v>
      </c>
      <c r="E11" s="1">
        <v>20</v>
      </c>
      <c r="F11" s="1">
        <v>16</v>
      </c>
      <c r="G11" s="1">
        <v>13</v>
      </c>
      <c r="H11" s="1">
        <v>19</v>
      </c>
      <c r="I11" s="1">
        <v>14</v>
      </c>
      <c r="J11" s="1">
        <v>5</v>
      </c>
      <c r="K11" s="1">
        <v>8</v>
      </c>
      <c r="L11" s="1">
        <v>5</v>
      </c>
      <c r="M11" s="1"/>
      <c r="N11" s="5">
        <f t="shared" si="0"/>
        <v>136</v>
      </c>
      <c r="O11" s="1"/>
      <c r="R11" s="5">
        <f t="shared" si="1"/>
        <v>85</v>
      </c>
      <c r="S11" s="5">
        <f t="shared" si="2"/>
        <v>51</v>
      </c>
      <c r="T11" s="5">
        <f t="shared" si="3"/>
        <v>136</v>
      </c>
      <c r="U11">
        <f t="shared" si="4"/>
        <v>8.5</v>
      </c>
      <c r="V11">
        <f t="shared" si="5"/>
        <v>5.0999999999999996</v>
      </c>
    </row>
    <row r="12" spans="1:22" x14ac:dyDescent="0.25">
      <c r="A12" s="4">
        <f>'Mid Sem'!B12</f>
        <v>590027157</v>
      </c>
      <c r="B12" s="4" t="str">
        <f>'Mid Sem'!A12</f>
        <v>Bhanu Purohit</v>
      </c>
      <c r="C12" s="1">
        <v>18</v>
      </c>
      <c r="D12" s="1">
        <v>19</v>
      </c>
      <c r="E12" s="1">
        <v>20</v>
      </c>
      <c r="F12" s="1">
        <v>18</v>
      </c>
      <c r="G12" s="1">
        <v>13</v>
      </c>
      <c r="H12" s="1">
        <v>18</v>
      </c>
      <c r="I12" s="1">
        <v>15</v>
      </c>
      <c r="J12" s="1">
        <v>5</v>
      </c>
      <c r="K12" s="1">
        <v>8</v>
      </c>
      <c r="L12" s="1">
        <v>5</v>
      </c>
      <c r="M12" s="1"/>
      <c r="N12" s="5">
        <f t="shared" si="0"/>
        <v>139</v>
      </c>
      <c r="O12" s="1"/>
      <c r="R12" s="5">
        <f t="shared" si="1"/>
        <v>88</v>
      </c>
      <c r="S12" s="5">
        <f t="shared" si="2"/>
        <v>51</v>
      </c>
      <c r="T12" s="5">
        <f t="shared" si="3"/>
        <v>139</v>
      </c>
      <c r="U12">
        <f t="shared" si="4"/>
        <v>8.8000000000000007</v>
      </c>
      <c r="V12">
        <f t="shared" si="5"/>
        <v>5.0999999999999996</v>
      </c>
    </row>
    <row r="13" spans="1:22" x14ac:dyDescent="0.25">
      <c r="A13" s="4">
        <f>'Mid Sem'!B13</f>
        <v>590029274</v>
      </c>
      <c r="B13" s="4" t="str">
        <f>'Mid Sem'!A13</f>
        <v>Biswabandya Mohanty</v>
      </c>
      <c r="C13" s="1">
        <v>18</v>
      </c>
      <c r="D13" s="1">
        <v>18</v>
      </c>
      <c r="E13" s="1">
        <v>20</v>
      </c>
      <c r="F13" s="1">
        <v>18</v>
      </c>
      <c r="G13" s="1">
        <v>13</v>
      </c>
      <c r="H13" s="1">
        <v>18</v>
      </c>
      <c r="I13" s="1">
        <v>15</v>
      </c>
      <c r="J13" s="1">
        <v>5</v>
      </c>
      <c r="K13" s="1">
        <v>8</v>
      </c>
      <c r="L13" s="1">
        <v>5</v>
      </c>
      <c r="M13" s="1"/>
      <c r="N13" s="5">
        <f t="shared" si="0"/>
        <v>138</v>
      </c>
      <c r="O13" s="1"/>
      <c r="R13" s="5">
        <f t="shared" si="1"/>
        <v>87</v>
      </c>
      <c r="S13" s="5">
        <f t="shared" si="2"/>
        <v>51</v>
      </c>
      <c r="T13" s="5">
        <f t="shared" si="3"/>
        <v>138</v>
      </c>
      <c r="U13">
        <f t="shared" si="4"/>
        <v>8.6999999999999993</v>
      </c>
      <c r="V13">
        <f t="shared" si="5"/>
        <v>5.0999999999999996</v>
      </c>
    </row>
    <row r="14" spans="1:22" x14ac:dyDescent="0.25">
      <c r="A14" s="4">
        <f>'Mid Sem'!B14</f>
        <v>590028572</v>
      </c>
      <c r="B14" s="4" t="str">
        <f>'Mid Sem'!A14</f>
        <v>Eashan Vashisht</v>
      </c>
      <c r="C14" s="1">
        <v>18</v>
      </c>
      <c r="D14" s="1">
        <v>20</v>
      </c>
      <c r="E14" s="1">
        <v>20</v>
      </c>
      <c r="F14" s="1">
        <v>18</v>
      </c>
      <c r="G14" s="1">
        <v>15</v>
      </c>
      <c r="H14" s="1">
        <v>20</v>
      </c>
      <c r="I14" s="1">
        <v>15</v>
      </c>
      <c r="J14" s="1">
        <v>5</v>
      </c>
      <c r="K14" s="1">
        <v>9</v>
      </c>
      <c r="L14" s="1">
        <v>5</v>
      </c>
      <c r="M14" s="1"/>
      <c r="N14" s="5">
        <f t="shared" si="0"/>
        <v>145</v>
      </c>
      <c r="O14" s="1"/>
      <c r="R14" s="5">
        <f t="shared" si="1"/>
        <v>91</v>
      </c>
      <c r="S14" s="5">
        <f t="shared" si="2"/>
        <v>54</v>
      </c>
      <c r="T14" s="5">
        <f t="shared" si="3"/>
        <v>145</v>
      </c>
      <c r="U14">
        <f t="shared" si="4"/>
        <v>9.1</v>
      </c>
      <c r="V14">
        <f t="shared" si="5"/>
        <v>5.4</v>
      </c>
    </row>
    <row r="15" spans="1:22" x14ac:dyDescent="0.25">
      <c r="A15" s="4">
        <f>'Mid Sem'!B15</f>
        <v>590029230</v>
      </c>
      <c r="B15" s="4" t="str">
        <f>'Mid Sem'!A15</f>
        <v>Hardik Joshi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">
        <f t="shared" si="0"/>
        <v>0</v>
      </c>
      <c r="O15" s="1"/>
      <c r="R15" s="5">
        <f t="shared" ref="R15:R64" si="6">SUM(C15:G15)</f>
        <v>0</v>
      </c>
      <c r="S15" s="5">
        <f t="shared" ref="S15:S64" si="7">SUM(H15:L15)</f>
        <v>0</v>
      </c>
      <c r="T15" s="5">
        <f t="shared" ref="T15:T64" si="8">SUM(R15:S15)</f>
        <v>0</v>
      </c>
      <c r="U15">
        <f t="shared" si="4"/>
        <v>0</v>
      </c>
      <c r="V15">
        <f t="shared" si="5"/>
        <v>0</v>
      </c>
    </row>
    <row r="16" spans="1:22" x14ac:dyDescent="0.25">
      <c r="A16" s="4">
        <f>'Mid Sem'!B16</f>
        <v>590029169</v>
      </c>
      <c r="B16" s="4" t="str">
        <f>'Mid Sem'!A16</f>
        <v>Hrithvik Bhardwaj</v>
      </c>
      <c r="C16" s="1">
        <v>18</v>
      </c>
      <c r="D16" s="1">
        <v>20</v>
      </c>
      <c r="E16" s="1">
        <v>20</v>
      </c>
      <c r="F16" s="1">
        <v>12</v>
      </c>
      <c r="G16" s="1">
        <v>14</v>
      </c>
      <c r="H16" s="1">
        <v>19</v>
      </c>
      <c r="I16" s="1">
        <v>15</v>
      </c>
      <c r="J16" s="1">
        <v>5</v>
      </c>
      <c r="K16" s="1">
        <v>9</v>
      </c>
      <c r="L16" s="1">
        <v>5</v>
      </c>
      <c r="M16" s="1"/>
      <c r="N16" s="5">
        <f t="shared" si="0"/>
        <v>137</v>
      </c>
      <c r="O16" s="1"/>
      <c r="R16" s="5">
        <f t="shared" si="6"/>
        <v>84</v>
      </c>
      <c r="S16" s="5">
        <f t="shared" si="7"/>
        <v>53</v>
      </c>
      <c r="T16" s="5">
        <f t="shared" si="8"/>
        <v>137</v>
      </c>
      <c r="U16">
        <f t="shared" si="4"/>
        <v>8.4</v>
      </c>
      <c r="V16">
        <f t="shared" si="5"/>
        <v>5.3</v>
      </c>
    </row>
    <row r="17" spans="1:22" x14ac:dyDescent="0.25">
      <c r="A17" s="4">
        <f>'Mid Sem'!B17</f>
        <v>590029112</v>
      </c>
      <c r="B17" s="4" t="str">
        <f>'Mid Sem'!A17</f>
        <v>Nitish Kumar</v>
      </c>
      <c r="C17" s="1">
        <v>19</v>
      </c>
      <c r="D17" s="1">
        <v>18</v>
      </c>
      <c r="E17" s="1">
        <v>20</v>
      </c>
      <c r="F17" s="1">
        <v>18</v>
      </c>
      <c r="G17" s="1">
        <v>13</v>
      </c>
      <c r="H17" s="1">
        <v>16</v>
      </c>
      <c r="I17" s="1">
        <v>14</v>
      </c>
      <c r="J17" s="1">
        <v>5</v>
      </c>
      <c r="K17" s="1">
        <v>7</v>
      </c>
      <c r="L17" s="1">
        <v>4</v>
      </c>
      <c r="M17" s="1"/>
      <c r="N17" s="5">
        <f t="shared" si="0"/>
        <v>134</v>
      </c>
      <c r="O17" s="1"/>
      <c r="R17" s="5">
        <f t="shared" si="6"/>
        <v>88</v>
      </c>
      <c r="S17" s="5">
        <f t="shared" si="7"/>
        <v>46</v>
      </c>
      <c r="T17" s="5">
        <f t="shared" si="8"/>
        <v>134</v>
      </c>
      <c r="U17">
        <f t="shared" si="4"/>
        <v>8.8000000000000007</v>
      </c>
      <c r="V17">
        <f t="shared" si="5"/>
        <v>4.5999999999999996</v>
      </c>
    </row>
    <row r="18" spans="1:22" x14ac:dyDescent="0.25">
      <c r="A18" s="4">
        <f>'Mid Sem'!B18</f>
        <v>590025556</v>
      </c>
      <c r="B18" s="4" t="str">
        <f>'Mid Sem'!A18</f>
        <v>Omkareshwar Chaubey</v>
      </c>
      <c r="C18" s="1">
        <v>19</v>
      </c>
      <c r="D18" s="1">
        <v>18</v>
      </c>
      <c r="E18" s="1">
        <v>20</v>
      </c>
      <c r="F18" s="1">
        <v>18</v>
      </c>
      <c r="G18" s="1">
        <v>13</v>
      </c>
      <c r="H18" s="1">
        <v>19</v>
      </c>
      <c r="I18" s="1">
        <v>15</v>
      </c>
      <c r="J18" s="1">
        <v>5</v>
      </c>
      <c r="K18" s="1">
        <v>8</v>
      </c>
      <c r="L18" s="1">
        <v>5</v>
      </c>
      <c r="M18" s="1"/>
      <c r="N18" s="5">
        <f t="shared" si="0"/>
        <v>140</v>
      </c>
      <c r="O18" s="1"/>
      <c r="R18" s="5">
        <f t="shared" si="6"/>
        <v>88</v>
      </c>
      <c r="S18" s="5">
        <f t="shared" si="7"/>
        <v>52</v>
      </c>
      <c r="T18" s="5">
        <f t="shared" si="8"/>
        <v>140</v>
      </c>
      <c r="U18">
        <f t="shared" si="4"/>
        <v>8.8000000000000007</v>
      </c>
      <c r="V18">
        <f t="shared" si="5"/>
        <v>5.2</v>
      </c>
    </row>
    <row r="19" spans="1:22" x14ac:dyDescent="0.25">
      <c r="A19" s="4">
        <f>'Mid Sem'!B19</f>
        <v>590027830</v>
      </c>
      <c r="B19" s="4" t="str">
        <f>'Mid Sem'!A19</f>
        <v>Pavani Jain</v>
      </c>
      <c r="C19" s="1">
        <v>20</v>
      </c>
      <c r="D19" s="1">
        <v>20</v>
      </c>
      <c r="E19" s="1">
        <v>20</v>
      </c>
      <c r="F19" s="1">
        <v>18</v>
      </c>
      <c r="G19" s="1">
        <v>15</v>
      </c>
      <c r="H19" s="1">
        <v>19</v>
      </c>
      <c r="I19" s="1">
        <v>15</v>
      </c>
      <c r="J19" s="1">
        <v>5</v>
      </c>
      <c r="K19" s="1">
        <v>10</v>
      </c>
      <c r="L19" s="1">
        <v>5</v>
      </c>
      <c r="M19" s="1"/>
      <c r="N19" s="5">
        <f t="shared" si="0"/>
        <v>147</v>
      </c>
      <c r="O19" s="1"/>
      <c r="R19" s="5">
        <f t="shared" si="6"/>
        <v>93</v>
      </c>
      <c r="S19" s="5">
        <f t="shared" si="7"/>
        <v>54</v>
      </c>
      <c r="T19" s="5">
        <f t="shared" si="8"/>
        <v>147</v>
      </c>
      <c r="U19">
        <f t="shared" si="4"/>
        <v>9.3000000000000007</v>
      </c>
      <c r="V19">
        <f t="shared" si="5"/>
        <v>5.4</v>
      </c>
    </row>
    <row r="20" spans="1:22" x14ac:dyDescent="0.25">
      <c r="A20" s="4">
        <f>'Mid Sem'!B20</f>
        <v>590028360</v>
      </c>
      <c r="B20" s="4" t="str">
        <f>'Mid Sem'!A20</f>
        <v>Prapti Uniyal</v>
      </c>
      <c r="C20" s="1">
        <v>18</v>
      </c>
      <c r="D20" s="1">
        <v>18</v>
      </c>
      <c r="E20" s="1">
        <v>20</v>
      </c>
      <c r="F20" s="1">
        <v>17</v>
      </c>
      <c r="G20" s="1">
        <v>13</v>
      </c>
      <c r="H20" s="1">
        <v>17</v>
      </c>
      <c r="I20" s="1">
        <v>14</v>
      </c>
      <c r="J20" s="1">
        <v>5</v>
      </c>
      <c r="K20" s="1">
        <v>8</v>
      </c>
      <c r="L20" s="1">
        <v>5</v>
      </c>
      <c r="M20" s="1"/>
      <c r="N20" s="5">
        <f t="shared" si="0"/>
        <v>135</v>
      </c>
      <c r="O20" s="1"/>
      <c r="R20" s="5">
        <f t="shared" si="6"/>
        <v>86</v>
      </c>
      <c r="S20" s="5">
        <f t="shared" si="7"/>
        <v>49</v>
      </c>
      <c r="T20" s="5">
        <f t="shared" si="8"/>
        <v>135</v>
      </c>
      <c r="U20">
        <f t="shared" si="4"/>
        <v>8.6</v>
      </c>
      <c r="V20">
        <f t="shared" si="5"/>
        <v>4.9000000000000004</v>
      </c>
    </row>
    <row r="21" spans="1:22" x14ac:dyDescent="0.25">
      <c r="A21" s="4">
        <f>'Mid Sem'!B21</f>
        <v>590029237</v>
      </c>
      <c r="B21" s="4" t="str">
        <f>'Mid Sem'!A21</f>
        <v>Priyadarshi Prabhakar</v>
      </c>
      <c r="C21" s="1">
        <v>20</v>
      </c>
      <c r="D21" s="1">
        <v>20</v>
      </c>
      <c r="E21" s="1">
        <v>20</v>
      </c>
      <c r="F21" s="1">
        <v>18</v>
      </c>
      <c r="G21" s="1">
        <v>13</v>
      </c>
      <c r="H21" s="1">
        <v>19</v>
      </c>
      <c r="I21" s="1">
        <v>15</v>
      </c>
      <c r="J21" s="1">
        <v>5</v>
      </c>
      <c r="K21" s="1">
        <v>8</v>
      </c>
      <c r="L21" s="1">
        <v>5</v>
      </c>
      <c r="M21" s="1"/>
      <c r="N21" s="5">
        <f t="shared" si="0"/>
        <v>143</v>
      </c>
      <c r="O21" s="1"/>
      <c r="R21" s="5">
        <f t="shared" si="6"/>
        <v>91</v>
      </c>
      <c r="S21" s="5">
        <f t="shared" si="7"/>
        <v>52</v>
      </c>
      <c r="T21" s="5">
        <f t="shared" si="8"/>
        <v>143</v>
      </c>
      <c r="U21">
        <f t="shared" si="4"/>
        <v>9.1</v>
      </c>
      <c r="V21">
        <f t="shared" si="5"/>
        <v>5.2</v>
      </c>
    </row>
    <row r="22" spans="1:22" x14ac:dyDescent="0.25">
      <c r="A22" s="4">
        <f>'Mid Sem'!B22</f>
        <v>590029079</v>
      </c>
      <c r="B22" s="4" t="str">
        <f>'Mid Sem'!A22</f>
        <v>Radhe Patel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>
        <f t="shared" si="0"/>
        <v>0</v>
      </c>
      <c r="O22" s="1"/>
      <c r="R22" s="5">
        <f t="shared" si="6"/>
        <v>0</v>
      </c>
      <c r="S22" s="5">
        <f t="shared" si="7"/>
        <v>0</v>
      </c>
      <c r="T22" s="5">
        <f t="shared" si="8"/>
        <v>0</v>
      </c>
      <c r="U22">
        <f t="shared" si="4"/>
        <v>0</v>
      </c>
      <c r="V22">
        <f t="shared" si="5"/>
        <v>0</v>
      </c>
    </row>
    <row r="23" spans="1:22" x14ac:dyDescent="0.25">
      <c r="A23" s="4">
        <f>'Mid Sem'!B23</f>
        <v>590029145</v>
      </c>
      <c r="B23" s="4" t="str">
        <f>'Mid Sem'!A23</f>
        <v>Rishika Purushotham</v>
      </c>
      <c r="C23" s="1">
        <v>19</v>
      </c>
      <c r="D23" s="1">
        <v>20</v>
      </c>
      <c r="E23" s="1">
        <v>19</v>
      </c>
      <c r="F23" s="1">
        <v>13</v>
      </c>
      <c r="G23" s="1">
        <v>15</v>
      </c>
      <c r="H23" s="1">
        <v>19</v>
      </c>
      <c r="I23" s="1">
        <v>13</v>
      </c>
      <c r="J23" s="1">
        <v>5</v>
      </c>
      <c r="K23" s="1">
        <v>10</v>
      </c>
      <c r="L23" s="1">
        <v>3</v>
      </c>
      <c r="M23" s="1"/>
      <c r="N23" s="5">
        <f t="shared" si="0"/>
        <v>136</v>
      </c>
      <c r="O23" s="1"/>
      <c r="R23" s="5">
        <f t="shared" si="6"/>
        <v>86</v>
      </c>
      <c r="S23" s="5">
        <f t="shared" si="7"/>
        <v>50</v>
      </c>
      <c r="T23" s="5">
        <f t="shared" si="8"/>
        <v>136</v>
      </c>
      <c r="U23">
        <f t="shared" si="4"/>
        <v>8.6</v>
      </c>
      <c r="V23">
        <f t="shared" si="5"/>
        <v>5</v>
      </c>
    </row>
    <row r="24" spans="1:22" x14ac:dyDescent="0.25">
      <c r="A24" s="4">
        <f>'Mid Sem'!B24</f>
        <v>590029209</v>
      </c>
      <c r="B24" s="4" t="str">
        <f>'Mid Sem'!A24</f>
        <v>Rishiv Kumar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5">
        <f t="shared" si="0"/>
        <v>0</v>
      </c>
      <c r="O24" s="1"/>
      <c r="R24" s="5">
        <f t="shared" si="6"/>
        <v>0</v>
      </c>
      <c r="S24" s="5">
        <f t="shared" si="7"/>
        <v>0</v>
      </c>
      <c r="T24" s="5">
        <f t="shared" si="8"/>
        <v>0</v>
      </c>
      <c r="U24">
        <f t="shared" si="4"/>
        <v>0</v>
      </c>
      <c r="V24">
        <f t="shared" si="5"/>
        <v>0</v>
      </c>
    </row>
    <row r="25" spans="1:22" x14ac:dyDescent="0.25">
      <c r="A25" s="4">
        <f>'Mid Sem'!B25</f>
        <v>590027268</v>
      </c>
      <c r="B25" s="4" t="str">
        <f>'Mid Sem'!A25</f>
        <v>Sankalp Sunil Ronge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">
        <f t="shared" si="0"/>
        <v>0</v>
      </c>
      <c r="O25" s="1"/>
      <c r="R25" s="5">
        <f t="shared" si="6"/>
        <v>0</v>
      </c>
      <c r="S25" s="5">
        <f t="shared" si="7"/>
        <v>0</v>
      </c>
      <c r="T25" s="5">
        <f t="shared" si="8"/>
        <v>0</v>
      </c>
      <c r="U25">
        <f t="shared" si="4"/>
        <v>0</v>
      </c>
      <c r="V25">
        <f t="shared" si="5"/>
        <v>0</v>
      </c>
    </row>
    <row r="26" spans="1:22" x14ac:dyDescent="0.25">
      <c r="A26" s="4">
        <f>'Mid Sem'!B26</f>
        <v>590029227</v>
      </c>
      <c r="B26" s="4" t="str">
        <f>'Mid Sem'!A26</f>
        <v>Sartaj Singh</v>
      </c>
      <c r="C26" s="1">
        <v>20</v>
      </c>
      <c r="D26" s="1">
        <v>20</v>
      </c>
      <c r="E26" s="1">
        <v>20</v>
      </c>
      <c r="F26" s="1">
        <v>18</v>
      </c>
      <c r="G26" s="1">
        <v>15</v>
      </c>
      <c r="H26" s="1">
        <v>20</v>
      </c>
      <c r="I26" s="1">
        <v>15</v>
      </c>
      <c r="J26" s="1">
        <v>5</v>
      </c>
      <c r="K26" s="1">
        <v>10</v>
      </c>
      <c r="L26" s="1">
        <v>5</v>
      </c>
      <c r="M26" s="1"/>
      <c r="N26" s="5">
        <f t="shared" si="0"/>
        <v>148</v>
      </c>
      <c r="O26" s="1"/>
      <c r="R26" s="5">
        <f t="shared" si="6"/>
        <v>93</v>
      </c>
      <c r="S26" s="5">
        <f t="shared" si="7"/>
        <v>55</v>
      </c>
      <c r="T26" s="5">
        <f t="shared" si="8"/>
        <v>148</v>
      </c>
      <c r="U26">
        <f t="shared" si="4"/>
        <v>9.3000000000000007</v>
      </c>
      <c r="V26">
        <f t="shared" si="5"/>
        <v>5.5</v>
      </c>
    </row>
    <row r="27" spans="1:22" x14ac:dyDescent="0.25">
      <c r="A27" s="4">
        <f>'Mid Sem'!B27</f>
        <v>590029241</v>
      </c>
      <c r="B27" s="4" t="str">
        <f>'Mid Sem'!A27</f>
        <v>Satakshi Gupta</v>
      </c>
      <c r="C27" s="1">
        <v>18</v>
      </c>
      <c r="D27" s="1">
        <v>18</v>
      </c>
      <c r="E27" s="1">
        <v>20</v>
      </c>
      <c r="F27" s="1">
        <v>18</v>
      </c>
      <c r="G27" s="1">
        <v>13</v>
      </c>
      <c r="H27" s="1">
        <v>18</v>
      </c>
      <c r="I27" s="1">
        <v>15</v>
      </c>
      <c r="J27" s="1">
        <v>5</v>
      </c>
      <c r="K27" s="1">
        <v>8</v>
      </c>
      <c r="L27" s="1">
        <v>5</v>
      </c>
      <c r="M27" s="1"/>
      <c r="N27" s="5">
        <f t="shared" si="0"/>
        <v>138</v>
      </c>
      <c r="O27" s="1"/>
      <c r="R27" s="5">
        <f t="shared" si="6"/>
        <v>87</v>
      </c>
      <c r="S27" s="5">
        <f t="shared" si="7"/>
        <v>51</v>
      </c>
      <c r="T27" s="5">
        <f t="shared" si="8"/>
        <v>138</v>
      </c>
      <c r="U27">
        <f t="shared" si="4"/>
        <v>8.6999999999999993</v>
      </c>
      <c r="V27">
        <f t="shared" si="5"/>
        <v>5.0999999999999996</v>
      </c>
    </row>
    <row r="28" spans="1:22" x14ac:dyDescent="0.25">
      <c r="A28" s="4">
        <f>'Mid Sem'!B28</f>
        <v>590023855</v>
      </c>
      <c r="B28" s="4" t="str">
        <f>'Mid Sem'!A28</f>
        <v>Shaswat Shantanu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5">
        <f t="shared" si="0"/>
        <v>0</v>
      </c>
      <c r="O28" s="1"/>
      <c r="R28" s="5">
        <f t="shared" si="6"/>
        <v>0</v>
      </c>
      <c r="S28" s="5">
        <f t="shared" si="7"/>
        <v>0</v>
      </c>
      <c r="T28" s="5">
        <f t="shared" si="8"/>
        <v>0</v>
      </c>
      <c r="U28">
        <f t="shared" si="4"/>
        <v>0</v>
      </c>
      <c r="V28">
        <f t="shared" si="5"/>
        <v>0</v>
      </c>
    </row>
    <row r="29" spans="1:22" x14ac:dyDescent="0.25">
      <c r="A29" s="4">
        <f>'Mid Sem'!B29</f>
        <v>590029215</v>
      </c>
      <c r="B29" s="4" t="str">
        <f>'Mid Sem'!A29</f>
        <v>Siddhant Rai</v>
      </c>
      <c r="C29" s="1">
        <v>18</v>
      </c>
      <c r="D29" s="1">
        <v>18</v>
      </c>
      <c r="E29" s="1">
        <v>20</v>
      </c>
      <c r="F29" s="1">
        <v>18</v>
      </c>
      <c r="G29" s="1">
        <v>15</v>
      </c>
      <c r="H29" s="1">
        <v>18</v>
      </c>
      <c r="I29" s="1">
        <v>13</v>
      </c>
      <c r="J29" s="1">
        <v>5</v>
      </c>
      <c r="K29" s="1">
        <v>10</v>
      </c>
      <c r="L29" s="1">
        <v>5</v>
      </c>
      <c r="M29" s="1"/>
      <c r="N29" s="5">
        <f t="shared" si="0"/>
        <v>140</v>
      </c>
      <c r="O29" s="1"/>
      <c r="R29" s="5">
        <f t="shared" si="6"/>
        <v>89</v>
      </c>
      <c r="S29" s="5">
        <f t="shared" si="7"/>
        <v>51</v>
      </c>
      <c r="T29" s="5">
        <f t="shared" si="8"/>
        <v>140</v>
      </c>
      <c r="U29">
        <f t="shared" si="4"/>
        <v>8.9</v>
      </c>
      <c r="V29">
        <f t="shared" si="5"/>
        <v>5.0999999999999996</v>
      </c>
    </row>
    <row r="30" spans="1:22" x14ac:dyDescent="0.25">
      <c r="A30" s="4">
        <f>'Mid Sem'!B30</f>
        <v>590029111</v>
      </c>
      <c r="B30" s="4" t="str">
        <f>'Mid Sem'!A30</f>
        <v>Sidhaant Singh Jyrwa</v>
      </c>
      <c r="C30" s="1">
        <v>0</v>
      </c>
      <c r="D30" s="1">
        <v>0</v>
      </c>
      <c r="E30" s="1">
        <v>20</v>
      </c>
      <c r="F30" s="1">
        <v>16</v>
      </c>
      <c r="G30" s="1">
        <v>0</v>
      </c>
      <c r="H30" s="1">
        <v>0</v>
      </c>
      <c r="I30" s="1">
        <v>10</v>
      </c>
      <c r="J30" s="1">
        <v>0</v>
      </c>
      <c r="K30" s="1">
        <v>0</v>
      </c>
      <c r="L30" s="1">
        <v>5</v>
      </c>
      <c r="M30" s="1"/>
      <c r="N30" s="5">
        <f t="shared" si="0"/>
        <v>51</v>
      </c>
      <c r="O30" s="1"/>
      <c r="R30" s="5">
        <f t="shared" si="6"/>
        <v>36</v>
      </c>
      <c r="S30" s="5">
        <f t="shared" si="7"/>
        <v>15</v>
      </c>
      <c r="T30" s="5">
        <f t="shared" si="8"/>
        <v>51</v>
      </c>
      <c r="U30">
        <f t="shared" si="4"/>
        <v>3.6</v>
      </c>
      <c r="V30">
        <f t="shared" si="5"/>
        <v>1.5</v>
      </c>
    </row>
    <row r="31" spans="1:22" x14ac:dyDescent="0.25">
      <c r="A31" s="4">
        <f>'Mid Sem'!B31</f>
        <v>590028683</v>
      </c>
      <c r="B31" s="4" t="str">
        <f>'Mid Sem'!A31</f>
        <v>Subrat Singh Jadaun</v>
      </c>
      <c r="C31" s="1">
        <v>18</v>
      </c>
      <c r="D31" s="1">
        <v>20</v>
      </c>
      <c r="E31" s="1">
        <v>20</v>
      </c>
      <c r="F31" s="1">
        <v>18</v>
      </c>
      <c r="G31" s="1">
        <v>15</v>
      </c>
      <c r="H31" s="1">
        <v>17</v>
      </c>
      <c r="I31" s="1">
        <v>12</v>
      </c>
      <c r="J31" s="1">
        <v>5</v>
      </c>
      <c r="K31" s="1">
        <v>10</v>
      </c>
      <c r="L31" s="1">
        <v>5</v>
      </c>
      <c r="M31" s="1"/>
      <c r="N31" s="5">
        <f t="shared" si="0"/>
        <v>140</v>
      </c>
      <c r="O31" s="1"/>
      <c r="R31" s="5">
        <f t="shared" si="6"/>
        <v>91</v>
      </c>
      <c r="S31" s="5">
        <f t="shared" si="7"/>
        <v>49</v>
      </c>
      <c r="T31" s="5">
        <f t="shared" si="8"/>
        <v>140</v>
      </c>
      <c r="U31">
        <f t="shared" si="4"/>
        <v>9.1</v>
      </c>
      <c r="V31">
        <f t="shared" si="5"/>
        <v>4.9000000000000004</v>
      </c>
    </row>
    <row r="32" spans="1:22" x14ac:dyDescent="0.25">
      <c r="A32" s="4">
        <f>'Mid Sem'!B32</f>
        <v>590029121</v>
      </c>
      <c r="B32" s="4" t="str">
        <f>'Mid Sem'!A32</f>
        <v>Tushita Sharma</v>
      </c>
      <c r="C32" s="1">
        <v>20</v>
      </c>
      <c r="D32" s="1">
        <v>20</v>
      </c>
      <c r="E32" s="1">
        <v>20</v>
      </c>
      <c r="F32" s="1">
        <v>18</v>
      </c>
      <c r="G32" s="1">
        <v>13</v>
      </c>
      <c r="H32" s="1">
        <v>20</v>
      </c>
      <c r="I32" s="1">
        <v>15</v>
      </c>
      <c r="J32" s="1">
        <v>5</v>
      </c>
      <c r="K32" s="1">
        <v>8</v>
      </c>
      <c r="L32" s="1">
        <v>5</v>
      </c>
      <c r="M32" s="1"/>
      <c r="N32" s="5">
        <f t="shared" si="0"/>
        <v>144</v>
      </c>
      <c r="O32" s="1"/>
      <c r="R32" s="5">
        <f t="shared" si="6"/>
        <v>91</v>
      </c>
      <c r="S32" s="5">
        <f t="shared" si="7"/>
        <v>53</v>
      </c>
      <c r="T32" s="5">
        <f t="shared" si="8"/>
        <v>144</v>
      </c>
      <c r="U32">
        <f t="shared" si="4"/>
        <v>9.1</v>
      </c>
      <c r="V32">
        <f t="shared" si="5"/>
        <v>5.3</v>
      </c>
    </row>
    <row r="33" spans="1:22" x14ac:dyDescent="0.25">
      <c r="A33" s="4">
        <f>'Mid Sem'!B33</f>
        <v>590029048</v>
      </c>
      <c r="B33" s="4" t="str">
        <f>'Mid Sem'!A33</f>
        <v>Vaishnavi Kumari</v>
      </c>
      <c r="C33" s="1">
        <v>18</v>
      </c>
      <c r="D33" s="1">
        <v>20</v>
      </c>
      <c r="E33" s="1">
        <v>20</v>
      </c>
      <c r="F33" s="1">
        <v>18</v>
      </c>
      <c r="G33" s="1">
        <v>15</v>
      </c>
      <c r="H33" s="1">
        <v>20</v>
      </c>
      <c r="I33" s="1">
        <v>15</v>
      </c>
      <c r="J33" s="1">
        <v>5</v>
      </c>
      <c r="K33" s="1">
        <v>10</v>
      </c>
      <c r="L33" s="1">
        <v>5</v>
      </c>
      <c r="M33" s="1"/>
      <c r="N33" s="5">
        <f t="shared" si="0"/>
        <v>146</v>
      </c>
      <c r="O33" s="1"/>
      <c r="R33" s="5">
        <f t="shared" si="6"/>
        <v>91</v>
      </c>
      <c r="S33" s="5">
        <f t="shared" si="7"/>
        <v>55</v>
      </c>
      <c r="T33" s="5">
        <f t="shared" si="8"/>
        <v>146</v>
      </c>
      <c r="U33">
        <f t="shared" si="4"/>
        <v>9.1</v>
      </c>
      <c r="V33">
        <f t="shared" si="5"/>
        <v>5.5</v>
      </c>
    </row>
    <row r="34" spans="1:22" x14ac:dyDescent="0.25">
      <c r="A34" s="4">
        <f>'Mid Sem'!B34</f>
        <v>590029184</v>
      </c>
      <c r="B34" s="4" t="str">
        <f>'Mid Sem'!A34</f>
        <v>Vivek Chauhan</v>
      </c>
      <c r="C34" s="1">
        <v>20</v>
      </c>
      <c r="D34" s="1">
        <v>20</v>
      </c>
      <c r="E34" s="1">
        <v>20</v>
      </c>
      <c r="F34" s="1">
        <v>20</v>
      </c>
      <c r="G34" s="1">
        <v>15</v>
      </c>
      <c r="H34" s="1">
        <v>20</v>
      </c>
      <c r="I34" s="1">
        <v>15</v>
      </c>
      <c r="J34" s="1">
        <v>5</v>
      </c>
      <c r="K34" s="1">
        <v>10</v>
      </c>
      <c r="L34" s="1">
        <v>5</v>
      </c>
      <c r="M34" s="1"/>
      <c r="N34" s="5">
        <f t="shared" si="0"/>
        <v>150</v>
      </c>
      <c r="O34" s="1"/>
      <c r="R34" s="5">
        <f t="shared" si="6"/>
        <v>95</v>
      </c>
      <c r="S34" s="5">
        <f t="shared" si="7"/>
        <v>55</v>
      </c>
      <c r="T34" s="5">
        <f t="shared" si="8"/>
        <v>150</v>
      </c>
      <c r="U34">
        <f t="shared" si="4"/>
        <v>9.5</v>
      </c>
      <c r="V34">
        <f t="shared" si="5"/>
        <v>5.5</v>
      </c>
    </row>
    <row r="35" spans="1:22" x14ac:dyDescent="0.25">
      <c r="A35" s="4">
        <f>'Mid Sem'!B35</f>
        <v>590029330</v>
      </c>
      <c r="B35" s="4" t="str">
        <f>'Mid Sem'!A35</f>
        <v>Aadarshi Bisht</v>
      </c>
      <c r="C35" s="1">
        <v>18</v>
      </c>
      <c r="D35" s="1">
        <v>18</v>
      </c>
      <c r="E35" s="1">
        <v>20</v>
      </c>
      <c r="F35" s="1">
        <v>18</v>
      </c>
      <c r="G35" s="1">
        <v>13</v>
      </c>
      <c r="H35" s="1">
        <v>19</v>
      </c>
      <c r="I35" s="1">
        <v>12</v>
      </c>
      <c r="J35" s="1">
        <v>5</v>
      </c>
      <c r="K35" s="1">
        <v>8</v>
      </c>
      <c r="L35" s="1">
        <v>5</v>
      </c>
      <c r="M35" s="1"/>
      <c r="N35" s="5">
        <f t="shared" si="0"/>
        <v>136</v>
      </c>
      <c r="O35" s="1"/>
      <c r="R35" s="5">
        <f t="shared" si="6"/>
        <v>87</v>
      </c>
      <c r="S35" s="5">
        <f t="shared" si="7"/>
        <v>49</v>
      </c>
      <c r="T35" s="5">
        <f t="shared" si="8"/>
        <v>136</v>
      </c>
      <c r="U35">
        <f t="shared" si="4"/>
        <v>8.6999999999999993</v>
      </c>
      <c r="V35">
        <f t="shared" si="5"/>
        <v>4.9000000000000004</v>
      </c>
    </row>
    <row r="36" spans="1:22" x14ac:dyDescent="0.25">
      <c r="A36" s="4">
        <f>'Mid Sem'!B36</f>
        <v>590027630</v>
      </c>
      <c r="B36" s="4" t="str">
        <f>'Mid Sem'!A36</f>
        <v>Aarush Prasad</v>
      </c>
      <c r="C36" s="1">
        <v>15</v>
      </c>
      <c r="D36" s="1">
        <v>18</v>
      </c>
      <c r="E36" s="1">
        <v>18</v>
      </c>
      <c r="F36" s="1">
        <v>16</v>
      </c>
      <c r="G36" s="1">
        <v>13</v>
      </c>
      <c r="H36" s="1">
        <v>19</v>
      </c>
      <c r="I36" s="1">
        <v>12</v>
      </c>
      <c r="J36" s="1">
        <v>5</v>
      </c>
      <c r="K36" s="1">
        <v>8</v>
      </c>
      <c r="L36" s="1">
        <v>5</v>
      </c>
      <c r="M36" s="1"/>
      <c r="N36" s="5">
        <f t="shared" si="0"/>
        <v>129</v>
      </c>
      <c r="O36" s="1"/>
      <c r="R36" s="5">
        <f t="shared" si="6"/>
        <v>80</v>
      </c>
      <c r="S36" s="5">
        <f t="shared" si="7"/>
        <v>49</v>
      </c>
      <c r="T36" s="5">
        <f t="shared" si="8"/>
        <v>129</v>
      </c>
      <c r="U36">
        <f t="shared" si="4"/>
        <v>8</v>
      </c>
      <c r="V36">
        <f t="shared" si="5"/>
        <v>4.9000000000000004</v>
      </c>
    </row>
    <row r="37" spans="1:22" x14ac:dyDescent="0.25">
      <c r="A37" s="4">
        <f>'Mid Sem'!B37</f>
        <v>590029219</v>
      </c>
      <c r="B37" s="4" t="str">
        <f>'Mid Sem'!A37</f>
        <v>Aditya Mishra</v>
      </c>
      <c r="C37" s="1">
        <v>18</v>
      </c>
      <c r="D37" s="1">
        <v>19</v>
      </c>
      <c r="E37" s="1">
        <v>20</v>
      </c>
      <c r="F37" s="1">
        <v>18</v>
      </c>
      <c r="G37" s="1">
        <v>15</v>
      </c>
      <c r="H37" s="1">
        <v>19</v>
      </c>
      <c r="I37" s="1">
        <v>15</v>
      </c>
      <c r="J37" s="1">
        <v>5</v>
      </c>
      <c r="K37" s="1">
        <v>10</v>
      </c>
      <c r="L37" s="1">
        <v>5</v>
      </c>
      <c r="M37" s="1"/>
      <c r="N37" s="5">
        <f t="shared" si="0"/>
        <v>144</v>
      </c>
      <c r="O37" s="1"/>
      <c r="R37" s="5">
        <f t="shared" si="6"/>
        <v>90</v>
      </c>
      <c r="S37" s="5">
        <f t="shared" si="7"/>
        <v>54</v>
      </c>
      <c r="T37" s="5">
        <f t="shared" si="8"/>
        <v>144</v>
      </c>
      <c r="U37">
        <f t="shared" si="4"/>
        <v>9</v>
      </c>
      <c r="V37">
        <f t="shared" si="5"/>
        <v>5.4</v>
      </c>
    </row>
    <row r="38" spans="1:22" x14ac:dyDescent="0.25">
      <c r="A38" s="4">
        <f>'Mid Sem'!B38</f>
        <v>590028933</v>
      </c>
      <c r="B38" s="4" t="str">
        <f>'Mid Sem'!A38</f>
        <v>Aman Barnwal</v>
      </c>
      <c r="C38" s="1">
        <v>20</v>
      </c>
      <c r="D38" s="1">
        <v>20</v>
      </c>
      <c r="E38" s="1">
        <v>20</v>
      </c>
      <c r="F38" s="1">
        <v>20</v>
      </c>
      <c r="G38" s="1">
        <v>15</v>
      </c>
      <c r="H38" s="1">
        <v>20</v>
      </c>
      <c r="I38" s="1">
        <v>15</v>
      </c>
      <c r="J38" s="1">
        <v>5</v>
      </c>
      <c r="K38" s="1">
        <v>10</v>
      </c>
      <c r="L38" s="1">
        <v>5</v>
      </c>
      <c r="M38" s="1"/>
      <c r="N38" s="5">
        <f t="shared" si="0"/>
        <v>150</v>
      </c>
      <c r="O38" s="1"/>
      <c r="R38" s="5">
        <f t="shared" si="6"/>
        <v>95</v>
      </c>
      <c r="S38" s="5">
        <f t="shared" si="7"/>
        <v>55</v>
      </c>
      <c r="T38" s="5">
        <f t="shared" si="8"/>
        <v>150</v>
      </c>
      <c r="U38">
        <f t="shared" si="4"/>
        <v>9.5</v>
      </c>
      <c r="V38">
        <f t="shared" si="5"/>
        <v>5.5</v>
      </c>
    </row>
    <row r="39" spans="1:22" x14ac:dyDescent="0.25">
      <c r="A39" s="4">
        <f>'Mid Sem'!B39</f>
        <v>590027859</v>
      </c>
      <c r="B39" s="4" t="str">
        <f>'Mid Sem'!A39</f>
        <v>Ashutosh Shrivastava</v>
      </c>
      <c r="C39" s="1">
        <v>15</v>
      </c>
      <c r="D39" s="1">
        <v>16</v>
      </c>
      <c r="E39" s="1">
        <v>15</v>
      </c>
      <c r="F39" s="1">
        <v>14</v>
      </c>
      <c r="G39" s="1">
        <v>10</v>
      </c>
      <c r="H39" s="1">
        <v>5</v>
      </c>
      <c r="I39" s="1">
        <v>8</v>
      </c>
      <c r="J39" s="1">
        <v>5</v>
      </c>
      <c r="K39" s="1">
        <v>6</v>
      </c>
      <c r="L39" s="1">
        <v>5</v>
      </c>
      <c r="M39" s="1"/>
      <c r="N39" s="5">
        <f t="shared" si="0"/>
        <v>99</v>
      </c>
      <c r="O39" s="1"/>
      <c r="R39" s="5">
        <f t="shared" si="6"/>
        <v>70</v>
      </c>
      <c r="S39" s="5">
        <f t="shared" si="7"/>
        <v>29</v>
      </c>
      <c r="T39" s="5">
        <f t="shared" si="8"/>
        <v>99</v>
      </c>
      <c r="U39">
        <f t="shared" si="4"/>
        <v>7</v>
      </c>
      <c r="V39">
        <f t="shared" si="5"/>
        <v>2.9</v>
      </c>
    </row>
    <row r="40" spans="1:22" x14ac:dyDescent="0.25">
      <c r="A40" s="4">
        <f>'Mid Sem'!B40</f>
        <v>590028682</v>
      </c>
      <c r="B40" s="4" t="str">
        <f>'Mid Sem'!A40</f>
        <v>Ayan Pande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5">
        <f t="shared" si="0"/>
        <v>0</v>
      </c>
      <c r="O40" s="1"/>
      <c r="R40" s="5">
        <f t="shared" si="6"/>
        <v>0</v>
      </c>
      <c r="S40" s="5">
        <f t="shared" si="7"/>
        <v>0</v>
      </c>
      <c r="T40" s="5">
        <f t="shared" si="8"/>
        <v>0</v>
      </c>
      <c r="U40">
        <f t="shared" si="4"/>
        <v>0</v>
      </c>
      <c r="V40">
        <f t="shared" si="5"/>
        <v>0</v>
      </c>
    </row>
    <row r="41" spans="1:22" x14ac:dyDescent="0.25">
      <c r="A41" s="4">
        <f>'Mid Sem'!B41</f>
        <v>590023917</v>
      </c>
      <c r="B41" s="4" t="str">
        <f>'Mid Sem'!A41</f>
        <v>Ayush Pratap Singh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5">
        <f t="shared" si="0"/>
        <v>0</v>
      </c>
      <c r="O41" s="1"/>
      <c r="R41" s="5">
        <f t="shared" si="6"/>
        <v>0</v>
      </c>
      <c r="S41" s="5">
        <f t="shared" si="7"/>
        <v>0</v>
      </c>
      <c r="T41" s="5">
        <f t="shared" si="8"/>
        <v>0</v>
      </c>
      <c r="U41">
        <f t="shared" si="4"/>
        <v>0</v>
      </c>
      <c r="V41">
        <f t="shared" si="5"/>
        <v>0</v>
      </c>
    </row>
    <row r="42" spans="1:22" x14ac:dyDescent="0.25">
      <c r="A42" s="4">
        <f>'Mid Sem'!B42</f>
        <v>590023785</v>
      </c>
      <c r="B42" s="4" t="str">
        <f>'Mid Sem'!A42</f>
        <v>Gayatri Bhatt</v>
      </c>
      <c r="C42" s="1">
        <v>20</v>
      </c>
      <c r="D42" s="1">
        <v>20</v>
      </c>
      <c r="E42" s="1">
        <v>20</v>
      </c>
      <c r="F42" s="1">
        <v>18</v>
      </c>
      <c r="G42" s="1">
        <v>15</v>
      </c>
      <c r="H42" s="1">
        <v>10</v>
      </c>
      <c r="I42" s="1">
        <v>10</v>
      </c>
      <c r="J42" s="1">
        <v>5</v>
      </c>
      <c r="K42" s="1">
        <v>8</v>
      </c>
      <c r="L42" s="1">
        <v>5</v>
      </c>
      <c r="M42" s="1"/>
      <c r="N42" s="5">
        <f t="shared" si="0"/>
        <v>131</v>
      </c>
      <c r="O42" s="1"/>
      <c r="R42" s="5">
        <f t="shared" si="6"/>
        <v>93</v>
      </c>
      <c r="S42" s="5">
        <f t="shared" si="7"/>
        <v>38</v>
      </c>
      <c r="T42" s="5">
        <f t="shared" si="8"/>
        <v>131</v>
      </c>
      <c r="U42">
        <f t="shared" si="4"/>
        <v>9.3000000000000007</v>
      </c>
      <c r="V42">
        <f t="shared" si="5"/>
        <v>3.8</v>
      </c>
    </row>
    <row r="43" spans="1:22" x14ac:dyDescent="0.25">
      <c r="A43" s="4">
        <f>'Mid Sem'!B43</f>
        <v>590029264</v>
      </c>
      <c r="B43" s="4" t="str">
        <f>'Mid Sem'!A43</f>
        <v>Harsh Mudgal</v>
      </c>
      <c r="C43" s="1">
        <v>18</v>
      </c>
      <c r="D43" s="1">
        <v>20</v>
      </c>
      <c r="E43" s="1">
        <v>20</v>
      </c>
      <c r="F43" s="1">
        <v>18</v>
      </c>
      <c r="G43" s="1">
        <v>15</v>
      </c>
      <c r="H43" s="1">
        <v>19</v>
      </c>
      <c r="I43" s="1">
        <v>15</v>
      </c>
      <c r="J43" s="1">
        <v>5</v>
      </c>
      <c r="K43" s="1">
        <v>10</v>
      </c>
      <c r="L43" s="1">
        <v>5</v>
      </c>
      <c r="M43" s="1"/>
      <c r="N43" s="5">
        <f t="shared" si="0"/>
        <v>145</v>
      </c>
      <c r="O43" s="1"/>
      <c r="R43" s="5">
        <f t="shared" si="6"/>
        <v>91</v>
      </c>
      <c r="S43" s="5">
        <f t="shared" si="7"/>
        <v>54</v>
      </c>
      <c r="T43" s="5">
        <f t="shared" si="8"/>
        <v>145</v>
      </c>
      <c r="U43">
        <f t="shared" si="4"/>
        <v>9.1</v>
      </c>
      <c r="V43">
        <f t="shared" si="5"/>
        <v>5.4</v>
      </c>
    </row>
    <row r="44" spans="1:22" x14ac:dyDescent="0.25">
      <c r="A44" s="4">
        <f>'Mid Sem'!B44</f>
        <v>590029042</v>
      </c>
      <c r="B44" s="4" t="str">
        <f>'Mid Sem'!A44</f>
        <v>Kanan Nidhania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5">
        <f t="shared" si="0"/>
        <v>0</v>
      </c>
      <c r="O44" s="1"/>
      <c r="R44" s="5">
        <f t="shared" si="6"/>
        <v>0</v>
      </c>
      <c r="S44" s="5">
        <f t="shared" si="7"/>
        <v>0</v>
      </c>
      <c r="T44" s="5">
        <f t="shared" si="8"/>
        <v>0</v>
      </c>
      <c r="U44">
        <f t="shared" si="4"/>
        <v>0</v>
      </c>
      <c r="V44">
        <f t="shared" si="5"/>
        <v>0</v>
      </c>
    </row>
    <row r="45" spans="1:22" x14ac:dyDescent="0.25">
      <c r="A45" s="4">
        <f>'Mid Sem'!B45</f>
        <v>590029336</v>
      </c>
      <c r="B45" s="4" t="str">
        <f>'Mid Sem'!A45</f>
        <v>Kanishka Diwakar</v>
      </c>
      <c r="C45" s="1">
        <v>18</v>
      </c>
      <c r="D45" s="1">
        <v>18</v>
      </c>
      <c r="E45" s="1">
        <v>20</v>
      </c>
      <c r="F45" s="1">
        <v>18</v>
      </c>
      <c r="G45" s="1">
        <v>13</v>
      </c>
      <c r="H45" s="1">
        <v>19</v>
      </c>
      <c r="I45" s="1">
        <v>14</v>
      </c>
      <c r="J45" s="1">
        <v>5</v>
      </c>
      <c r="K45" s="1">
        <v>9</v>
      </c>
      <c r="L45" s="1">
        <v>5</v>
      </c>
      <c r="M45" s="1"/>
      <c r="N45" s="5">
        <f t="shared" si="0"/>
        <v>139</v>
      </c>
      <c r="O45" s="1"/>
      <c r="R45" s="5">
        <f t="shared" si="6"/>
        <v>87</v>
      </c>
      <c r="S45" s="5">
        <f t="shared" si="7"/>
        <v>52</v>
      </c>
      <c r="T45" s="5">
        <f t="shared" si="8"/>
        <v>139</v>
      </c>
      <c r="U45">
        <f t="shared" si="4"/>
        <v>8.6999999999999993</v>
      </c>
      <c r="V45">
        <f t="shared" si="5"/>
        <v>5.2</v>
      </c>
    </row>
    <row r="46" spans="1:22" x14ac:dyDescent="0.25">
      <c r="A46" s="4">
        <f>'Mid Sem'!B46</f>
        <v>590029233</v>
      </c>
      <c r="B46" s="4" t="str">
        <f>'Mid Sem'!A46</f>
        <v>Keshav Chahda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5">
        <f t="shared" si="0"/>
        <v>0</v>
      </c>
      <c r="O46" s="1"/>
      <c r="R46" s="5">
        <f t="shared" si="6"/>
        <v>0</v>
      </c>
      <c r="S46" s="5">
        <f t="shared" si="7"/>
        <v>0</v>
      </c>
      <c r="T46" s="5">
        <f t="shared" si="8"/>
        <v>0</v>
      </c>
      <c r="U46">
        <f t="shared" si="4"/>
        <v>0</v>
      </c>
      <c r="V46">
        <f t="shared" si="5"/>
        <v>0</v>
      </c>
    </row>
    <row r="47" spans="1:22" x14ac:dyDescent="0.25">
      <c r="A47" s="4">
        <f>'Mid Sem'!B47</f>
        <v>590029328</v>
      </c>
      <c r="B47" s="4" t="str">
        <f>'Mid Sem'!A47</f>
        <v>Lakshay Dhanda</v>
      </c>
      <c r="C47" s="1">
        <v>18</v>
      </c>
      <c r="D47" s="1">
        <v>18</v>
      </c>
      <c r="E47" s="1">
        <v>20</v>
      </c>
      <c r="F47" s="1">
        <v>18</v>
      </c>
      <c r="G47" s="1">
        <v>15</v>
      </c>
      <c r="H47" s="1">
        <v>19</v>
      </c>
      <c r="I47" s="1">
        <v>15</v>
      </c>
      <c r="J47" s="1">
        <v>5</v>
      </c>
      <c r="K47" s="1">
        <v>10</v>
      </c>
      <c r="L47" s="1">
        <v>5</v>
      </c>
      <c r="M47" s="1"/>
      <c r="N47" s="5">
        <f t="shared" si="0"/>
        <v>143</v>
      </c>
      <c r="O47" s="1"/>
      <c r="R47" s="5">
        <f t="shared" si="6"/>
        <v>89</v>
      </c>
      <c r="S47" s="5">
        <f t="shared" si="7"/>
        <v>54</v>
      </c>
      <c r="T47" s="5">
        <f t="shared" si="8"/>
        <v>143</v>
      </c>
      <c r="U47">
        <f t="shared" si="4"/>
        <v>8.9</v>
      </c>
      <c r="V47">
        <f t="shared" si="5"/>
        <v>5.4</v>
      </c>
    </row>
    <row r="48" spans="1:22" x14ac:dyDescent="0.25">
      <c r="A48" s="4">
        <f>'Mid Sem'!B48</f>
        <v>590028608</v>
      </c>
      <c r="B48" s="4" t="str">
        <f>'Mid Sem'!A48</f>
        <v>Lakshya Singh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5">
        <f t="shared" si="0"/>
        <v>0</v>
      </c>
      <c r="O48" s="1"/>
      <c r="R48" s="5">
        <f t="shared" si="6"/>
        <v>0</v>
      </c>
      <c r="S48" s="5">
        <f t="shared" si="7"/>
        <v>0</v>
      </c>
      <c r="T48" s="5">
        <f t="shared" si="8"/>
        <v>0</v>
      </c>
      <c r="U48">
        <f t="shared" si="4"/>
        <v>0</v>
      </c>
      <c r="V48">
        <f t="shared" si="5"/>
        <v>0</v>
      </c>
    </row>
    <row r="49" spans="1:22" x14ac:dyDescent="0.25">
      <c r="A49" s="4">
        <f>'Mid Sem'!B49</f>
        <v>590028605</v>
      </c>
      <c r="B49" s="4" t="str">
        <f>'Mid Sem'!A49</f>
        <v>Mayank Chand Ramola</v>
      </c>
      <c r="C49" s="1">
        <v>19</v>
      </c>
      <c r="D49" s="1">
        <v>18</v>
      </c>
      <c r="E49" s="1">
        <v>20</v>
      </c>
      <c r="F49" s="1">
        <v>14</v>
      </c>
      <c r="G49" s="1">
        <v>13</v>
      </c>
      <c r="H49" s="1">
        <v>18</v>
      </c>
      <c r="I49" s="1">
        <v>14</v>
      </c>
      <c r="J49" s="1">
        <v>5</v>
      </c>
      <c r="K49" s="1">
        <v>8</v>
      </c>
      <c r="L49" s="1">
        <v>5</v>
      </c>
      <c r="M49" s="1"/>
      <c r="N49" s="5">
        <f t="shared" si="0"/>
        <v>134</v>
      </c>
      <c r="O49" s="1"/>
      <c r="R49" s="5">
        <f t="shared" si="6"/>
        <v>84</v>
      </c>
      <c r="S49" s="5">
        <f t="shared" si="7"/>
        <v>50</v>
      </c>
      <c r="T49" s="5">
        <f t="shared" si="8"/>
        <v>134</v>
      </c>
      <c r="U49">
        <f t="shared" si="4"/>
        <v>8.4</v>
      </c>
      <c r="V49">
        <f t="shared" si="5"/>
        <v>5</v>
      </c>
    </row>
    <row r="50" spans="1:22" x14ac:dyDescent="0.25">
      <c r="A50" s="4">
        <f>'Mid Sem'!B50</f>
        <v>590026626</v>
      </c>
      <c r="B50" s="4" t="str">
        <f>'Mid Sem'!A50</f>
        <v>Mukesh Patel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5">
        <f t="shared" si="0"/>
        <v>0</v>
      </c>
      <c r="O50" s="1"/>
      <c r="R50" s="5">
        <f t="shared" si="6"/>
        <v>0</v>
      </c>
      <c r="S50" s="5">
        <f t="shared" si="7"/>
        <v>0</v>
      </c>
      <c r="T50" s="5">
        <f t="shared" si="8"/>
        <v>0</v>
      </c>
      <c r="U50">
        <f t="shared" si="4"/>
        <v>0</v>
      </c>
      <c r="V50">
        <f t="shared" si="5"/>
        <v>0</v>
      </c>
    </row>
    <row r="51" spans="1:22" x14ac:dyDescent="0.25">
      <c r="A51" s="4">
        <f>'Mid Sem'!B51</f>
        <v>590029310</v>
      </c>
      <c r="B51" s="4" t="str">
        <f>'Mid Sem'!A51</f>
        <v>Nipun Singh</v>
      </c>
      <c r="C51" s="1">
        <v>18</v>
      </c>
      <c r="D51" s="1">
        <v>19</v>
      </c>
      <c r="E51" s="1">
        <v>20</v>
      </c>
      <c r="F51" s="1">
        <v>16</v>
      </c>
      <c r="G51" s="1">
        <v>13</v>
      </c>
      <c r="H51" s="1">
        <v>17</v>
      </c>
      <c r="I51" s="1">
        <v>9</v>
      </c>
      <c r="J51" s="1">
        <v>0</v>
      </c>
      <c r="K51" s="1">
        <v>8</v>
      </c>
      <c r="L51" s="1">
        <v>5</v>
      </c>
      <c r="M51" s="1"/>
      <c r="N51" s="5">
        <f t="shared" si="0"/>
        <v>125</v>
      </c>
      <c r="O51" s="1"/>
      <c r="R51" s="5">
        <f t="shared" si="6"/>
        <v>86</v>
      </c>
      <c r="S51" s="5">
        <f t="shared" si="7"/>
        <v>39</v>
      </c>
      <c r="T51" s="5">
        <f t="shared" si="8"/>
        <v>125</v>
      </c>
      <c r="U51">
        <f t="shared" si="4"/>
        <v>8.6</v>
      </c>
      <c r="V51">
        <f t="shared" si="5"/>
        <v>3.9</v>
      </c>
    </row>
    <row r="52" spans="1:22" x14ac:dyDescent="0.25">
      <c r="A52" s="4">
        <f>'Mid Sem'!B52</f>
        <v>590029319</v>
      </c>
      <c r="B52" s="4" t="str">
        <f>'Mid Sem'!A52</f>
        <v>Paras Bhall</v>
      </c>
      <c r="C52" s="1">
        <v>18</v>
      </c>
      <c r="D52" s="1">
        <v>18</v>
      </c>
      <c r="E52" s="1">
        <v>20</v>
      </c>
      <c r="F52" s="1">
        <v>18</v>
      </c>
      <c r="G52" s="1">
        <v>13</v>
      </c>
      <c r="H52" s="1">
        <v>19</v>
      </c>
      <c r="I52" s="1">
        <v>15</v>
      </c>
      <c r="J52" s="1">
        <v>5</v>
      </c>
      <c r="K52" s="1">
        <v>8</v>
      </c>
      <c r="L52" s="1">
        <v>5</v>
      </c>
      <c r="M52" s="1"/>
      <c r="N52" s="5">
        <f t="shared" si="0"/>
        <v>139</v>
      </c>
      <c r="O52" s="1"/>
      <c r="R52" s="5">
        <f t="shared" si="6"/>
        <v>87</v>
      </c>
      <c r="S52" s="5">
        <f t="shared" si="7"/>
        <v>52</v>
      </c>
      <c r="T52" s="5">
        <f t="shared" si="8"/>
        <v>139</v>
      </c>
      <c r="U52">
        <f t="shared" si="4"/>
        <v>8.6999999999999993</v>
      </c>
      <c r="V52">
        <f t="shared" si="5"/>
        <v>5.2</v>
      </c>
    </row>
    <row r="53" spans="1:22" x14ac:dyDescent="0.25">
      <c r="A53" s="4">
        <f>'Mid Sem'!B53</f>
        <v>590029339</v>
      </c>
      <c r="B53" s="4" t="str">
        <f>'Mid Sem'!A53</f>
        <v>Raghav Kumar Goyal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5">
        <f t="shared" si="0"/>
        <v>0</v>
      </c>
      <c r="O53" s="1"/>
      <c r="R53" s="5">
        <f t="shared" si="6"/>
        <v>0</v>
      </c>
      <c r="S53" s="5">
        <f t="shared" si="7"/>
        <v>0</v>
      </c>
      <c r="T53" s="5">
        <f t="shared" si="8"/>
        <v>0</v>
      </c>
      <c r="U53">
        <f t="shared" si="4"/>
        <v>0</v>
      </c>
      <c r="V53">
        <f t="shared" si="5"/>
        <v>0</v>
      </c>
    </row>
    <row r="54" spans="1:22" x14ac:dyDescent="0.25">
      <c r="A54" s="4">
        <f>'Mid Sem'!B54</f>
        <v>590029148</v>
      </c>
      <c r="B54" s="4" t="str">
        <f>'Mid Sem'!A54</f>
        <v>Rahul</v>
      </c>
      <c r="C54" s="1">
        <v>18</v>
      </c>
      <c r="D54" s="1">
        <v>18</v>
      </c>
      <c r="E54" s="1">
        <v>20</v>
      </c>
      <c r="F54" s="1">
        <v>18</v>
      </c>
      <c r="G54" s="1">
        <v>13</v>
      </c>
      <c r="H54" s="1">
        <v>19</v>
      </c>
      <c r="I54" s="1">
        <v>15</v>
      </c>
      <c r="J54" s="1">
        <v>5</v>
      </c>
      <c r="K54" s="1">
        <v>8</v>
      </c>
      <c r="L54" s="1">
        <v>5</v>
      </c>
      <c r="M54" s="1"/>
      <c r="N54" s="5">
        <f t="shared" si="0"/>
        <v>139</v>
      </c>
      <c r="O54" s="1"/>
      <c r="R54" s="5">
        <f t="shared" si="6"/>
        <v>87</v>
      </c>
      <c r="S54" s="5">
        <f t="shared" si="7"/>
        <v>52</v>
      </c>
      <c r="T54" s="5">
        <f t="shared" si="8"/>
        <v>139</v>
      </c>
      <c r="U54">
        <f t="shared" si="4"/>
        <v>8.6999999999999993</v>
      </c>
      <c r="V54">
        <f t="shared" si="5"/>
        <v>5.2</v>
      </c>
    </row>
    <row r="55" spans="1:22" x14ac:dyDescent="0.25">
      <c r="A55" s="4">
        <f>'Mid Sem'!B55</f>
        <v>590029309</v>
      </c>
      <c r="B55" s="4" t="str">
        <f>'Mid Sem'!A55</f>
        <v>Rahul Singh</v>
      </c>
      <c r="C55" s="1">
        <v>18</v>
      </c>
      <c r="D55" s="1">
        <v>18</v>
      </c>
      <c r="E55" s="1">
        <v>20</v>
      </c>
      <c r="F55" s="1">
        <v>18</v>
      </c>
      <c r="G55" s="1">
        <v>13</v>
      </c>
      <c r="H55" s="1">
        <v>16</v>
      </c>
      <c r="I55" s="1">
        <v>10</v>
      </c>
      <c r="J55" s="1">
        <v>5</v>
      </c>
      <c r="K55" s="1">
        <v>8</v>
      </c>
      <c r="L55" s="1">
        <v>5</v>
      </c>
      <c r="M55" s="1"/>
      <c r="N55" s="5">
        <f t="shared" si="0"/>
        <v>131</v>
      </c>
      <c r="O55" s="1"/>
      <c r="R55" s="5">
        <f t="shared" si="6"/>
        <v>87</v>
      </c>
      <c r="S55" s="5">
        <f t="shared" si="7"/>
        <v>44</v>
      </c>
      <c r="T55" s="5">
        <f t="shared" si="8"/>
        <v>131</v>
      </c>
      <c r="U55">
        <f t="shared" si="4"/>
        <v>8.6999999999999993</v>
      </c>
      <c r="V55">
        <f t="shared" si="5"/>
        <v>4.4000000000000004</v>
      </c>
    </row>
    <row r="56" spans="1:22" x14ac:dyDescent="0.25">
      <c r="A56" s="4">
        <f>'Mid Sem'!B56</f>
        <v>590028838</v>
      </c>
      <c r="B56" s="4" t="str">
        <f>'Mid Sem'!A56</f>
        <v>Satyam Singh</v>
      </c>
      <c r="C56" s="1">
        <v>18</v>
      </c>
      <c r="D56" s="1">
        <v>12</v>
      </c>
      <c r="E56" s="1">
        <v>20</v>
      </c>
      <c r="F56" s="1">
        <v>13</v>
      </c>
      <c r="G56" s="1">
        <v>13</v>
      </c>
      <c r="H56" s="1">
        <v>16</v>
      </c>
      <c r="I56" s="1">
        <v>8</v>
      </c>
      <c r="J56" s="1">
        <v>0</v>
      </c>
      <c r="K56" s="1">
        <v>8</v>
      </c>
      <c r="L56" s="1">
        <v>5</v>
      </c>
      <c r="M56" s="1"/>
      <c r="N56" s="5">
        <f t="shared" si="0"/>
        <v>113</v>
      </c>
      <c r="O56" s="1"/>
      <c r="R56" s="5">
        <f t="shared" si="6"/>
        <v>76</v>
      </c>
      <c r="S56" s="5">
        <f t="shared" si="7"/>
        <v>37</v>
      </c>
      <c r="T56" s="5">
        <f t="shared" si="8"/>
        <v>113</v>
      </c>
      <c r="U56">
        <f t="shared" si="4"/>
        <v>7.6</v>
      </c>
      <c r="V56">
        <f t="shared" si="5"/>
        <v>3.7</v>
      </c>
    </row>
    <row r="57" spans="1:22" x14ac:dyDescent="0.25">
      <c r="A57" s="4">
        <f>'Mid Sem'!B57</f>
        <v>590029107</v>
      </c>
      <c r="B57" s="4" t="str">
        <f>'Mid Sem'!A57</f>
        <v>Shashwat Agrawal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">
        <f t="shared" si="0"/>
        <v>0</v>
      </c>
      <c r="O57" s="1"/>
      <c r="R57" s="5">
        <f t="shared" si="6"/>
        <v>0</v>
      </c>
      <c r="S57" s="5">
        <f t="shared" si="7"/>
        <v>0</v>
      </c>
      <c r="T57" s="5">
        <f t="shared" si="8"/>
        <v>0</v>
      </c>
      <c r="U57">
        <f t="shared" si="4"/>
        <v>0</v>
      </c>
      <c r="V57">
        <f t="shared" si="5"/>
        <v>0</v>
      </c>
    </row>
    <row r="58" spans="1:22" x14ac:dyDescent="0.25">
      <c r="A58" s="4">
        <f>'Mid Sem'!B58</f>
        <v>590029266</v>
      </c>
      <c r="B58" s="4" t="str">
        <f>'Mid Sem'!A58</f>
        <v>Siddhant Gurung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5">
        <f t="shared" si="0"/>
        <v>0</v>
      </c>
      <c r="O58" s="1"/>
      <c r="R58" s="5">
        <f t="shared" si="6"/>
        <v>0</v>
      </c>
      <c r="S58" s="5">
        <f t="shared" si="7"/>
        <v>0</v>
      </c>
      <c r="T58" s="5">
        <f t="shared" si="8"/>
        <v>0</v>
      </c>
      <c r="U58">
        <f t="shared" si="4"/>
        <v>0</v>
      </c>
      <c r="V58">
        <f t="shared" si="5"/>
        <v>0</v>
      </c>
    </row>
    <row r="59" spans="1:22" x14ac:dyDescent="0.25">
      <c r="A59" s="4">
        <f>'Mid Sem'!B59</f>
        <v>590029354</v>
      </c>
      <c r="B59" s="4" t="str">
        <f>'Mid Sem'!A59</f>
        <v>Simarjot Kaur Gill</v>
      </c>
      <c r="C59" s="1">
        <v>20</v>
      </c>
      <c r="D59" s="1">
        <v>20</v>
      </c>
      <c r="E59" s="1">
        <v>20</v>
      </c>
      <c r="F59" s="1">
        <v>18</v>
      </c>
      <c r="G59" s="1">
        <v>15</v>
      </c>
      <c r="H59" s="1">
        <v>20</v>
      </c>
      <c r="I59" s="1">
        <v>15</v>
      </c>
      <c r="J59" s="1">
        <v>5</v>
      </c>
      <c r="K59" s="1">
        <v>10</v>
      </c>
      <c r="L59" s="1">
        <v>5</v>
      </c>
      <c r="M59" s="1"/>
      <c r="N59" s="5">
        <f t="shared" si="0"/>
        <v>148</v>
      </c>
      <c r="O59" s="1"/>
      <c r="R59" s="5">
        <f t="shared" si="6"/>
        <v>93</v>
      </c>
      <c r="S59" s="5">
        <f t="shared" si="7"/>
        <v>55</v>
      </c>
      <c r="T59" s="5">
        <f t="shared" si="8"/>
        <v>148</v>
      </c>
      <c r="U59">
        <f t="shared" si="4"/>
        <v>9.3000000000000007</v>
      </c>
      <c r="V59">
        <f t="shared" si="5"/>
        <v>5.5</v>
      </c>
    </row>
    <row r="60" spans="1:22" x14ac:dyDescent="0.25">
      <c r="A60" s="4">
        <f>'Mid Sem'!B60</f>
        <v>590029349</v>
      </c>
      <c r="B60" s="4" t="str">
        <f>'Mid Sem'!A60</f>
        <v>Tanishq Bansal</v>
      </c>
      <c r="C60" s="1">
        <v>15</v>
      </c>
      <c r="D60" s="1">
        <v>20</v>
      </c>
      <c r="E60" s="1">
        <v>20</v>
      </c>
      <c r="F60" s="1">
        <v>18</v>
      </c>
      <c r="G60" s="1">
        <v>13</v>
      </c>
      <c r="H60" s="1">
        <v>19</v>
      </c>
      <c r="I60" s="1">
        <v>15</v>
      </c>
      <c r="J60" s="1">
        <v>5</v>
      </c>
      <c r="K60" s="1">
        <v>10</v>
      </c>
      <c r="L60" s="1">
        <v>5</v>
      </c>
      <c r="M60" s="1"/>
      <c r="N60" s="5">
        <f t="shared" si="0"/>
        <v>140</v>
      </c>
      <c r="O60" s="1"/>
      <c r="R60" s="5">
        <f t="shared" si="6"/>
        <v>86</v>
      </c>
      <c r="S60" s="5">
        <f t="shared" si="7"/>
        <v>54</v>
      </c>
      <c r="T60" s="5">
        <f t="shared" si="8"/>
        <v>140</v>
      </c>
      <c r="U60">
        <f t="shared" si="4"/>
        <v>8.6</v>
      </c>
      <c r="V60">
        <f t="shared" si="5"/>
        <v>5.4</v>
      </c>
    </row>
    <row r="61" spans="1:22" x14ac:dyDescent="0.25">
      <c r="A61" s="4">
        <f>'Mid Sem'!B61</f>
        <v>590029302</v>
      </c>
      <c r="B61" s="4" t="str">
        <f>'Mid Sem'!A61</f>
        <v>Tanmay Amit Verma</v>
      </c>
      <c r="C61" s="1">
        <v>18</v>
      </c>
      <c r="D61" s="1">
        <v>20</v>
      </c>
      <c r="E61" s="1">
        <v>20</v>
      </c>
      <c r="F61" s="1">
        <v>13</v>
      </c>
      <c r="G61" s="1">
        <v>15</v>
      </c>
      <c r="H61" s="1">
        <v>19</v>
      </c>
      <c r="I61" s="1">
        <v>14</v>
      </c>
      <c r="J61" s="1">
        <v>5</v>
      </c>
      <c r="K61" s="1">
        <v>8</v>
      </c>
      <c r="L61" s="1">
        <v>5</v>
      </c>
      <c r="M61" s="1"/>
      <c r="N61" s="5">
        <f t="shared" si="0"/>
        <v>137</v>
      </c>
      <c r="O61" s="1"/>
      <c r="R61" s="5">
        <f t="shared" si="6"/>
        <v>86</v>
      </c>
      <c r="S61" s="5">
        <f t="shared" si="7"/>
        <v>51</v>
      </c>
      <c r="T61" s="5">
        <f t="shared" si="8"/>
        <v>137</v>
      </c>
      <c r="U61">
        <f t="shared" si="4"/>
        <v>8.6</v>
      </c>
      <c r="V61">
        <f t="shared" si="5"/>
        <v>5.0999999999999996</v>
      </c>
    </row>
    <row r="62" spans="1:22" x14ac:dyDescent="0.25">
      <c r="A62" s="4">
        <f>'Mid Sem'!B62</f>
        <v>590029262</v>
      </c>
      <c r="B62" s="4" t="str">
        <f>'Mid Sem'!A62</f>
        <v>Vandana Yadav</v>
      </c>
      <c r="C62" s="1">
        <v>18</v>
      </c>
      <c r="D62" s="1">
        <v>19</v>
      </c>
      <c r="E62" s="1">
        <v>20</v>
      </c>
      <c r="F62" s="1">
        <v>18</v>
      </c>
      <c r="G62" s="1">
        <v>15</v>
      </c>
      <c r="H62" s="1">
        <v>18</v>
      </c>
      <c r="I62" s="1">
        <v>15</v>
      </c>
      <c r="J62" s="1">
        <v>5</v>
      </c>
      <c r="K62" s="1">
        <v>9</v>
      </c>
      <c r="L62" s="1">
        <v>5</v>
      </c>
      <c r="M62" s="1"/>
      <c r="N62" s="5">
        <f t="shared" si="0"/>
        <v>142</v>
      </c>
      <c r="O62" s="1"/>
      <c r="R62" s="5">
        <f t="shared" si="6"/>
        <v>90</v>
      </c>
      <c r="S62" s="5">
        <f t="shared" si="7"/>
        <v>52</v>
      </c>
      <c r="T62" s="5">
        <f t="shared" si="8"/>
        <v>142</v>
      </c>
      <c r="U62">
        <f t="shared" si="4"/>
        <v>9</v>
      </c>
      <c r="V62">
        <f t="shared" si="5"/>
        <v>5.2</v>
      </c>
    </row>
    <row r="63" spans="1:22" x14ac:dyDescent="0.25">
      <c r="A63" s="4">
        <f>'Mid Sem'!B63</f>
        <v>590029285</v>
      </c>
      <c r="B63" s="4" t="str">
        <f>'Mid Sem'!A63</f>
        <v>Vidit Ahuja</v>
      </c>
      <c r="C63" s="1">
        <v>19</v>
      </c>
      <c r="D63" s="1">
        <v>20</v>
      </c>
      <c r="E63" s="1">
        <v>20</v>
      </c>
      <c r="F63" s="1">
        <v>18</v>
      </c>
      <c r="G63" s="1">
        <v>15</v>
      </c>
      <c r="H63" s="1">
        <v>19</v>
      </c>
      <c r="I63" s="1">
        <v>15</v>
      </c>
      <c r="J63" s="1">
        <v>5</v>
      </c>
      <c r="K63" s="1">
        <v>9</v>
      </c>
      <c r="L63" s="1">
        <v>5</v>
      </c>
      <c r="M63" s="1"/>
      <c r="N63" s="5">
        <f t="shared" si="0"/>
        <v>145</v>
      </c>
      <c r="O63" s="1"/>
      <c r="R63" s="5">
        <f t="shared" si="6"/>
        <v>92</v>
      </c>
      <c r="S63" s="5">
        <f t="shared" si="7"/>
        <v>53</v>
      </c>
      <c r="T63" s="5">
        <f t="shared" si="8"/>
        <v>145</v>
      </c>
      <c r="U63">
        <f t="shared" si="4"/>
        <v>9.1999999999999993</v>
      </c>
      <c r="V63">
        <f t="shared" si="5"/>
        <v>5.3</v>
      </c>
    </row>
    <row r="64" spans="1:22" x14ac:dyDescent="0.25">
      <c r="A64" s="4">
        <f>'Mid Sem'!B64</f>
        <v>590029353</v>
      </c>
      <c r="B64" s="4" t="str">
        <f>'Mid Sem'!A64</f>
        <v>Vinit Kumar</v>
      </c>
      <c r="C64" s="1">
        <v>20</v>
      </c>
      <c r="D64" s="1">
        <v>20</v>
      </c>
      <c r="E64" s="1">
        <v>20</v>
      </c>
      <c r="F64" s="1">
        <v>18</v>
      </c>
      <c r="G64" s="1">
        <v>15</v>
      </c>
      <c r="H64" s="1">
        <v>20</v>
      </c>
      <c r="I64" s="1">
        <v>13</v>
      </c>
      <c r="J64" s="1">
        <v>5</v>
      </c>
      <c r="K64" s="1">
        <v>9</v>
      </c>
      <c r="L64" s="1">
        <v>5</v>
      </c>
      <c r="M64" s="1"/>
      <c r="N64" s="5">
        <f t="shared" si="0"/>
        <v>145</v>
      </c>
      <c r="O64" s="1"/>
      <c r="R64" s="5">
        <f t="shared" si="6"/>
        <v>93</v>
      </c>
      <c r="S64" s="5">
        <f t="shared" si="7"/>
        <v>52</v>
      </c>
      <c r="T64" s="5">
        <f t="shared" si="8"/>
        <v>145</v>
      </c>
      <c r="U64">
        <f t="shared" si="4"/>
        <v>9.3000000000000007</v>
      </c>
      <c r="V64">
        <f t="shared" si="5"/>
        <v>5.2</v>
      </c>
    </row>
    <row r="65" spans="1:20" x14ac:dyDescent="0.25">
      <c r="A65" s="4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R65" s="1"/>
      <c r="S65" s="1"/>
      <c r="T65" s="1"/>
    </row>
  </sheetData>
  <mergeCells count="2">
    <mergeCell ref="A1:O1"/>
    <mergeCell ref="A2:O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96BA-28B6-4E3D-B4DD-BA2BE95F4450}">
  <dimension ref="A1:U66"/>
  <sheetViews>
    <sheetView workbookViewId="0">
      <selection activeCell="H7" sqref="H7"/>
    </sheetView>
  </sheetViews>
  <sheetFormatPr defaultRowHeight="15" x14ac:dyDescent="0.25"/>
  <cols>
    <col min="1" max="1" width="10.140625" bestFit="1" customWidth="1"/>
    <col min="2" max="2" width="24.28515625" bestFit="1" customWidth="1"/>
    <col min="3" max="13" width="4.5703125" bestFit="1" customWidth="1"/>
    <col min="14" max="14" width="8.28515625" customWidth="1"/>
    <col min="15" max="15" width="9.5703125" customWidth="1"/>
  </cols>
  <sheetData>
    <row r="1" spans="1:21" ht="24.75" x14ac:dyDescent="0.4">
      <c r="A1" s="47" t="s">
        <v>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21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21" x14ac:dyDescent="0.25">
      <c r="A3" s="1"/>
      <c r="B3" s="1"/>
      <c r="C3" s="2" t="s">
        <v>137</v>
      </c>
      <c r="D3" s="2" t="s">
        <v>137</v>
      </c>
      <c r="E3" s="2" t="s">
        <v>152</v>
      </c>
      <c r="F3" s="2" t="s">
        <v>174</v>
      </c>
      <c r="G3" s="2" t="s">
        <v>174</v>
      </c>
      <c r="H3" s="2"/>
      <c r="I3" s="2"/>
      <c r="J3" s="2"/>
      <c r="K3" s="2"/>
      <c r="L3" s="2"/>
      <c r="M3" s="2"/>
      <c r="N3" s="1"/>
      <c r="O3" s="1"/>
      <c r="R3" s="2" t="s">
        <v>137</v>
      </c>
      <c r="S3" s="2" t="s">
        <v>152</v>
      </c>
      <c r="T3" s="2" t="s">
        <v>174</v>
      </c>
    </row>
    <row r="4" spans="1:21" x14ac:dyDescent="0.25">
      <c r="A4" s="3" t="s">
        <v>153</v>
      </c>
      <c r="B4" s="3" t="s">
        <v>138</v>
      </c>
      <c r="C4" s="3" t="s">
        <v>140</v>
      </c>
      <c r="D4" s="3" t="s">
        <v>141</v>
      </c>
      <c r="E4" s="3" t="s">
        <v>142</v>
      </c>
      <c r="F4" s="3" t="s">
        <v>143</v>
      </c>
      <c r="G4" s="3" t="s">
        <v>144</v>
      </c>
      <c r="H4" s="3"/>
      <c r="I4" s="3"/>
      <c r="J4" s="3"/>
      <c r="K4" s="3"/>
      <c r="L4" s="3"/>
      <c r="M4" s="3"/>
      <c r="N4" s="7" t="s">
        <v>11</v>
      </c>
      <c r="O4" s="3" t="s">
        <v>12</v>
      </c>
      <c r="R4" s="3"/>
      <c r="S4" s="3"/>
      <c r="T4" s="3"/>
      <c r="U4" s="3" t="s">
        <v>11</v>
      </c>
    </row>
    <row r="5" spans="1:21" x14ac:dyDescent="0.25">
      <c r="A5" s="5"/>
      <c r="B5" s="5" t="s">
        <v>15</v>
      </c>
      <c r="C5" s="5">
        <v>3</v>
      </c>
      <c r="D5" s="5">
        <v>3</v>
      </c>
      <c r="E5" s="5">
        <v>3</v>
      </c>
      <c r="F5" s="5">
        <v>3</v>
      </c>
      <c r="G5" s="5">
        <v>3</v>
      </c>
      <c r="H5" s="5"/>
      <c r="I5" s="5"/>
      <c r="J5" s="5"/>
      <c r="K5" s="5"/>
      <c r="L5" s="5"/>
      <c r="M5" s="5"/>
      <c r="N5" s="5">
        <v>15</v>
      </c>
      <c r="O5" s="5"/>
      <c r="R5" s="5">
        <f>SUM(C5,D5)</f>
        <v>6</v>
      </c>
      <c r="S5" s="5">
        <f>E5</f>
        <v>3</v>
      </c>
      <c r="T5" s="5">
        <f>SUM(F5,G5)</f>
        <v>6</v>
      </c>
      <c r="U5">
        <f>SUM(R5:T5)</f>
        <v>15</v>
      </c>
    </row>
    <row r="6" spans="1:21" x14ac:dyDescent="0.25">
      <c r="A6" s="4">
        <f>'Mid Sem'!B6</f>
        <v>590029213</v>
      </c>
      <c r="B6" s="4" t="str">
        <f>'Mid Sem'!A6</f>
        <v>Aadya Dubey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/>
      <c r="I6" s="1"/>
      <c r="J6" s="1"/>
      <c r="K6" s="1"/>
      <c r="L6" s="1"/>
      <c r="M6" s="1"/>
      <c r="N6" s="1">
        <f>SUM(C6:G6)</f>
        <v>15</v>
      </c>
      <c r="O6" s="1"/>
      <c r="R6" s="5">
        <f t="shared" ref="R6:R64" si="0">SUM(C6,D6)</f>
        <v>6</v>
      </c>
      <c r="S6" s="5">
        <f t="shared" ref="S6:S64" si="1">E6</f>
        <v>3</v>
      </c>
      <c r="T6" s="5">
        <f t="shared" ref="T6:T64" si="2">SUM(F6,G6)</f>
        <v>6</v>
      </c>
      <c r="U6">
        <f t="shared" ref="U6:U64" si="3">SUM(R6:T6)</f>
        <v>15</v>
      </c>
    </row>
    <row r="7" spans="1:21" x14ac:dyDescent="0.25">
      <c r="A7" s="4">
        <f>'Mid Sem'!B7</f>
        <v>590029270</v>
      </c>
      <c r="B7" s="4" t="str">
        <f>'Mid Sem'!A7</f>
        <v>Aditya Vishwakarma</v>
      </c>
      <c r="C7" s="1">
        <v>3</v>
      </c>
      <c r="D7" s="1">
        <v>3</v>
      </c>
      <c r="E7" s="1">
        <v>3</v>
      </c>
      <c r="F7" s="1">
        <v>3</v>
      </c>
      <c r="G7" s="1">
        <v>3</v>
      </c>
      <c r="H7" s="1"/>
      <c r="I7" s="1"/>
      <c r="J7" s="1"/>
      <c r="K7" s="1"/>
      <c r="L7" s="1"/>
      <c r="M7" s="1"/>
      <c r="N7" s="1">
        <f t="shared" ref="N7:N64" si="4">SUM(C7:G7)</f>
        <v>15</v>
      </c>
      <c r="O7" s="1"/>
      <c r="R7" s="5">
        <f t="shared" si="0"/>
        <v>6</v>
      </c>
      <c r="S7" s="5">
        <f t="shared" si="1"/>
        <v>3</v>
      </c>
      <c r="T7" s="5">
        <f t="shared" si="2"/>
        <v>6</v>
      </c>
      <c r="U7">
        <f t="shared" si="3"/>
        <v>15</v>
      </c>
    </row>
    <row r="8" spans="1:21" x14ac:dyDescent="0.25">
      <c r="A8" s="4">
        <f>'Mid Sem'!B8</f>
        <v>590029204</v>
      </c>
      <c r="B8" s="4" t="str">
        <f>'Mid Sem'!A8</f>
        <v>Arjun</v>
      </c>
      <c r="C8" s="1">
        <v>3</v>
      </c>
      <c r="D8" s="1">
        <v>3</v>
      </c>
      <c r="E8" s="1">
        <v>2</v>
      </c>
      <c r="F8" s="1">
        <v>3</v>
      </c>
      <c r="G8" s="1">
        <v>3</v>
      </c>
      <c r="H8" s="1"/>
      <c r="I8" s="1"/>
      <c r="J8" s="1"/>
      <c r="K8" s="1"/>
      <c r="L8" s="1"/>
      <c r="M8" s="1"/>
      <c r="N8" s="1">
        <f t="shared" si="4"/>
        <v>14</v>
      </c>
      <c r="O8" s="1"/>
      <c r="R8" s="5">
        <f t="shared" si="0"/>
        <v>6</v>
      </c>
      <c r="S8" s="5">
        <f t="shared" si="1"/>
        <v>2</v>
      </c>
      <c r="T8" s="5">
        <f t="shared" si="2"/>
        <v>6</v>
      </c>
      <c r="U8">
        <f t="shared" si="3"/>
        <v>14</v>
      </c>
    </row>
    <row r="9" spans="1:21" x14ac:dyDescent="0.25">
      <c r="A9" s="4">
        <f>'Mid Sem'!B9</f>
        <v>590029109</v>
      </c>
      <c r="B9" s="4" t="str">
        <f>'Mid Sem'!A9</f>
        <v>Aryan Yadav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/>
      <c r="I9" s="1"/>
      <c r="J9" s="1"/>
      <c r="K9" s="1"/>
      <c r="L9" s="1"/>
      <c r="M9" s="1"/>
      <c r="N9" s="1">
        <f t="shared" si="4"/>
        <v>15</v>
      </c>
      <c r="O9" s="1"/>
      <c r="R9" s="5">
        <f t="shared" si="0"/>
        <v>6</v>
      </c>
      <c r="S9" s="5">
        <f t="shared" si="1"/>
        <v>3</v>
      </c>
      <c r="T9" s="5">
        <f t="shared" si="2"/>
        <v>6</v>
      </c>
      <c r="U9">
        <f t="shared" si="3"/>
        <v>15</v>
      </c>
    </row>
    <row r="10" spans="1:21" x14ac:dyDescent="0.25">
      <c r="A10" s="4">
        <f>'Mid Sem'!B10</f>
        <v>590029070</v>
      </c>
      <c r="B10" s="4" t="str">
        <f>'Mid Sem'!A10</f>
        <v>Astik Patel</v>
      </c>
      <c r="C10" s="1">
        <v>3</v>
      </c>
      <c r="D10" s="1">
        <v>3</v>
      </c>
      <c r="E10" s="1">
        <v>3</v>
      </c>
      <c r="F10" s="1">
        <v>3</v>
      </c>
      <c r="G10" s="1">
        <v>3</v>
      </c>
      <c r="H10" s="1"/>
      <c r="I10" s="1"/>
      <c r="J10" s="1"/>
      <c r="K10" s="1"/>
      <c r="L10" s="1"/>
      <c r="M10" s="1"/>
      <c r="N10" s="1">
        <f t="shared" si="4"/>
        <v>15</v>
      </c>
      <c r="O10" s="1"/>
      <c r="R10" s="5">
        <f t="shared" si="0"/>
        <v>6</v>
      </c>
      <c r="S10" s="5">
        <f t="shared" si="1"/>
        <v>3</v>
      </c>
      <c r="T10" s="5">
        <f t="shared" si="2"/>
        <v>6</v>
      </c>
      <c r="U10">
        <f t="shared" si="3"/>
        <v>15</v>
      </c>
    </row>
    <row r="11" spans="1:21" x14ac:dyDescent="0.25">
      <c r="A11" s="4">
        <f>'Mid Sem'!B11</f>
        <v>590029157</v>
      </c>
      <c r="B11" s="4" t="str">
        <f>'Mid Sem'!A11</f>
        <v>Ayush Mohan</v>
      </c>
      <c r="C11" s="1">
        <v>3</v>
      </c>
      <c r="D11" s="1">
        <v>3</v>
      </c>
      <c r="E11" s="1">
        <v>3</v>
      </c>
      <c r="F11" s="1">
        <v>3</v>
      </c>
      <c r="G11" s="1">
        <v>3</v>
      </c>
      <c r="H11" s="1"/>
      <c r="I11" s="1"/>
      <c r="J11" s="1"/>
      <c r="K11" s="1"/>
      <c r="L11" s="1"/>
      <c r="M11" s="1"/>
      <c r="N11" s="1">
        <f t="shared" si="4"/>
        <v>15</v>
      </c>
      <c r="O11" s="1"/>
      <c r="R11" s="5">
        <f t="shared" si="0"/>
        <v>6</v>
      </c>
      <c r="S11" s="5">
        <f t="shared" si="1"/>
        <v>3</v>
      </c>
      <c r="T11" s="5">
        <f t="shared" si="2"/>
        <v>6</v>
      </c>
      <c r="U11">
        <f t="shared" si="3"/>
        <v>15</v>
      </c>
    </row>
    <row r="12" spans="1:21" x14ac:dyDescent="0.25">
      <c r="A12" s="4">
        <f>'Mid Sem'!B12</f>
        <v>590027157</v>
      </c>
      <c r="B12" s="4" t="str">
        <f>'Mid Sem'!A12</f>
        <v>Bhanu Purohit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 t="shared" si="4"/>
        <v>0</v>
      </c>
      <c r="O12" s="1"/>
      <c r="R12" s="5">
        <f t="shared" si="0"/>
        <v>0</v>
      </c>
      <c r="S12" s="5">
        <f t="shared" si="1"/>
        <v>0</v>
      </c>
      <c r="T12" s="5">
        <f t="shared" si="2"/>
        <v>0</v>
      </c>
      <c r="U12">
        <f t="shared" si="3"/>
        <v>0</v>
      </c>
    </row>
    <row r="13" spans="1:21" x14ac:dyDescent="0.25">
      <c r="A13" s="4">
        <f>'Mid Sem'!B13</f>
        <v>590029274</v>
      </c>
      <c r="B13" s="4" t="str">
        <f>'Mid Sem'!A13</f>
        <v>Biswabandya Mohanty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/>
      <c r="I13" s="1"/>
      <c r="J13" s="1"/>
      <c r="K13" s="1"/>
      <c r="L13" s="1"/>
      <c r="M13" s="1"/>
      <c r="N13" s="1">
        <f t="shared" si="4"/>
        <v>15</v>
      </c>
      <c r="O13" s="1"/>
      <c r="R13" s="5">
        <f t="shared" si="0"/>
        <v>6</v>
      </c>
      <c r="S13" s="5">
        <f t="shared" si="1"/>
        <v>3</v>
      </c>
      <c r="T13" s="5">
        <f t="shared" si="2"/>
        <v>6</v>
      </c>
      <c r="U13">
        <f t="shared" si="3"/>
        <v>15</v>
      </c>
    </row>
    <row r="14" spans="1:21" x14ac:dyDescent="0.25">
      <c r="A14" s="4">
        <f>'Mid Sem'!B14</f>
        <v>590028572</v>
      </c>
      <c r="B14" s="4" t="str">
        <f>'Mid Sem'!A14</f>
        <v>Eashan Vashisht</v>
      </c>
      <c r="C14" s="1">
        <v>3</v>
      </c>
      <c r="D14" s="1">
        <v>3</v>
      </c>
      <c r="E14" s="1">
        <v>3</v>
      </c>
      <c r="F14" s="1">
        <v>3</v>
      </c>
      <c r="G14" s="1">
        <v>3</v>
      </c>
      <c r="H14" s="1"/>
      <c r="I14" s="1"/>
      <c r="J14" s="1"/>
      <c r="K14" s="1"/>
      <c r="L14" s="1"/>
      <c r="M14" s="1"/>
      <c r="N14" s="1">
        <f t="shared" si="4"/>
        <v>15</v>
      </c>
      <c r="O14" s="1"/>
      <c r="R14" s="5">
        <f t="shared" si="0"/>
        <v>6</v>
      </c>
      <c r="S14" s="5">
        <f t="shared" si="1"/>
        <v>3</v>
      </c>
      <c r="T14" s="5">
        <f t="shared" si="2"/>
        <v>6</v>
      </c>
      <c r="U14">
        <f t="shared" si="3"/>
        <v>15</v>
      </c>
    </row>
    <row r="15" spans="1:21" x14ac:dyDescent="0.25">
      <c r="A15" s="4">
        <f>'Mid Sem'!B15</f>
        <v>590029230</v>
      </c>
      <c r="B15" s="4" t="str">
        <f>'Mid Sem'!A15</f>
        <v>Hardik Joshi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f t="shared" si="4"/>
        <v>0</v>
      </c>
      <c r="O15" s="1"/>
      <c r="R15" s="5">
        <f t="shared" si="0"/>
        <v>0</v>
      </c>
      <c r="S15" s="5">
        <f t="shared" si="1"/>
        <v>0</v>
      </c>
      <c r="T15" s="5">
        <f t="shared" si="2"/>
        <v>0</v>
      </c>
      <c r="U15">
        <f t="shared" si="3"/>
        <v>0</v>
      </c>
    </row>
    <row r="16" spans="1:21" x14ac:dyDescent="0.25">
      <c r="A16" s="4">
        <f>'Mid Sem'!B16</f>
        <v>590029169</v>
      </c>
      <c r="B16" s="4" t="str">
        <f>'Mid Sem'!A16</f>
        <v>Hrithvik Bhardwaj</v>
      </c>
      <c r="C16" s="1">
        <v>3</v>
      </c>
      <c r="D16" s="1">
        <v>3</v>
      </c>
      <c r="E16" s="1">
        <v>3</v>
      </c>
      <c r="F16" s="1">
        <v>3</v>
      </c>
      <c r="G16" s="1">
        <v>3</v>
      </c>
      <c r="H16" s="1"/>
      <c r="I16" s="1"/>
      <c r="J16" s="1"/>
      <c r="K16" s="1"/>
      <c r="L16" s="1"/>
      <c r="M16" s="1"/>
      <c r="N16" s="1">
        <f t="shared" si="4"/>
        <v>15</v>
      </c>
      <c r="O16" s="1"/>
      <c r="R16" s="5">
        <f t="shared" si="0"/>
        <v>6</v>
      </c>
      <c r="S16" s="5">
        <f t="shared" si="1"/>
        <v>3</v>
      </c>
      <c r="T16" s="5">
        <f t="shared" si="2"/>
        <v>6</v>
      </c>
      <c r="U16">
        <f t="shared" si="3"/>
        <v>15</v>
      </c>
    </row>
    <row r="17" spans="1:21" x14ac:dyDescent="0.25">
      <c r="A17" s="4">
        <f>'Mid Sem'!B17</f>
        <v>590029112</v>
      </c>
      <c r="B17" s="4" t="str">
        <f>'Mid Sem'!A17</f>
        <v>Nitish Kumar</v>
      </c>
      <c r="C17" s="1">
        <v>3</v>
      </c>
      <c r="D17" s="1">
        <v>3</v>
      </c>
      <c r="E17" s="1">
        <v>3</v>
      </c>
      <c r="F17" s="1">
        <v>2</v>
      </c>
      <c r="G17" s="1">
        <v>3</v>
      </c>
      <c r="H17" s="1"/>
      <c r="I17" s="1"/>
      <c r="J17" s="1"/>
      <c r="K17" s="1"/>
      <c r="L17" s="1"/>
      <c r="M17" s="1"/>
      <c r="N17" s="1">
        <f t="shared" si="4"/>
        <v>14</v>
      </c>
      <c r="O17" s="1"/>
      <c r="R17" s="5">
        <f t="shared" si="0"/>
        <v>6</v>
      </c>
      <c r="S17" s="5">
        <f t="shared" si="1"/>
        <v>3</v>
      </c>
      <c r="T17" s="5">
        <f t="shared" si="2"/>
        <v>5</v>
      </c>
      <c r="U17">
        <f t="shared" si="3"/>
        <v>14</v>
      </c>
    </row>
    <row r="18" spans="1:21" x14ac:dyDescent="0.25">
      <c r="A18" s="4">
        <f>'Mid Sem'!B18</f>
        <v>590025556</v>
      </c>
      <c r="B18" s="4" t="str">
        <f>'Mid Sem'!A18</f>
        <v>Omkareshwar Chaubey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/>
      <c r="I18" s="1"/>
      <c r="J18" s="1"/>
      <c r="K18" s="1"/>
      <c r="L18" s="1"/>
      <c r="M18" s="1"/>
      <c r="N18" s="1">
        <f t="shared" si="4"/>
        <v>15</v>
      </c>
      <c r="O18" s="1"/>
      <c r="R18" s="5">
        <f t="shared" si="0"/>
        <v>6</v>
      </c>
      <c r="S18" s="5">
        <f t="shared" si="1"/>
        <v>3</v>
      </c>
      <c r="T18" s="5">
        <f t="shared" si="2"/>
        <v>6</v>
      </c>
      <c r="U18">
        <f t="shared" si="3"/>
        <v>15</v>
      </c>
    </row>
    <row r="19" spans="1:21" x14ac:dyDescent="0.25">
      <c r="A19" s="4">
        <f>'Mid Sem'!B19</f>
        <v>590027830</v>
      </c>
      <c r="B19" s="4" t="str">
        <f>'Mid Sem'!A19</f>
        <v>Pavani Jain</v>
      </c>
      <c r="C19" s="1">
        <v>3</v>
      </c>
      <c r="D19" s="1">
        <v>3</v>
      </c>
      <c r="E19" s="1">
        <v>3</v>
      </c>
      <c r="F19" s="1">
        <v>3</v>
      </c>
      <c r="G19" s="1">
        <v>3</v>
      </c>
      <c r="H19" s="1"/>
      <c r="I19" s="1"/>
      <c r="J19" s="1"/>
      <c r="K19" s="1"/>
      <c r="L19" s="1"/>
      <c r="M19" s="1"/>
      <c r="N19" s="1">
        <f t="shared" si="4"/>
        <v>15</v>
      </c>
      <c r="O19" s="1"/>
      <c r="R19" s="5">
        <f t="shared" si="0"/>
        <v>6</v>
      </c>
      <c r="S19" s="5">
        <f t="shared" si="1"/>
        <v>3</v>
      </c>
      <c r="T19" s="5">
        <f t="shared" si="2"/>
        <v>6</v>
      </c>
      <c r="U19">
        <f t="shared" si="3"/>
        <v>15</v>
      </c>
    </row>
    <row r="20" spans="1:21" x14ac:dyDescent="0.25">
      <c r="A20" s="4">
        <f>'Mid Sem'!B20</f>
        <v>590028360</v>
      </c>
      <c r="B20" s="4" t="str">
        <f>'Mid Sem'!A20</f>
        <v>Prapti Uniyal</v>
      </c>
      <c r="C20" s="1">
        <v>3</v>
      </c>
      <c r="D20" s="1">
        <v>3</v>
      </c>
      <c r="E20" s="1">
        <v>3</v>
      </c>
      <c r="F20" s="1">
        <v>3</v>
      </c>
      <c r="G20" s="1">
        <v>3</v>
      </c>
      <c r="H20" s="1"/>
      <c r="I20" s="1"/>
      <c r="J20" s="1"/>
      <c r="K20" s="1"/>
      <c r="L20" s="1"/>
      <c r="M20" s="1"/>
      <c r="N20" s="1">
        <f t="shared" si="4"/>
        <v>15</v>
      </c>
      <c r="O20" s="1"/>
      <c r="R20" s="5">
        <f t="shared" si="0"/>
        <v>6</v>
      </c>
      <c r="S20" s="5">
        <f t="shared" si="1"/>
        <v>3</v>
      </c>
      <c r="T20" s="5">
        <f t="shared" si="2"/>
        <v>6</v>
      </c>
      <c r="U20">
        <f t="shared" si="3"/>
        <v>15</v>
      </c>
    </row>
    <row r="21" spans="1:21" x14ac:dyDescent="0.25">
      <c r="A21" s="4">
        <f>'Mid Sem'!B21</f>
        <v>590029237</v>
      </c>
      <c r="B21" s="4" t="str">
        <f>'Mid Sem'!A21</f>
        <v>Priyadarshi Prabhakar</v>
      </c>
      <c r="C21" s="1">
        <v>3</v>
      </c>
      <c r="D21" s="1">
        <v>3</v>
      </c>
      <c r="E21" s="1">
        <v>3</v>
      </c>
      <c r="F21" s="1">
        <v>3</v>
      </c>
      <c r="G21" s="1">
        <v>2</v>
      </c>
      <c r="H21" s="1"/>
      <c r="I21" s="1"/>
      <c r="J21" s="1"/>
      <c r="K21" s="1"/>
      <c r="L21" s="1"/>
      <c r="M21" s="1"/>
      <c r="N21" s="1">
        <f t="shared" si="4"/>
        <v>14</v>
      </c>
      <c r="O21" s="1"/>
      <c r="R21" s="5">
        <f t="shared" si="0"/>
        <v>6</v>
      </c>
      <c r="S21" s="5">
        <f t="shared" si="1"/>
        <v>3</v>
      </c>
      <c r="T21" s="5">
        <f t="shared" si="2"/>
        <v>5</v>
      </c>
      <c r="U21">
        <f t="shared" si="3"/>
        <v>14</v>
      </c>
    </row>
    <row r="22" spans="1:21" x14ac:dyDescent="0.25">
      <c r="A22" s="4">
        <f>'Mid Sem'!B22</f>
        <v>590029079</v>
      </c>
      <c r="B22" s="4" t="str">
        <f>'Mid Sem'!A22</f>
        <v>Radhe Patel</v>
      </c>
      <c r="N22" s="1">
        <f t="shared" si="4"/>
        <v>0</v>
      </c>
      <c r="R22" s="5">
        <f t="shared" si="0"/>
        <v>0</v>
      </c>
      <c r="S22" s="5">
        <f t="shared" si="1"/>
        <v>0</v>
      </c>
      <c r="T22" s="5">
        <f t="shared" si="2"/>
        <v>0</v>
      </c>
      <c r="U22">
        <f t="shared" si="3"/>
        <v>0</v>
      </c>
    </row>
    <row r="23" spans="1:21" x14ac:dyDescent="0.25">
      <c r="A23" s="4">
        <f>'Mid Sem'!B23</f>
        <v>590029145</v>
      </c>
      <c r="B23" s="4" t="str">
        <f>'Mid Sem'!A23</f>
        <v>Rishika Purushotham</v>
      </c>
      <c r="C23">
        <v>3</v>
      </c>
      <c r="D23">
        <v>3</v>
      </c>
      <c r="E23">
        <v>3</v>
      </c>
      <c r="F23">
        <v>3</v>
      </c>
      <c r="G23">
        <v>3</v>
      </c>
      <c r="N23" s="1">
        <f t="shared" si="4"/>
        <v>15</v>
      </c>
      <c r="R23" s="5">
        <f t="shared" si="0"/>
        <v>6</v>
      </c>
      <c r="S23" s="5">
        <f t="shared" si="1"/>
        <v>3</v>
      </c>
      <c r="T23" s="5">
        <f t="shared" si="2"/>
        <v>6</v>
      </c>
      <c r="U23">
        <f t="shared" si="3"/>
        <v>15</v>
      </c>
    </row>
    <row r="24" spans="1:21" x14ac:dyDescent="0.25">
      <c r="A24" s="4">
        <f>'Mid Sem'!B24</f>
        <v>590029209</v>
      </c>
      <c r="B24" s="4" t="str">
        <f>'Mid Sem'!A24</f>
        <v>Rishiv Kumar</v>
      </c>
      <c r="N24" s="1">
        <f t="shared" si="4"/>
        <v>0</v>
      </c>
      <c r="R24" s="5">
        <f t="shared" si="0"/>
        <v>0</v>
      </c>
      <c r="S24" s="5">
        <f t="shared" si="1"/>
        <v>0</v>
      </c>
      <c r="T24" s="5">
        <f t="shared" si="2"/>
        <v>0</v>
      </c>
      <c r="U24">
        <f t="shared" si="3"/>
        <v>0</v>
      </c>
    </row>
    <row r="25" spans="1:21" x14ac:dyDescent="0.25">
      <c r="A25" s="4">
        <f>'Mid Sem'!B25</f>
        <v>590027268</v>
      </c>
      <c r="B25" s="4" t="str">
        <f>'Mid Sem'!A25</f>
        <v>Sankalp Sunil Ronge</v>
      </c>
      <c r="C25">
        <v>3</v>
      </c>
      <c r="D25">
        <v>3</v>
      </c>
      <c r="E25">
        <v>3</v>
      </c>
      <c r="F25">
        <v>3</v>
      </c>
      <c r="G25">
        <v>3</v>
      </c>
      <c r="N25" s="1">
        <f t="shared" si="4"/>
        <v>15</v>
      </c>
      <c r="R25" s="5">
        <f t="shared" si="0"/>
        <v>6</v>
      </c>
      <c r="S25" s="5">
        <f t="shared" si="1"/>
        <v>3</v>
      </c>
      <c r="T25" s="5">
        <f t="shared" si="2"/>
        <v>6</v>
      </c>
      <c r="U25">
        <f t="shared" si="3"/>
        <v>15</v>
      </c>
    </row>
    <row r="26" spans="1:21" x14ac:dyDescent="0.25">
      <c r="A26" s="4">
        <f>'Mid Sem'!B26</f>
        <v>590029227</v>
      </c>
      <c r="B26" s="4" t="str">
        <f>'Mid Sem'!A26</f>
        <v>Sartaj Singh</v>
      </c>
      <c r="C26">
        <v>3</v>
      </c>
      <c r="D26">
        <v>3</v>
      </c>
      <c r="E26">
        <v>3</v>
      </c>
      <c r="F26">
        <v>2</v>
      </c>
      <c r="G26">
        <v>3</v>
      </c>
      <c r="N26" s="1">
        <f t="shared" si="4"/>
        <v>14</v>
      </c>
      <c r="R26" s="5">
        <f t="shared" si="0"/>
        <v>6</v>
      </c>
      <c r="S26" s="5">
        <f t="shared" si="1"/>
        <v>3</v>
      </c>
      <c r="T26" s="5">
        <f t="shared" si="2"/>
        <v>5</v>
      </c>
      <c r="U26">
        <f t="shared" si="3"/>
        <v>14</v>
      </c>
    </row>
    <row r="27" spans="1:21" x14ac:dyDescent="0.25">
      <c r="A27" s="4">
        <f>'Mid Sem'!B27</f>
        <v>590029241</v>
      </c>
      <c r="B27" s="4" t="str">
        <f>'Mid Sem'!A27</f>
        <v>Satakshi Gupta</v>
      </c>
      <c r="C27">
        <v>3</v>
      </c>
      <c r="D27">
        <v>3</v>
      </c>
      <c r="E27">
        <v>3</v>
      </c>
      <c r="F27">
        <v>3</v>
      </c>
      <c r="G27">
        <v>3</v>
      </c>
      <c r="N27" s="1">
        <f t="shared" si="4"/>
        <v>15</v>
      </c>
      <c r="R27" s="5">
        <f t="shared" si="0"/>
        <v>6</v>
      </c>
      <c r="S27" s="5">
        <f t="shared" si="1"/>
        <v>3</v>
      </c>
      <c r="T27" s="5">
        <f t="shared" si="2"/>
        <v>6</v>
      </c>
      <c r="U27">
        <f t="shared" si="3"/>
        <v>15</v>
      </c>
    </row>
    <row r="28" spans="1:21" x14ac:dyDescent="0.25">
      <c r="A28" s="4">
        <f>'Mid Sem'!B28</f>
        <v>590023855</v>
      </c>
      <c r="B28" s="4" t="str">
        <f>'Mid Sem'!A28</f>
        <v>Shaswat Shantanu</v>
      </c>
      <c r="N28" s="1">
        <f t="shared" si="4"/>
        <v>0</v>
      </c>
      <c r="R28" s="5">
        <f t="shared" si="0"/>
        <v>0</v>
      </c>
      <c r="S28" s="5">
        <f t="shared" si="1"/>
        <v>0</v>
      </c>
      <c r="T28" s="5">
        <f t="shared" si="2"/>
        <v>0</v>
      </c>
      <c r="U28">
        <f t="shared" si="3"/>
        <v>0</v>
      </c>
    </row>
    <row r="29" spans="1:21" x14ac:dyDescent="0.25">
      <c r="A29" s="4">
        <f>'Mid Sem'!B29</f>
        <v>590029215</v>
      </c>
      <c r="B29" s="4" t="str">
        <f>'Mid Sem'!A29</f>
        <v>Siddhant Rai</v>
      </c>
      <c r="C29">
        <v>3</v>
      </c>
      <c r="D29">
        <v>3</v>
      </c>
      <c r="E29">
        <v>3</v>
      </c>
      <c r="F29">
        <v>3</v>
      </c>
      <c r="G29">
        <v>3</v>
      </c>
      <c r="N29" s="1">
        <f t="shared" si="4"/>
        <v>15</v>
      </c>
      <c r="R29" s="5">
        <f t="shared" si="0"/>
        <v>6</v>
      </c>
      <c r="S29" s="5">
        <f t="shared" si="1"/>
        <v>3</v>
      </c>
      <c r="T29" s="5">
        <f t="shared" si="2"/>
        <v>6</v>
      </c>
      <c r="U29">
        <f t="shared" si="3"/>
        <v>15</v>
      </c>
    </row>
    <row r="30" spans="1:21" x14ac:dyDescent="0.25">
      <c r="A30" s="4">
        <f>'Mid Sem'!B30</f>
        <v>590029111</v>
      </c>
      <c r="B30" s="4" t="str">
        <f>'Mid Sem'!A30</f>
        <v>Sidhaant Singh Jyrwa</v>
      </c>
      <c r="C30">
        <v>3</v>
      </c>
      <c r="D30">
        <v>3</v>
      </c>
      <c r="E30">
        <v>3</v>
      </c>
      <c r="F30">
        <v>3</v>
      </c>
      <c r="G30">
        <v>3</v>
      </c>
      <c r="N30" s="1">
        <f t="shared" si="4"/>
        <v>15</v>
      </c>
      <c r="R30" s="5">
        <f t="shared" si="0"/>
        <v>6</v>
      </c>
      <c r="S30" s="5">
        <f t="shared" si="1"/>
        <v>3</v>
      </c>
      <c r="T30" s="5">
        <f t="shared" si="2"/>
        <v>6</v>
      </c>
      <c r="U30">
        <f t="shared" si="3"/>
        <v>15</v>
      </c>
    </row>
    <row r="31" spans="1:21" x14ac:dyDescent="0.25">
      <c r="A31" s="4">
        <f>'Mid Sem'!B31</f>
        <v>590028683</v>
      </c>
      <c r="B31" s="4" t="str">
        <f>'Mid Sem'!A31</f>
        <v>Subrat Singh Jadaun</v>
      </c>
      <c r="C31">
        <v>3</v>
      </c>
      <c r="D31">
        <v>3</v>
      </c>
      <c r="E31">
        <v>3</v>
      </c>
      <c r="F31">
        <v>3</v>
      </c>
      <c r="G31">
        <v>3</v>
      </c>
      <c r="N31" s="1">
        <f t="shared" si="4"/>
        <v>15</v>
      </c>
      <c r="R31" s="5">
        <f t="shared" si="0"/>
        <v>6</v>
      </c>
      <c r="S31" s="5">
        <f t="shared" si="1"/>
        <v>3</v>
      </c>
      <c r="T31" s="5">
        <f t="shared" si="2"/>
        <v>6</v>
      </c>
      <c r="U31">
        <f t="shared" si="3"/>
        <v>15</v>
      </c>
    </row>
    <row r="32" spans="1:21" x14ac:dyDescent="0.25">
      <c r="A32" s="4">
        <f>'Mid Sem'!B32</f>
        <v>590029121</v>
      </c>
      <c r="B32" s="4" t="str">
        <f>'Mid Sem'!A32</f>
        <v>Tushita Sharma</v>
      </c>
      <c r="C32">
        <v>3</v>
      </c>
      <c r="D32">
        <v>3</v>
      </c>
      <c r="E32">
        <v>3</v>
      </c>
      <c r="F32">
        <v>3</v>
      </c>
      <c r="G32">
        <v>3</v>
      </c>
      <c r="N32" s="1">
        <f t="shared" si="4"/>
        <v>15</v>
      </c>
      <c r="R32" s="5">
        <f t="shared" si="0"/>
        <v>6</v>
      </c>
      <c r="S32" s="5">
        <f t="shared" si="1"/>
        <v>3</v>
      </c>
      <c r="T32" s="5">
        <f t="shared" si="2"/>
        <v>6</v>
      </c>
      <c r="U32">
        <f t="shared" si="3"/>
        <v>15</v>
      </c>
    </row>
    <row r="33" spans="1:21" x14ac:dyDescent="0.25">
      <c r="A33" s="4">
        <f>'Mid Sem'!B33</f>
        <v>590029048</v>
      </c>
      <c r="B33" s="4" t="str">
        <f>'Mid Sem'!A33</f>
        <v>Vaishnavi Kumari</v>
      </c>
      <c r="C33">
        <v>3</v>
      </c>
      <c r="D33">
        <v>3</v>
      </c>
      <c r="E33">
        <v>2</v>
      </c>
      <c r="F33">
        <v>3</v>
      </c>
      <c r="G33">
        <v>3</v>
      </c>
      <c r="N33" s="1">
        <f t="shared" si="4"/>
        <v>14</v>
      </c>
      <c r="R33" s="5">
        <f t="shared" si="0"/>
        <v>6</v>
      </c>
      <c r="S33" s="5">
        <f t="shared" si="1"/>
        <v>2</v>
      </c>
      <c r="T33" s="5">
        <f t="shared" si="2"/>
        <v>6</v>
      </c>
      <c r="U33">
        <f t="shared" si="3"/>
        <v>14</v>
      </c>
    </row>
    <row r="34" spans="1:21" x14ac:dyDescent="0.25">
      <c r="A34" s="4">
        <f>'Mid Sem'!B34</f>
        <v>590029184</v>
      </c>
      <c r="B34" s="4" t="str">
        <f>'Mid Sem'!A34</f>
        <v>Vivek Chauhan</v>
      </c>
      <c r="C34">
        <v>3</v>
      </c>
      <c r="D34">
        <v>3</v>
      </c>
      <c r="E34">
        <v>3</v>
      </c>
      <c r="F34">
        <v>3</v>
      </c>
      <c r="G34">
        <v>3</v>
      </c>
      <c r="N34" s="1">
        <f t="shared" si="4"/>
        <v>15</v>
      </c>
      <c r="R34" s="5">
        <f t="shared" si="0"/>
        <v>6</v>
      </c>
      <c r="S34" s="5">
        <f t="shared" si="1"/>
        <v>3</v>
      </c>
      <c r="T34" s="5">
        <f t="shared" si="2"/>
        <v>6</v>
      </c>
      <c r="U34">
        <f t="shared" si="3"/>
        <v>15</v>
      </c>
    </row>
    <row r="35" spans="1:21" x14ac:dyDescent="0.25">
      <c r="A35" s="4">
        <f>'Mid Sem'!B35</f>
        <v>590029330</v>
      </c>
      <c r="B35" s="4" t="str">
        <f>'Mid Sem'!A35</f>
        <v>Aadarshi Bisht</v>
      </c>
      <c r="C35">
        <v>3</v>
      </c>
      <c r="D35">
        <v>3</v>
      </c>
      <c r="E35">
        <v>3</v>
      </c>
      <c r="F35">
        <v>3</v>
      </c>
      <c r="G35">
        <v>3</v>
      </c>
      <c r="N35" s="1">
        <f t="shared" si="4"/>
        <v>15</v>
      </c>
      <c r="R35" s="5">
        <f t="shared" si="0"/>
        <v>6</v>
      </c>
      <c r="S35" s="5">
        <f t="shared" si="1"/>
        <v>3</v>
      </c>
      <c r="T35" s="5">
        <f t="shared" si="2"/>
        <v>6</v>
      </c>
      <c r="U35">
        <f t="shared" si="3"/>
        <v>15</v>
      </c>
    </row>
    <row r="36" spans="1:21" x14ac:dyDescent="0.25">
      <c r="A36" s="4">
        <f>'Mid Sem'!B36</f>
        <v>590027630</v>
      </c>
      <c r="B36" s="4" t="str">
        <f>'Mid Sem'!A36</f>
        <v>Aarush Prasad</v>
      </c>
      <c r="C36">
        <v>3</v>
      </c>
      <c r="D36">
        <v>3</v>
      </c>
      <c r="E36">
        <v>3</v>
      </c>
      <c r="F36">
        <v>3</v>
      </c>
      <c r="G36">
        <v>3</v>
      </c>
      <c r="N36" s="1">
        <f t="shared" si="4"/>
        <v>15</v>
      </c>
      <c r="R36" s="5">
        <f t="shared" si="0"/>
        <v>6</v>
      </c>
      <c r="S36" s="5">
        <f t="shared" si="1"/>
        <v>3</v>
      </c>
      <c r="T36" s="5">
        <f t="shared" si="2"/>
        <v>6</v>
      </c>
      <c r="U36">
        <f t="shared" si="3"/>
        <v>15</v>
      </c>
    </row>
    <row r="37" spans="1:21" x14ac:dyDescent="0.25">
      <c r="A37" s="4">
        <f>'Mid Sem'!B37</f>
        <v>590029219</v>
      </c>
      <c r="B37" s="4" t="str">
        <f>'Mid Sem'!A37</f>
        <v>Aditya Mishra</v>
      </c>
      <c r="C37">
        <v>3</v>
      </c>
      <c r="D37">
        <v>3</v>
      </c>
      <c r="E37">
        <v>3</v>
      </c>
      <c r="F37">
        <v>3</v>
      </c>
      <c r="G37">
        <v>3</v>
      </c>
      <c r="N37" s="1">
        <f t="shared" si="4"/>
        <v>15</v>
      </c>
      <c r="R37" s="5">
        <f t="shared" si="0"/>
        <v>6</v>
      </c>
      <c r="S37" s="5">
        <f t="shared" si="1"/>
        <v>3</v>
      </c>
      <c r="T37" s="5">
        <f t="shared" si="2"/>
        <v>6</v>
      </c>
      <c r="U37">
        <f t="shared" si="3"/>
        <v>15</v>
      </c>
    </row>
    <row r="38" spans="1:21" x14ac:dyDescent="0.25">
      <c r="A38" s="4">
        <f>'Mid Sem'!B38</f>
        <v>590028933</v>
      </c>
      <c r="B38" s="4" t="str">
        <f>'Mid Sem'!A38</f>
        <v>Aman Barnwal</v>
      </c>
      <c r="C38">
        <v>3</v>
      </c>
      <c r="D38">
        <v>3</v>
      </c>
      <c r="E38">
        <v>3</v>
      </c>
      <c r="F38">
        <v>3</v>
      </c>
      <c r="G38">
        <v>3</v>
      </c>
      <c r="N38" s="1">
        <f t="shared" si="4"/>
        <v>15</v>
      </c>
      <c r="R38" s="5">
        <f t="shared" si="0"/>
        <v>6</v>
      </c>
      <c r="S38" s="5">
        <f t="shared" si="1"/>
        <v>3</v>
      </c>
      <c r="T38" s="5">
        <f t="shared" si="2"/>
        <v>6</v>
      </c>
      <c r="U38">
        <f t="shared" si="3"/>
        <v>15</v>
      </c>
    </row>
    <row r="39" spans="1:21" x14ac:dyDescent="0.25">
      <c r="A39" s="4">
        <f>'Mid Sem'!B39</f>
        <v>590027859</v>
      </c>
      <c r="B39" s="4" t="str">
        <f>'Mid Sem'!A39</f>
        <v>Ashutosh Shrivastava</v>
      </c>
      <c r="C39">
        <v>3</v>
      </c>
      <c r="D39">
        <v>3</v>
      </c>
      <c r="E39">
        <v>3</v>
      </c>
      <c r="F39">
        <v>3</v>
      </c>
      <c r="G39">
        <v>3</v>
      </c>
      <c r="N39" s="1">
        <f t="shared" si="4"/>
        <v>15</v>
      </c>
      <c r="R39" s="5">
        <f t="shared" si="0"/>
        <v>6</v>
      </c>
      <c r="S39" s="5">
        <f t="shared" si="1"/>
        <v>3</v>
      </c>
      <c r="T39" s="5">
        <f t="shared" si="2"/>
        <v>6</v>
      </c>
      <c r="U39">
        <f t="shared" si="3"/>
        <v>15</v>
      </c>
    </row>
    <row r="40" spans="1:21" x14ac:dyDescent="0.25">
      <c r="A40" s="4">
        <f>'Mid Sem'!B40</f>
        <v>590028682</v>
      </c>
      <c r="B40" s="4" t="str">
        <f>'Mid Sem'!A40</f>
        <v>Ayan Pande</v>
      </c>
      <c r="N40" s="1">
        <f t="shared" si="4"/>
        <v>0</v>
      </c>
      <c r="R40" s="5">
        <f t="shared" si="0"/>
        <v>0</v>
      </c>
      <c r="S40" s="5">
        <f t="shared" si="1"/>
        <v>0</v>
      </c>
      <c r="T40" s="5">
        <f t="shared" si="2"/>
        <v>0</v>
      </c>
      <c r="U40">
        <f t="shared" si="3"/>
        <v>0</v>
      </c>
    </row>
    <row r="41" spans="1:21" x14ac:dyDescent="0.25">
      <c r="A41" s="4">
        <f>'Mid Sem'!B41</f>
        <v>590023917</v>
      </c>
      <c r="B41" s="4" t="str">
        <f>'Mid Sem'!A41</f>
        <v>Ayush Pratap Singh</v>
      </c>
      <c r="N41" s="1">
        <f t="shared" si="4"/>
        <v>0</v>
      </c>
      <c r="R41" s="5">
        <f t="shared" si="0"/>
        <v>0</v>
      </c>
      <c r="S41" s="5">
        <f t="shared" si="1"/>
        <v>0</v>
      </c>
      <c r="T41" s="5">
        <f t="shared" si="2"/>
        <v>0</v>
      </c>
      <c r="U41">
        <f t="shared" si="3"/>
        <v>0</v>
      </c>
    </row>
    <row r="42" spans="1:21" x14ac:dyDescent="0.25">
      <c r="A42" s="4">
        <f>'Mid Sem'!B42</f>
        <v>590023785</v>
      </c>
      <c r="B42" s="4" t="str">
        <f>'Mid Sem'!A42</f>
        <v>Gayatri Bhatt</v>
      </c>
      <c r="C42">
        <v>3</v>
      </c>
      <c r="D42">
        <v>3</v>
      </c>
      <c r="E42">
        <v>3</v>
      </c>
      <c r="F42">
        <v>3</v>
      </c>
      <c r="G42">
        <v>3</v>
      </c>
      <c r="N42" s="1">
        <f t="shared" si="4"/>
        <v>15</v>
      </c>
      <c r="R42" s="5">
        <f t="shared" si="0"/>
        <v>6</v>
      </c>
      <c r="S42" s="5">
        <f t="shared" si="1"/>
        <v>3</v>
      </c>
      <c r="T42" s="5">
        <f t="shared" si="2"/>
        <v>6</v>
      </c>
      <c r="U42">
        <f t="shared" si="3"/>
        <v>15</v>
      </c>
    </row>
    <row r="43" spans="1:21" x14ac:dyDescent="0.25">
      <c r="A43" s="4">
        <f>'Mid Sem'!B43</f>
        <v>590029264</v>
      </c>
      <c r="B43" s="4" t="str">
        <f>'Mid Sem'!A43</f>
        <v>Harsh Mudgal</v>
      </c>
      <c r="N43" s="1">
        <f t="shared" si="4"/>
        <v>0</v>
      </c>
      <c r="R43" s="5">
        <f t="shared" si="0"/>
        <v>0</v>
      </c>
      <c r="S43" s="5">
        <f t="shared" si="1"/>
        <v>0</v>
      </c>
      <c r="T43" s="5">
        <f t="shared" si="2"/>
        <v>0</v>
      </c>
      <c r="U43">
        <f t="shared" si="3"/>
        <v>0</v>
      </c>
    </row>
    <row r="44" spans="1:21" x14ac:dyDescent="0.25">
      <c r="A44" s="4">
        <f>'Mid Sem'!B44</f>
        <v>590029042</v>
      </c>
      <c r="B44" s="4" t="str">
        <f>'Mid Sem'!A44</f>
        <v>Kanan Nidhania</v>
      </c>
      <c r="N44" s="1">
        <f t="shared" si="4"/>
        <v>0</v>
      </c>
      <c r="R44" s="5">
        <f t="shared" si="0"/>
        <v>0</v>
      </c>
      <c r="S44" s="5">
        <f t="shared" si="1"/>
        <v>0</v>
      </c>
      <c r="T44" s="5">
        <f t="shared" si="2"/>
        <v>0</v>
      </c>
      <c r="U44">
        <f t="shared" si="3"/>
        <v>0</v>
      </c>
    </row>
    <row r="45" spans="1:21" x14ac:dyDescent="0.25">
      <c r="A45" s="4">
        <f>'Mid Sem'!B45</f>
        <v>590029336</v>
      </c>
      <c r="B45" s="4" t="str">
        <f>'Mid Sem'!A45</f>
        <v>Kanishka Diwakar</v>
      </c>
      <c r="C45">
        <v>3</v>
      </c>
      <c r="D45">
        <v>3</v>
      </c>
      <c r="E45">
        <v>3</v>
      </c>
      <c r="F45">
        <v>3</v>
      </c>
      <c r="G45">
        <v>3</v>
      </c>
      <c r="N45" s="1">
        <f t="shared" si="4"/>
        <v>15</v>
      </c>
      <c r="R45" s="5">
        <f t="shared" si="0"/>
        <v>6</v>
      </c>
      <c r="S45" s="5">
        <f t="shared" si="1"/>
        <v>3</v>
      </c>
      <c r="T45" s="5">
        <f t="shared" si="2"/>
        <v>6</v>
      </c>
      <c r="U45">
        <f t="shared" si="3"/>
        <v>15</v>
      </c>
    </row>
    <row r="46" spans="1:21" x14ac:dyDescent="0.25">
      <c r="A46" s="4">
        <f>'Mid Sem'!B46</f>
        <v>590029233</v>
      </c>
      <c r="B46" s="4" t="str">
        <f>'Mid Sem'!A46</f>
        <v>Keshav Chahda</v>
      </c>
      <c r="N46" s="1">
        <f t="shared" si="4"/>
        <v>0</v>
      </c>
      <c r="R46" s="5">
        <f t="shared" si="0"/>
        <v>0</v>
      </c>
      <c r="S46" s="5">
        <f t="shared" si="1"/>
        <v>0</v>
      </c>
      <c r="T46" s="5">
        <f t="shared" si="2"/>
        <v>0</v>
      </c>
      <c r="U46">
        <f t="shared" si="3"/>
        <v>0</v>
      </c>
    </row>
    <row r="47" spans="1:21" x14ac:dyDescent="0.25">
      <c r="A47" s="4">
        <f>'Mid Sem'!B47</f>
        <v>590029328</v>
      </c>
      <c r="B47" s="4" t="str">
        <f>'Mid Sem'!A47</f>
        <v>Lakshay Dhanda</v>
      </c>
      <c r="C47">
        <v>3</v>
      </c>
      <c r="D47">
        <v>3</v>
      </c>
      <c r="E47">
        <v>3</v>
      </c>
      <c r="F47">
        <v>3</v>
      </c>
      <c r="G47">
        <v>3</v>
      </c>
      <c r="N47" s="1">
        <f t="shared" si="4"/>
        <v>15</v>
      </c>
      <c r="R47" s="5">
        <f t="shared" si="0"/>
        <v>6</v>
      </c>
      <c r="S47" s="5">
        <f t="shared" si="1"/>
        <v>3</v>
      </c>
      <c r="T47" s="5">
        <f t="shared" si="2"/>
        <v>6</v>
      </c>
      <c r="U47">
        <f t="shared" si="3"/>
        <v>15</v>
      </c>
    </row>
    <row r="48" spans="1:21" x14ac:dyDescent="0.25">
      <c r="A48" s="4">
        <f>'Mid Sem'!B48</f>
        <v>590028608</v>
      </c>
      <c r="B48" s="4" t="str">
        <f>'Mid Sem'!A48</f>
        <v>Lakshya Singh</v>
      </c>
      <c r="C48">
        <v>3</v>
      </c>
      <c r="D48">
        <v>3</v>
      </c>
      <c r="E48">
        <v>3</v>
      </c>
      <c r="F48">
        <v>3</v>
      </c>
      <c r="G48">
        <v>3</v>
      </c>
      <c r="N48" s="1">
        <f t="shared" si="4"/>
        <v>15</v>
      </c>
      <c r="R48" s="5">
        <f t="shared" si="0"/>
        <v>6</v>
      </c>
      <c r="S48" s="5">
        <f t="shared" si="1"/>
        <v>3</v>
      </c>
      <c r="T48" s="5">
        <f t="shared" si="2"/>
        <v>6</v>
      </c>
      <c r="U48">
        <f t="shared" si="3"/>
        <v>15</v>
      </c>
    </row>
    <row r="49" spans="1:21" x14ac:dyDescent="0.25">
      <c r="A49" s="4">
        <f>'Mid Sem'!B49</f>
        <v>590028605</v>
      </c>
      <c r="B49" s="4" t="str">
        <f>'Mid Sem'!A49</f>
        <v>Mayank Chand Ramola</v>
      </c>
      <c r="C49">
        <v>3</v>
      </c>
      <c r="D49">
        <v>3</v>
      </c>
      <c r="E49">
        <v>3</v>
      </c>
      <c r="F49">
        <v>3</v>
      </c>
      <c r="G49">
        <v>3</v>
      </c>
      <c r="N49" s="1">
        <f t="shared" si="4"/>
        <v>15</v>
      </c>
      <c r="R49" s="5">
        <f t="shared" si="0"/>
        <v>6</v>
      </c>
      <c r="S49" s="5">
        <f t="shared" si="1"/>
        <v>3</v>
      </c>
      <c r="T49" s="5">
        <f t="shared" si="2"/>
        <v>6</v>
      </c>
      <c r="U49">
        <f t="shared" si="3"/>
        <v>15</v>
      </c>
    </row>
    <row r="50" spans="1:21" x14ac:dyDescent="0.25">
      <c r="A50" s="4">
        <f>'Mid Sem'!B50</f>
        <v>590026626</v>
      </c>
      <c r="B50" s="4" t="str">
        <f>'Mid Sem'!A50</f>
        <v>Mukesh Patel</v>
      </c>
      <c r="N50" s="1">
        <f t="shared" si="4"/>
        <v>0</v>
      </c>
      <c r="R50" s="5">
        <f t="shared" si="0"/>
        <v>0</v>
      </c>
      <c r="S50" s="5">
        <f t="shared" si="1"/>
        <v>0</v>
      </c>
      <c r="T50" s="5">
        <f t="shared" si="2"/>
        <v>0</v>
      </c>
      <c r="U50">
        <f t="shared" si="3"/>
        <v>0</v>
      </c>
    </row>
    <row r="51" spans="1:21" x14ac:dyDescent="0.25">
      <c r="A51" s="4">
        <f>'Mid Sem'!B51</f>
        <v>590029310</v>
      </c>
      <c r="B51" s="4" t="str">
        <f>'Mid Sem'!A51</f>
        <v>Nipun Singh</v>
      </c>
      <c r="C51">
        <v>3</v>
      </c>
      <c r="D51">
        <v>3</v>
      </c>
      <c r="E51">
        <v>3</v>
      </c>
      <c r="F51">
        <v>3</v>
      </c>
      <c r="G51">
        <v>3</v>
      </c>
      <c r="N51" s="1">
        <f t="shared" si="4"/>
        <v>15</v>
      </c>
      <c r="R51" s="5">
        <f t="shared" si="0"/>
        <v>6</v>
      </c>
      <c r="S51" s="5">
        <f t="shared" si="1"/>
        <v>3</v>
      </c>
      <c r="T51" s="5">
        <f t="shared" si="2"/>
        <v>6</v>
      </c>
      <c r="U51">
        <f t="shared" si="3"/>
        <v>15</v>
      </c>
    </row>
    <row r="52" spans="1:21" x14ac:dyDescent="0.25">
      <c r="A52" s="4">
        <f>'Mid Sem'!B52</f>
        <v>590029319</v>
      </c>
      <c r="B52" s="4" t="str">
        <f>'Mid Sem'!A52</f>
        <v>Paras Bhall</v>
      </c>
      <c r="C52">
        <v>3</v>
      </c>
      <c r="D52">
        <v>3</v>
      </c>
      <c r="E52">
        <v>3</v>
      </c>
      <c r="F52">
        <v>3</v>
      </c>
      <c r="G52">
        <v>3</v>
      </c>
      <c r="N52" s="1">
        <f t="shared" si="4"/>
        <v>15</v>
      </c>
      <c r="R52" s="5">
        <f t="shared" si="0"/>
        <v>6</v>
      </c>
      <c r="S52" s="5">
        <f t="shared" si="1"/>
        <v>3</v>
      </c>
      <c r="T52" s="5">
        <f t="shared" si="2"/>
        <v>6</v>
      </c>
      <c r="U52">
        <f t="shared" si="3"/>
        <v>15</v>
      </c>
    </row>
    <row r="53" spans="1:21" x14ac:dyDescent="0.25">
      <c r="A53" s="4">
        <f>'Mid Sem'!B53</f>
        <v>590029339</v>
      </c>
      <c r="B53" s="4" t="str">
        <f>'Mid Sem'!A53</f>
        <v>Raghav Kumar Goyal</v>
      </c>
      <c r="N53" s="1">
        <f t="shared" si="4"/>
        <v>0</v>
      </c>
      <c r="R53" s="5">
        <f t="shared" si="0"/>
        <v>0</v>
      </c>
      <c r="S53" s="5">
        <f t="shared" si="1"/>
        <v>0</v>
      </c>
      <c r="T53" s="5">
        <f t="shared" si="2"/>
        <v>0</v>
      </c>
      <c r="U53">
        <f t="shared" si="3"/>
        <v>0</v>
      </c>
    </row>
    <row r="54" spans="1:21" x14ac:dyDescent="0.25">
      <c r="A54" s="4">
        <f>'Mid Sem'!B54</f>
        <v>590029148</v>
      </c>
      <c r="B54" s="4" t="str">
        <f>'Mid Sem'!A54</f>
        <v>Rahul</v>
      </c>
      <c r="C54">
        <v>3</v>
      </c>
      <c r="D54">
        <v>3</v>
      </c>
      <c r="E54">
        <v>3</v>
      </c>
      <c r="F54">
        <v>3</v>
      </c>
      <c r="G54">
        <v>3</v>
      </c>
      <c r="N54" s="1">
        <f t="shared" si="4"/>
        <v>15</v>
      </c>
      <c r="R54" s="5">
        <f t="shared" si="0"/>
        <v>6</v>
      </c>
      <c r="S54" s="5">
        <f t="shared" si="1"/>
        <v>3</v>
      </c>
      <c r="T54" s="5">
        <f t="shared" si="2"/>
        <v>6</v>
      </c>
      <c r="U54">
        <f t="shared" si="3"/>
        <v>15</v>
      </c>
    </row>
    <row r="55" spans="1:21" x14ac:dyDescent="0.25">
      <c r="A55" s="4">
        <f>'Mid Sem'!B55</f>
        <v>590029309</v>
      </c>
      <c r="B55" s="4" t="str">
        <f>'Mid Sem'!A55</f>
        <v>Rahul Singh</v>
      </c>
      <c r="C55">
        <v>3</v>
      </c>
      <c r="D55">
        <v>3</v>
      </c>
      <c r="E55">
        <v>3</v>
      </c>
      <c r="F55">
        <v>3</v>
      </c>
      <c r="G55">
        <v>3</v>
      </c>
      <c r="N55" s="1">
        <f t="shared" si="4"/>
        <v>15</v>
      </c>
      <c r="R55" s="5">
        <f t="shared" si="0"/>
        <v>6</v>
      </c>
      <c r="S55" s="5">
        <f t="shared" si="1"/>
        <v>3</v>
      </c>
      <c r="T55" s="5">
        <f t="shared" si="2"/>
        <v>6</v>
      </c>
      <c r="U55">
        <f t="shared" si="3"/>
        <v>15</v>
      </c>
    </row>
    <row r="56" spans="1:21" x14ac:dyDescent="0.25">
      <c r="A56" s="4">
        <f>'Mid Sem'!B56</f>
        <v>590028838</v>
      </c>
      <c r="B56" s="4" t="str">
        <f>'Mid Sem'!A56</f>
        <v>Satyam Singh</v>
      </c>
      <c r="C56">
        <v>3</v>
      </c>
      <c r="D56">
        <v>3</v>
      </c>
      <c r="E56">
        <v>3</v>
      </c>
      <c r="F56">
        <v>3</v>
      </c>
      <c r="G56">
        <v>3</v>
      </c>
      <c r="N56" s="1">
        <f t="shared" si="4"/>
        <v>15</v>
      </c>
      <c r="R56" s="5">
        <f t="shared" si="0"/>
        <v>6</v>
      </c>
      <c r="S56" s="5">
        <f t="shared" si="1"/>
        <v>3</v>
      </c>
      <c r="T56" s="5">
        <f t="shared" si="2"/>
        <v>6</v>
      </c>
      <c r="U56">
        <f t="shared" si="3"/>
        <v>15</v>
      </c>
    </row>
    <row r="57" spans="1:21" x14ac:dyDescent="0.25">
      <c r="A57" s="4">
        <f>'Mid Sem'!B57</f>
        <v>590029107</v>
      </c>
      <c r="B57" s="4" t="str">
        <f>'Mid Sem'!A57</f>
        <v>Shashwat Agrawal</v>
      </c>
      <c r="N57" s="1">
        <f t="shared" si="4"/>
        <v>0</v>
      </c>
      <c r="R57" s="5">
        <f t="shared" si="0"/>
        <v>0</v>
      </c>
      <c r="S57" s="5">
        <f t="shared" si="1"/>
        <v>0</v>
      </c>
      <c r="T57" s="5">
        <f t="shared" si="2"/>
        <v>0</v>
      </c>
      <c r="U57">
        <f t="shared" si="3"/>
        <v>0</v>
      </c>
    </row>
    <row r="58" spans="1:21" x14ac:dyDescent="0.25">
      <c r="A58" s="4">
        <f>'Mid Sem'!B58</f>
        <v>590029266</v>
      </c>
      <c r="B58" s="4" t="str">
        <f>'Mid Sem'!A58</f>
        <v>Siddhant Gurung</v>
      </c>
      <c r="N58" s="1">
        <f t="shared" si="4"/>
        <v>0</v>
      </c>
      <c r="R58" s="5">
        <f t="shared" si="0"/>
        <v>0</v>
      </c>
      <c r="S58" s="5">
        <f t="shared" si="1"/>
        <v>0</v>
      </c>
      <c r="T58" s="5">
        <f t="shared" si="2"/>
        <v>0</v>
      </c>
      <c r="U58">
        <f t="shared" si="3"/>
        <v>0</v>
      </c>
    </row>
    <row r="59" spans="1:21" x14ac:dyDescent="0.25">
      <c r="A59" s="4">
        <f>'Mid Sem'!B59</f>
        <v>590029354</v>
      </c>
      <c r="B59" s="4" t="str">
        <f>'Mid Sem'!A59</f>
        <v>Simarjot Kaur Gill</v>
      </c>
      <c r="C59">
        <v>3</v>
      </c>
      <c r="D59">
        <v>3</v>
      </c>
      <c r="E59">
        <v>3</v>
      </c>
      <c r="F59">
        <v>3</v>
      </c>
      <c r="G59">
        <v>3</v>
      </c>
      <c r="N59" s="1">
        <f t="shared" si="4"/>
        <v>15</v>
      </c>
      <c r="R59" s="5">
        <f t="shared" si="0"/>
        <v>6</v>
      </c>
      <c r="S59" s="5">
        <f t="shared" si="1"/>
        <v>3</v>
      </c>
      <c r="T59" s="5">
        <f t="shared" si="2"/>
        <v>6</v>
      </c>
      <c r="U59">
        <f t="shared" si="3"/>
        <v>15</v>
      </c>
    </row>
    <row r="60" spans="1:21" x14ac:dyDescent="0.25">
      <c r="A60" s="4">
        <f>'Mid Sem'!B60</f>
        <v>590029349</v>
      </c>
      <c r="B60" s="4" t="str">
        <f>'Mid Sem'!A60</f>
        <v>Tanishq Bansal</v>
      </c>
      <c r="C60">
        <v>3</v>
      </c>
      <c r="D60">
        <v>3</v>
      </c>
      <c r="E60">
        <v>3</v>
      </c>
      <c r="F60">
        <v>3</v>
      </c>
      <c r="G60">
        <v>3</v>
      </c>
      <c r="N60" s="1">
        <f t="shared" si="4"/>
        <v>15</v>
      </c>
      <c r="R60" s="5">
        <f t="shared" si="0"/>
        <v>6</v>
      </c>
      <c r="S60" s="5">
        <f t="shared" si="1"/>
        <v>3</v>
      </c>
      <c r="T60" s="5">
        <f t="shared" si="2"/>
        <v>6</v>
      </c>
      <c r="U60">
        <f t="shared" si="3"/>
        <v>15</v>
      </c>
    </row>
    <row r="61" spans="1:21" x14ac:dyDescent="0.25">
      <c r="A61" s="4">
        <f>'Mid Sem'!B61</f>
        <v>590029302</v>
      </c>
      <c r="B61" s="4" t="str">
        <f>'Mid Sem'!A61</f>
        <v>Tanmay Amit Verma</v>
      </c>
      <c r="C61">
        <v>3</v>
      </c>
      <c r="D61">
        <v>3</v>
      </c>
      <c r="E61">
        <v>3</v>
      </c>
      <c r="F61">
        <v>3</v>
      </c>
      <c r="G61">
        <v>3</v>
      </c>
      <c r="N61" s="1">
        <f t="shared" si="4"/>
        <v>15</v>
      </c>
      <c r="R61" s="5">
        <f t="shared" si="0"/>
        <v>6</v>
      </c>
      <c r="S61" s="5">
        <f t="shared" si="1"/>
        <v>3</v>
      </c>
      <c r="T61" s="5">
        <f t="shared" si="2"/>
        <v>6</v>
      </c>
      <c r="U61">
        <f t="shared" si="3"/>
        <v>15</v>
      </c>
    </row>
    <row r="62" spans="1:21" x14ac:dyDescent="0.25">
      <c r="A62" s="4">
        <f>'Mid Sem'!B62</f>
        <v>590029262</v>
      </c>
      <c r="B62" s="4" t="str">
        <f>'Mid Sem'!A62</f>
        <v>Vandana Yadav</v>
      </c>
      <c r="C62">
        <v>3</v>
      </c>
      <c r="D62">
        <v>3</v>
      </c>
      <c r="E62">
        <v>3</v>
      </c>
      <c r="F62">
        <v>3</v>
      </c>
      <c r="G62">
        <v>3</v>
      </c>
      <c r="N62" s="1">
        <f t="shared" si="4"/>
        <v>15</v>
      </c>
      <c r="R62" s="5">
        <f t="shared" si="0"/>
        <v>6</v>
      </c>
      <c r="S62" s="5">
        <f t="shared" si="1"/>
        <v>3</v>
      </c>
      <c r="T62" s="5">
        <f t="shared" si="2"/>
        <v>6</v>
      </c>
      <c r="U62">
        <f t="shared" si="3"/>
        <v>15</v>
      </c>
    </row>
    <row r="63" spans="1:21" x14ac:dyDescent="0.25">
      <c r="A63" s="4">
        <f>'Mid Sem'!B63</f>
        <v>590029285</v>
      </c>
      <c r="B63" s="4" t="str">
        <f>'Mid Sem'!A63</f>
        <v>Vidit Ahuja</v>
      </c>
      <c r="C63">
        <v>3</v>
      </c>
      <c r="D63">
        <v>3</v>
      </c>
      <c r="E63">
        <v>3</v>
      </c>
      <c r="F63">
        <v>3</v>
      </c>
      <c r="G63">
        <v>2</v>
      </c>
      <c r="N63" s="1">
        <f t="shared" si="4"/>
        <v>14</v>
      </c>
      <c r="R63" s="5">
        <f t="shared" si="0"/>
        <v>6</v>
      </c>
      <c r="S63" s="5">
        <f t="shared" si="1"/>
        <v>3</v>
      </c>
      <c r="T63" s="5">
        <f t="shared" si="2"/>
        <v>5</v>
      </c>
      <c r="U63">
        <f t="shared" si="3"/>
        <v>14</v>
      </c>
    </row>
    <row r="64" spans="1:21" x14ac:dyDescent="0.25">
      <c r="A64" s="4">
        <f>'Mid Sem'!B64</f>
        <v>590029353</v>
      </c>
      <c r="B64" s="4" t="str">
        <f>'Mid Sem'!A64</f>
        <v>Vinit Kumar</v>
      </c>
      <c r="C64">
        <v>3</v>
      </c>
      <c r="D64">
        <v>3</v>
      </c>
      <c r="E64">
        <v>3</v>
      </c>
      <c r="F64">
        <v>3</v>
      </c>
      <c r="G64">
        <v>3</v>
      </c>
      <c r="N64" s="1">
        <f t="shared" si="4"/>
        <v>15</v>
      </c>
      <c r="R64" s="5">
        <f t="shared" si="0"/>
        <v>6</v>
      </c>
      <c r="S64" s="5">
        <f t="shared" si="1"/>
        <v>3</v>
      </c>
      <c r="T64" s="5">
        <f t="shared" si="2"/>
        <v>6</v>
      </c>
      <c r="U64">
        <f t="shared" si="3"/>
        <v>15</v>
      </c>
    </row>
    <row r="65" spans="1:2" x14ac:dyDescent="0.25">
      <c r="A65" s="4"/>
      <c r="B65" s="4"/>
    </row>
    <row r="66" spans="1:2" x14ac:dyDescent="0.25">
      <c r="A66" s="4"/>
      <c r="B66" s="4"/>
    </row>
  </sheetData>
  <mergeCells count="2">
    <mergeCell ref="A1:O1"/>
    <mergeCell ref="A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C6E4-73FE-451F-9DA1-2F8671C4541C}">
  <sheetPr>
    <pageSetUpPr fitToPage="1"/>
  </sheetPr>
  <dimension ref="A1:V65"/>
  <sheetViews>
    <sheetView topLeftCell="A22" workbookViewId="0">
      <selection activeCell="L37" sqref="L37"/>
    </sheetView>
  </sheetViews>
  <sheetFormatPr defaultRowHeight="15" x14ac:dyDescent="0.25"/>
  <cols>
    <col min="1" max="1" width="12.28515625" customWidth="1"/>
    <col min="2" max="2" width="24.28515625" bestFit="1" customWidth="1"/>
    <col min="3" max="3" width="5.5703125" customWidth="1"/>
    <col min="4" max="14" width="4.5703125" bestFit="1" customWidth="1"/>
    <col min="15" max="15" width="5.42578125" bestFit="1" customWidth="1"/>
    <col min="16" max="16" width="4.7109375" bestFit="1" customWidth="1"/>
  </cols>
  <sheetData>
    <row r="1" spans="1:22" ht="24.75" x14ac:dyDescent="0.4">
      <c r="A1" s="47" t="s">
        <v>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22" ht="24.75" x14ac:dyDescent="0.4">
      <c r="A2" s="47" t="str">
        <f>Marksheet!A2</f>
        <v xml:space="preserve">Physics for Computer Engineers (PHYS 1036) 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22" x14ac:dyDescent="0.25">
      <c r="A3" s="1"/>
      <c r="B3" s="1"/>
      <c r="C3" s="1"/>
      <c r="D3" s="2" t="s">
        <v>137</v>
      </c>
      <c r="E3" s="2" t="s">
        <v>137</v>
      </c>
      <c r="F3" s="2" t="s">
        <v>174</v>
      </c>
      <c r="G3" s="2" t="s">
        <v>152</v>
      </c>
      <c r="H3" s="2" t="s">
        <v>174</v>
      </c>
      <c r="I3" s="2" t="s">
        <v>152</v>
      </c>
      <c r="J3" s="2"/>
      <c r="K3" s="2"/>
      <c r="L3" s="2"/>
      <c r="M3" s="2"/>
      <c r="N3" s="2"/>
      <c r="O3" s="1"/>
      <c r="P3" s="1"/>
      <c r="S3" s="2" t="s">
        <v>137</v>
      </c>
      <c r="T3" s="2" t="s">
        <v>152</v>
      </c>
      <c r="U3" s="2" t="s">
        <v>174</v>
      </c>
    </row>
    <row r="4" spans="1:22" x14ac:dyDescent="0.25">
      <c r="A4" s="3" t="s">
        <v>153</v>
      </c>
      <c r="B4" s="3" t="s">
        <v>138</v>
      </c>
      <c r="C4" s="3"/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  <c r="I4" s="3" t="s">
        <v>145</v>
      </c>
      <c r="J4" s="3" t="s">
        <v>146</v>
      </c>
      <c r="K4" s="3" t="s">
        <v>147</v>
      </c>
      <c r="L4" s="3" t="s">
        <v>148</v>
      </c>
      <c r="M4" s="3" t="s">
        <v>149</v>
      </c>
      <c r="N4" s="3" t="s">
        <v>150</v>
      </c>
      <c r="O4" s="3" t="s">
        <v>11</v>
      </c>
      <c r="P4" s="3" t="s">
        <v>12</v>
      </c>
      <c r="S4" s="3"/>
      <c r="T4" s="3"/>
      <c r="U4" s="3"/>
      <c r="V4" s="3" t="s">
        <v>11</v>
      </c>
    </row>
    <row r="5" spans="1:22" x14ac:dyDescent="0.25">
      <c r="A5" s="5"/>
      <c r="B5" s="5" t="s">
        <v>15</v>
      </c>
      <c r="C5" s="5" t="s">
        <v>167</v>
      </c>
      <c r="D5" s="5">
        <v>2</v>
      </c>
      <c r="E5" s="5">
        <v>2</v>
      </c>
      <c r="F5" s="5">
        <v>2</v>
      </c>
      <c r="G5" s="5">
        <v>2</v>
      </c>
      <c r="H5" s="5">
        <v>6</v>
      </c>
      <c r="I5" s="5">
        <v>6</v>
      </c>
      <c r="J5" s="5"/>
      <c r="K5" s="5"/>
      <c r="L5" s="5"/>
      <c r="M5" s="5"/>
      <c r="N5" s="5"/>
      <c r="O5" s="5">
        <f>SUM(D5:I5)</f>
        <v>20</v>
      </c>
      <c r="P5" s="5"/>
      <c r="S5" s="5">
        <f>SUM(D5:E5)</f>
        <v>4</v>
      </c>
      <c r="T5" s="5">
        <f>SUM(G5,I5)</f>
        <v>8</v>
      </c>
      <c r="U5" s="5">
        <f>SUM(F5,H5)</f>
        <v>8</v>
      </c>
      <c r="V5" s="5">
        <f>SUM(S5:U5)</f>
        <v>20</v>
      </c>
    </row>
    <row r="6" spans="1:22" x14ac:dyDescent="0.25">
      <c r="A6" s="4">
        <f>Marksheet!B5</f>
        <v>590029213</v>
      </c>
      <c r="B6" s="4" t="str">
        <f>Marksheet!A5</f>
        <v>Aadya Dubey</v>
      </c>
      <c r="C6" s="27" t="b">
        <v>1</v>
      </c>
      <c r="D6" s="1">
        <v>1.5</v>
      </c>
      <c r="E6" s="1">
        <v>2</v>
      </c>
      <c r="F6" s="1">
        <v>2</v>
      </c>
      <c r="G6" s="1">
        <v>2</v>
      </c>
      <c r="H6" s="1">
        <v>5.5</v>
      </c>
      <c r="I6" s="1">
        <v>2</v>
      </c>
      <c r="J6" s="1"/>
      <c r="K6" s="1"/>
      <c r="L6" s="1"/>
      <c r="M6" s="1"/>
      <c r="N6" s="1"/>
      <c r="O6" s="5">
        <f>IF(C6,SUM(D6:I6),0)</f>
        <v>15</v>
      </c>
      <c r="P6" s="1"/>
      <c r="S6" s="46">
        <f t="shared" ref="S6:S65" si="0">SUM(D6:E6)</f>
        <v>3.5</v>
      </c>
      <c r="T6" s="46">
        <f t="shared" ref="T6:T65" si="1">SUM(G6,I6)</f>
        <v>4</v>
      </c>
      <c r="U6" s="46">
        <f t="shared" ref="U6:U65" si="2">SUM(F6,H6)</f>
        <v>7.5</v>
      </c>
      <c r="V6" s="46">
        <f t="shared" ref="V6:V65" si="3">SUM(S6:U6)</f>
        <v>15</v>
      </c>
    </row>
    <row r="7" spans="1:22" x14ac:dyDescent="0.25">
      <c r="A7" s="4">
        <f>Marksheet!B6</f>
        <v>590029270</v>
      </c>
      <c r="B7" s="4" t="str">
        <f>Marksheet!A6</f>
        <v>Aditya Vishwakarma</v>
      </c>
      <c r="C7" s="27" t="b">
        <v>1</v>
      </c>
      <c r="D7" s="1">
        <v>1.5</v>
      </c>
      <c r="E7" s="1">
        <v>1</v>
      </c>
      <c r="F7" s="1">
        <v>2</v>
      </c>
      <c r="G7" s="1">
        <v>2</v>
      </c>
      <c r="H7" s="1">
        <v>4</v>
      </c>
      <c r="I7" s="1">
        <v>1</v>
      </c>
      <c r="J7" s="1"/>
      <c r="K7" s="1"/>
      <c r="L7" s="1"/>
      <c r="M7" s="1"/>
      <c r="N7" s="1"/>
      <c r="O7" s="5">
        <f t="shared" ref="O7:O64" si="4">IF(C7,SUM(D7:I7),0)</f>
        <v>11.5</v>
      </c>
      <c r="P7" s="1"/>
      <c r="S7" s="46">
        <f t="shared" si="0"/>
        <v>2.5</v>
      </c>
      <c r="T7" s="46">
        <f t="shared" si="1"/>
        <v>3</v>
      </c>
      <c r="U7" s="46">
        <f t="shared" si="2"/>
        <v>6</v>
      </c>
      <c r="V7" s="46">
        <f t="shared" si="3"/>
        <v>11.5</v>
      </c>
    </row>
    <row r="8" spans="1:22" x14ac:dyDescent="0.25">
      <c r="A8" s="4">
        <f>Marksheet!B7</f>
        <v>590029204</v>
      </c>
      <c r="B8" s="4" t="str">
        <f>Marksheet!A7</f>
        <v>Arjun</v>
      </c>
      <c r="C8" s="27" t="b">
        <v>1</v>
      </c>
      <c r="D8" s="1">
        <v>1.5</v>
      </c>
      <c r="E8" s="1">
        <v>2</v>
      </c>
      <c r="F8" s="1">
        <v>0</v>
      </c>
      <c r="G8" s="1">
        <v>1</v>
      </c>
      <c r="H8" s="1">
        <v>5</v>
      </c>
      <c r="I8" s="1">
        <v>2</v>
      </c>
      <c r="J8" s="1"/>
      <c r="K8" s="1"/>
      <c r="L8" s="1"/>
      <c r="M8" s="1"/>
      <c r="N8" s="1"/>
      <c r="O8" s="5">
        <f t="shared" si="4"/>
        <v>11.5</v>
      </c>
      <c r="P8" s="1"/>
      <c r="S8" s="46">
        <f t="shared" si="0"/>
        <v>3.5</v>
      </c>
      <c r="T8" s="46">
        <f t="shared" si="1"/>
        <v>3</v>
      </c>
      <c r="U8" s="46">
        <f t="shared" si="2"/>
        <v>5</v>
      </c>
      <c r="V8" s="46">
        <f t="shared" si="3"/>
        <v>11.5</v>
      </c>
    </row>
    <row r="9" spans="1:22" x14ac:dyDescent="0.25">
      <c r="A9" s="4">
        <f>Marksheet!B8</f>
        <v>590029109</v>
      </c>
      <c r="B9" s="4" t="str">
        <f>Marksheet!A8</f>
        <v>Aryan Yadav</v>
      </c>
      <c r="C9" s="27" t="b">
        <v>0</v>
      </c>
      <c r="D9" s="1">
        <v>2</v>
      </c>
      <c r="E9" s="1">
        <v>2</v>
      </c>
      <c r="F9" s="1">
        <v>2</v>
      </c>
      <c r="G9" s="1">
        <v>2</v>
      </c>
      <c r="H9" s="1">
        <v>6</v>
      </c>
      <c r="I9" s="1">
        <v>6</v>
      </c>
      <c r="J9" s="1"/>
      <c r="K9" s="1"/>
      <c r="L9" s="1"/>
      <c r="M9" s="1"/>
      <c r="N9" s="1"/>
      <c r="O9" s="5">
        <f t="shared" si="4"/>
        <v>0</v>
      </c>
      <c r="P9" s="1"/>
      <c r="S9" s="46">
        <f t="shared" si="0"/>
        <v>4</v>
      </c>
      <c r="T9" s="46">
        <f t="shared" si="1"/>
        <v>8</v>
      </c>
      <c r="U9" s="46">
        <f t="shared" si="2"/>
        <v>8</v>
      </c>
      <c r="V9" s="46">
        <f t="shared" si="3"/>
        <v>20</v>
      </c>
    </row>
    <row r="10" spans="1:22" x14ac:dyDescent="0.25">
      <c r="A10" s="4">
        <f>Marksheet!B9</f>
        <v>590029070</v>
      </c>
      <c r="B10" s="4" t="str">
        <f>Marksheet!A9</f>
        <v>Astik Patel</v>
      </c>
      <c r="C10" s="27" t="b">
        <v>1</v>
      </c>
      <c r="D10" s="1">
        <v>1.5</v>
      </c>
      <c r="E10" s="1">
        <v>2</v>
      </c>
      <c r="F10" s="1">
        <v>2</v>
      </c>
      <c r="G10" s="1">
        <v>2</v>
      </c>
      <c r="H10" s="1">
        <v>6</v>
      </c>
      <c r="I10" s="1">
        <v>4</v>
      </c>
      <c r="J10" s="1"/>
      <c r="K10" s="1"/>
      <c r="L10" s="1"/>
      <c r="M10" s="1"/>
      <c r="N10" s="1"/>
      <c r="O10" s="5">
        <f t="shared" si="4"/>
        <v>17.5</v>
      </c>
      <c r="P10" s="1"/>
      <c r="S10" s="46">
        <f t="shared" si="0"/>
        <v>3.5</v>
      </c>
      <c r="T10" s="46">
        <f t="shared" si="1"/>
        <v>6</v>
      </c>
      <c r="U10" s="46">
        <f t="shared" si="2"/>
        <v>8</v>
      </c>
      <c r="V10" s="46">
        <f t="shared" si="3"/>
        <v>17.5</v>
      </c>
    </row>
    <row r="11" spans="1:22" x14ac:dyDescent="0.25">
      <c r="A11" s="4">
        <f>Marksheet!B10</f>
        <v>590029157</v>
      </c>
      <c r="B11" s="4" t="str">
        <f>Marksheet!A10</f>
        <v>Ayush Mohan</v>
      </c>
      <c r="C11" s="27" t="b">
        <v>1</v>
      </c>
      <c r="D11" s="1">
        <v>2</v>
      </c>
      <c r="E11" s="1">
        <v>1.5</v>
      </c>
      <c r="F11" s="1">
        <v>2</v>
      </c>
      <c r="G11" s="1">
        <v>2</v>
      </c>
      <c r="H11" s="1">
        <v>4</v>
      </c>
      <c r="I11" s="1">
        <v>4</v>
      </c>
      <c r="J11" s="1"/>
      <c r="K11" s="1"/>
      <c r="L11" s="1"/>
      <c r="M11" s="1"/>
      <c r="N11" s="1"/>
      <c r="O11" s="5">
        <f t="shared" si="4"/>
        <v>15.5</v>
      </c>
      <c r="P11" s="1"/>
      <c r="S11" s="46">
        <f t="shared" si="0"/>
        <v>3.5</v>
      </c>
      <c r="T11" s="46">
        <f t="shared" si="1"/>
        <v>6</v>
      </c>
      <c r="U11" s="46">
        <f t="shared" si="2"/>
        <v>6</v>
      </c>
      <c r="V11" s="46">
        <f t="shared" si="3"/>
        <v>15.5</v>
      </c>
    </row>
    <row r="12" spans="1:22" x14ac:dyDescent="0.25">
      <c r="A12" s="4">
        <f>Marksheet!B11</f>
        <v>590027157</v>
      </c>
      <c r="B12" s="4" t="str">
        <f>Marksheet!A11</f>
        <v>Bhanu Purohit</v>
      </c>
      <c r="C12" s="27" t="b">
        <v>0</v>
      </c>
      <c r="D12" s="1">
        <v>2</v>
      </c>
      <c r="E12" s="1">
        <v>2</v>
      </c>
      <c r="F12" s="1">
        <v>2</v>
      </c>
      <c r="G12" s="1">
        <v>2</v>
      </c>
      <c r="H12" s="1">
        <v>6</v>
      </c>
      <c r="I12" s="1">
        <v>6</v>
      </c>
      <c r="J12" s="1"/>
      <c r="K12" s="1"/>
      <c r="L12" s="1"/>
      <c r="M12" s="1"/>
      <c r="N12" s="1"/>
      <c r="O12" s="5">
        <f t="shared" si="4"/>
        <v>0</v>
      </c>
      <c r="P12" s="1"/>
      <c r="S12" s="46">
        <f t="shared" si="0"/>
        <v>4</v>
      </c>
      <c r="T12" s="46">
        <f t="shared" si="1"/>
        <v>8</v>
      </c>
      <c r="U12" s="46">
        <f t="shared" si="2"/>
        <v>8</v>
      </c>
      <c r="V12" s="46">
        <f t="shared" si="3"/>
        <v>20</v>
      </c>
    </row>
    <row r="13" spans="1:22" x14ac:dyDescent="0.25">
      <c r="A13" s="4">
        <f>Marksheet!B12</f>
        <v>590029274</v>
      </c>
      <c r="B13" s="4" t="str">
        <f>Marksheet!A12</f>
        <v>Biswabandya Mohanty</v>
      </c>
      <c r="C13" s="27" t="b">
        <v>1</v>
      </c>
      <c r="D13" s="1">
        <v>1.5</v>
      </c>
      <c r="E13" s="1">
        <v>1</v>
      </c>
      <c r="F13" s="1">
        <v>1</v>
      </c>
      <c r="G13" s="1">
        <v>2</v>
      </c>
      <c r="H13" s="1">
        <v>4</v>
      </c>
      <c r="I13" s="1">
        <v>1</v>
      </c>
      <c r="J13" s="1"/>
      <c r="K13" s="1"/>
      <c r="L13" s="1"/>
      <c r="M13" s="1"/>
      <c r="N13" s="1"/>
      <c r="O13" s="5">
        <f t="shared" si="4"/>
        <v>10.5</v>
      </c>
      <c r="P13" s="1"/>
      <c r="S13" s="46">
        <f t="shared" si="0"/>
        <v>2.5</v>
      </c>
      <c r="T13" s="46">
        <f t="shared" si="1"/>
        <v>3</v>
      </c>
      <c r="U13" s="46">
        <f t="shared" si="2"/>
        <v>5</v>
      </c>
      <c r="V13" s="46">
        <f t="shared" si="3"/>
        <v>10.5</v>
      </c>
    </row>
    <row r="14" spans="1:22" x14ac:dyDescent="0.25">
      <c r="A14" s="4">
        <f>Marksheet!B13</f>
        <v>590028572</v>
      </c>
      <c r="B14" s="4" t="str">
        <f>Marksheet!A13</f>
        <v>Eashan Vashisht</v>
      </c>
      <c r="C14" s="27" t="b">
        <v>1</v>
      </c>
      <c r="D14" s="1">
        <v>1.5</v>
      </c>
      <c r="E14" s="1">
        <v>2</v>
      </c>
      <c r="F14" s="1">
        <v>1</v>
      </c>
      <c r="G14" s="1">
        <v>2</v>
      </c>
      <c r="H14" s="1">
        <v>6</v>
      </c>
      <c r="I14" s="1">
        <v>6</v>
      </c>
      <c r="J14" s="1"/>
      <c r="K14" s="1"/>
      <c r="L14" s="1"/>
      <c r="M14" s="1"/>
      <c r="N14" s="1"/>
      <c r="O14" s="5">
        <f t="shared" si="4"/>
        <v>18.5</v>
      </c>
      <c r="P14" s="1"/>
      <c r="S14" s="46">
        <f t="shared" si="0"/>
        <v>3.5</v>
      </c>
      <c r="T14" s="46">
        <f t="shared" si="1"/>
        <v>8</v>
      </c>
      <c r="U14" s="46">
        <f t="shared" si="2"/>
        <v>7</v>
      </c>
      <c r="V14" s="46">
        <f t="shared" si="3"/>
        <v>18.5</v>
      </c>
    </row>
    <row r="15" spans="1:22" x14ac:dyDescent="0.25">
      <c r="A15" s="4">
        <f>Marksheet!B14</f>
        <v>590029230</v>
      </c>
      <c r="B15" s="4" t="str">
        <f>Marksheet!A14</f>
        <v>Hardik Joshi</v>
      </c>
      <c r="C15" s="27" t="b">
        <v>0</v>
      </c>
      <c r="D15" s="1">
        <v>2</v>
      </c>
      <c r="E15" s="1">
        <v>2</v>
      </c>
      <c r="F15" s="1">
        <v>2</v>
      </c>
      <c r="G15" s="1">
        <v>2</v>
      </c>
      <c r="H15" s="1">
        <v>6</v>
      </c>
      <c r="I15" s="1">
        <v>6</v>
      </c>
      <c r="J15" s="1"/>
      <c r="K15" s="1"/>
      <c r="L15" s="1"/>
      <c r="M15" s="1"/>
      <c r="N15" s="1"/>
      <c r="O15" s="5">
        <f t="shared" si="4"/>
        <v>0</v>
      </c>
      <c r="P15" s="1"/>
      <c r="S15" s="46">
        <f t="shared" si="0"/>
        <v>4</v>
      </c>
      <c r="T15" s="46">
        <f t="shared" si="1"/>
        <v>8</v>
      </c>
      <c r="U15" s="46">
        <f t="shared" si="2"/>
        <v>8</v>
      </c>
      <c r="V15" s="46">
        <f t="shared" si="3"/>
        <v>20</v>
      </c>
    </row>
    <row r="16" spans="1:22" x14ac:dyDescent="0.25">
      <c r="A16" s="4">
        <f>Marksheet!B15</f>
        <v>590029169</v>
      </c>
      <c r="B16" s="4" t="str">
        <f>Marksheet!A15</f>
        <v>Hrithvik Bhardwaj</v>
      </c>
      <c r="C16" s="27" t="b">
        <v>1</v>
      </c>
      <c r="D16" s="1">
        <v>1</v>
      </c>
      <c r="E16" s="1">
        <v>1</v>
      </c>
      <c r="F16" s="1">
        <v>1</v>
      </c>
      <c r="G16" s="1">
        <v>1.5</v>
      </c>
      <c r="H16" s="1">
        <v>3</v>
      </c>
      <c r="I16" s="1">
        <v>3</v>
      </c>
      <c r="J16" s="1"/>
      <c r="K16" s="1"/>
      <c r="L16" s="1"/>
      <c r="M16" s="1"/>
      <c r="N16" s="1"/>
      <c r="O16" s="5">
        <f t="shared" si="4"/>
        <v>10.5</v>
      </c>
      <c r="P16" s="1"/>
      <c r="S16" s="46">
        <f t="shared" si="0"/>
        <v>2</v>
      </c>
      <c r="T16" s="46">
        <f t="shared" si="1"/>
        <v>4.5</v>
      </c>
      <c r="U16" s="46">
        <f t="shared" si="2"/>
        <v>4</v>
      </c>
      <c r="V16" s="46">
        <f t="shared" si="3"/>
        <v>10.5</v>
      </c>
    </row>
    <row r="17" spans="1:22" x14ac:dyDescent="0.25">
      <c r="A17" s="4">
        <f>Marksheet!B16</f>
        <v>590029112</v>
      </c>
      <c r="B17" s="4" t="str">
        <f>Marksheet!A16</f>
        <v>Nitish Kumar</v>
      </c>
      <c r="C17" s="27" t="b">
        <v>1</v>
      </c>
      <c r="D17" s="1">
        <v>1.5</v>
      </c>
      <c r="E17" s="1">
        <v>1.5</v>
      </c>
      <c r="F17" s="1">
        <v>1</v>
      </c>
      <c r="G17" s="1">
        <v>2</v>
      </c>
      <c r="H17" s="1">
        <v>6</v>
      </c>
      <c r="I17" s="1">
        <v>3</v>
      </c>
      <c r="J17" s="1"/>
      <c r="K17" s="1"/>
      <c r="L17" s="1"/>
      <c r="M17" s="1"/>
      <c r="N17" s="1"/>
      <c r="O17" s="5">
        <f t="shared" si="4"/>
        <v>15</v>
      </c>
      <c r="P17" s="1"/>
      <c r="S17" s="46">
        <f t="shared" si="0"/>
        <v>3</v>
      </c>
      <c r="T17" s="46">
        <f t="shared" si="1"/>
        <v>5</v>
      </c>
      <c r="U17" s="46">
        <f t="shared" si="2"/>
        <v>7</v>
      </c>
      <c r="V17" s="46">
        <f t="shared" si="3"/>
        <v>15</v>
      </c>
    </row>
    <row r="18" spans="1:22" x14ac:dyDescent="0.25">
      <c r="A18" s="4">
        <f>Marksheet!B17</f>
        <v>590025556</v>
      </c>
      <c r="B18" s="4" t="str">
        <f>Marksheet!A17</f>
        <v>Omkareshwar Chaubey</v>
      </c>
      <c r="C18" s="27" t="b">
        <v>1</v>
      </c>
      <c r="D18" s="1">
        <v>2</v>
      </c>
      <c r="E18" s="1">
        <v>2</v>
      </c>
      <c r="F18" s="1">
        <v>1.5</v>
      </c>
      <c r="G18" s="1">
        <v>2</v>
      </c>
      <c r="H18" s="1">
        <v>6</v>
      </c>
      <c r="I18" s="1">
        <v>4</v>
      </c>
      <c r="J18" s="1"/>
      <c r="K18" s="1"/>
      <c r="L18" s="1"/>
      <c r="M18" s="1"/>
      <c r="N18" s="1"/>
      <c r="O18" s="5">
        <f t="shared" si="4"/>
        <v>17.5</v>
      </c>
      <c r="P18" s="1"/>
      <c r="S18" s="46">
        <f t="shared" si="0"/>
        <v>4</v>
      </c>
      <c r="T18" s="46">
        <f t="shared" si="1"/>
        <v>6</v>
      </c>
      <c r="U18" s="46">
        <f t="shared" si="2"/>
        <v>7.5</v>
      </c>
      <c r="V18" s="46">
        <f t="shared" si="3"/>
        <v>17.5</v>
      </c>
    </row>
    <row r="19" spans="1:22" x14ac:dyDescent="0.25">
      <c r="A19" s="4">
        <f>Marksheet!B18</f>
        <v>590027830</v>
      </c>
      <c r="B19" s="4" t="str">
        <f>Marksheet!A18</f>
        <v>Pavani Jain</v>
      </c>
      <c r="C19" s="27" t="b">
        <v>1</v>
      </c>
      <c r="D19" s="1">
        <v>1</v>
      </c>
      <c r="E19" s="1">
        <v>1</v>
      </c>
      <c r="F19" s="1">
        <v>1</v>
      </c>
      <c r="G19" s="1">
        <v>2</v>
      </c>
      <c r="H19" s="1">
        <v>6</v>
      </c>
      <c r="I19" s="1">
        <v>3</v>
      </c>
      <c r="J19" s="1"/>
      <c r="K19" s="1"/>
      <c r="L19" s="1"/>
      <c r="M19" s="1"/>
      <c r="N19" s="1"/>
      <c r="O19" s="5">
        <f t="shared" si="4"/>
        <v>14</v>
      </c>
      <c r="P19" s="1"/>
      <c r="S19" s="46">
        <f t="shared" si="0"/>
        <v>2</v>
      </c>
      <c r="T19" s="46">
        <f t="shared" si="1"/>
        <v>5</v>
      </c>
      <c r="U19" s="46">
        <f t="shared" si="2"/>
        <v>7</v>
      </c>
      <c r="V19" s="46">
        <f t="shared" si="3"/>
        <v>14</v>
      </c>
    </row>
    <row r="20" spans="1:22" x14ac:dyDescent="0.25">
      <c r="A20" s="4">
        <f>Marksheet!B19</f>
        <v>590028360</v>
      </c>
      <c r="B20" s="4" t="str">
        <f>Marksheet!A19</f>
        <v>Prapti Uniyal</v>
      </c>
      <c r="C20" s="27" t="b">
        <v>1</v>
      </c>
      <c r="D20" s="1">
        <v>0.5</v>
      </c>
      <c r="E20" s="1">
        <v>1</v>
      </c>
      <c r="F20" s="1">
        <v>2</v>
      </c>
      <c r="G20" s="1">
        <v>2</v>
      </c>
      <c r="H20" s="1">
        <v>6</v>
      </c>
      <c r="I20" s="1">
        <v>3</v>
      </c>
      <c r="J20" s="1"/>
      <c r="K20" s="1"/>
      <c r="L20" s="1"/>
      <c r="M20" s="1"/>
      <c r="N20" s="1"/>
      <c r="O20" s="5">
        <f t="shared" si="4"/>
        <v>14.5</v>
      </c>
      <c r="P20" s="1"/>
      <c r="S20" s="46">
        <f t="shared" si="0"/>
        <v>1.5</v>
      </c>
      <c r="T20" s="46">
        <f t="shared" si="1"/>
        <v>5</v>
      </c>
      <c r="U20" s="46">
        <f t="shared" si="2"/>
        <v>8</v>
      </c>
      <c r="V20" s="46">
        <f t="shared" si="3"/>
        <v>14.5</v>
      </c>
    </row>
    <row r="21" spans="1:22" x14ac:dyDescent="0.25">
      <c r="A21" s="4">
        <f>Marksheet!B20</f>
        <v>590029237</v>
      </c>
      <c r="B21" s="4" t="str">
        <f>Marksheet!A20</f>
        <v>Priyadarshi Prabhakar</v>
      </c>
      <c r="C21" s="27" t="b">
        <v>1</v>
      </c>
      <c r="D21" s="1">
        <v>1</v>
      </c>
      <c r="E21" s="1">
        <v>1</v>
      </c>
      <c r="F21" s="1">
        <v>1</v>
      </c>
      <c r="G21" s="1">
        <v>0</v>
      </c>
      <c r="H21" s="1">
        <v>3</v>
      </c>
      <c r="I21" s="1">
        <v>0</v>
      </c>
      <c r="J21" s="1"/>
      <c r="K21" s="1"/>
      <c r="L21" s="1"/>
      <c r="M21" s="1"/>
      <c r="N21" s="1"/>
      <c r="O21" s="5">
        <f t="shared" si="4"/>
        <v>6</v>
      </c>
      <c r="P21" s="1"/>
      <c r="S21" s="46">
        <f t="shared" si="0"/>
        <v>2</v>
      </c>
      <c r="T21" s="46">
        <f t="shared" si="1"/>
        <v>0</v>
      </c>
      <c r="U21" s="46">
        <f t="shared" si="2"/>
        <v>4</v>
      </c>
      <c r="V21" s="46">
        <f t="shared" si="3"/>
        <v>6</v>
      </c>
    </row>
    <row r="22" spans="1:22" x14ac:dyDescent="0.25">
      <c r="A22" s="4">
        <f>Marksheet!B21</f>
        <v>590029079</v>
      </c>
      <c r="B22" s="4" t="str">
        <f>Marksheet!A21</f>
        <v>Radhe Patel</v>
      </c>
      <c r="C22" s="27" t="b">
        <v>0</v>
      </c>
      <c r="D22" s="1">
        <v>2</v>
      </c>
      <c r="E22" s="1">
        <v>2</v>
      </c>
      <c r="F22" s="1">
        <v>2</v>
      </c>
      <c r="G22" s="1">
        <v>2</v>
      </c>
      <c r="H22" s="1">
        <v>6</v>
      </c>
      <c r="I22" s="1">
        <v>6</v>
      </c>
      <c r="J22" s="1"/>
      <c r="K22" s="1"/>
      <c r="L22" s="1"/>
      <c r="M22" s="1"/>
      <c r="N22" s="1"/>
      <c r="O22" s="5">
        <f t="shared" si="4"/>
        <v>0</v>
      </c>
      <c r="P22" s="1"/>
      <c r="S22" s="46">
        <f t="shared" si="0"/>
        <v>4</v>
      </c>
      <c r="T22" s="46">
        <f t="shared" si="1"/>
        <v>8</v>
      </c>
      <c r="U22" s="46">
        <f t="shared" si="2"/>
        <v>8</v>
      </c>
      <c r="V22" s="46">
        <f t="shared" si="3"/>
        <v>20</v>
      </c>
    </row>
    <row r="23" spans="1:22" x14ac:dyDescent="0.25">
      <c r="A23" s="4">
        <f>Marksheet!B22</f>
        <v>590029145</v>
      </c>
      <c r="B23" s="4" t="str">
        <f>Marksheet!A22</f>
        <v>Rishika Purushotham</v>
      </c>
      <c r="C23" s="27" t="b">
        <v>1</v>
      </c>
      <c r="D23" s="1">
        <v>1.5</v>
      </c>
      <c r="E23" s="1">
        <v>1.5</v>
      </c>
      <c r="F23" s="1">
        <v>2</v>
      </c>
      <c r="G23" s="1">
        <v>2</v>
      </c>
      <c r="H23" s="1">
        <v>6</v>
      </c>
      <c r="I23" s="1">
        <v>5</v>
      </c>
      <c r="J23" s="1"/>
      <c r="K23" s="1"/>
      <c r="L23" s="1"/>
      <c r="M23" s="1"/>
      <c r="N23" s="1"/>
      <c r="O23" s="5">
        <f t="shared" si="4"/>
        <v>18</v>
      </c>
      <c r="P23" s="1"/>
      <c r="S23" s="46">
        <f t="shared" si="0"/>
        <v>3</v>
      </c>
      <c r="T23" s="46">
        <f t="shared" si="1"/>
        <v>7</v>
      </c>
      <c r="U23" s="46">
        <f t="shared" si="2"/>
        <v>8</v>
      </c>
      <c r="V23" s="46">
        <f t="shared" si="3"/>
        <v>18</v>
      </c>
    </row>
    <row r="24" spans="1:22" x14ac:dyDescent="0.25">
      <c r="A24" s="4">
        <f>Marksheet!B23</f>
        <v>590029209</v>
      </c>
      <c r="B24" s="4" t="str">
        <f>Marksheet!A23</f>
        <v>Rishiv Kumar</v>
      </c>
      <c r="C24" s="27" t="b">
        <v>1</v>
      </c>
      <c r="D24" s="1">
        <v>1.5</v>
      </c>
      <c r="E24" s="1">
        <v>1.5</v>
      </c>
      <c r="F24" s="1">
        <v>1</v>
      </c>
      <c r="G24" s="1">
        <v>2</v>
      </c>
      <c r="H24" s="1">
        <v>5</v>
      </c>
      <c r="I24" s="1">
        <v>2</v>
      </c>
      <c r="J24" s="1"/>
      <c r="K24" s="1"/>
      <c r="L24" s="1"/>
      <c r="M24" s="1"/>
      <c r="N24" s="1"/>
      <c r="O24" s="5">
        <f t="shared" si="4"/>
        <v>13</v>
      </c>
      <c r="P24" s="1"/>
      <c r="S24" s="46">
        <f t="shared" si="0"/>
        <v>3</v>
      </c>
      <c r="T24" s="46">
        <f t="shared" si="1"/>
        <v>4</v>
      </c>
      <c r="U24" s="46">
        <f t="shared" si="2"/>
        <v>6</v>
      </c>
      <c r="V24" s="46">
        <f t="shared" si="3"/>
        <v>13</v>
      </c>
    </row>
    <row r="25" spans="1:22" x14ac:dyDescent="0.25">
      <c r="A25" s="4">
        <f>Marksheet!B24</f>
        <v>590027268</v>
      </c>
      <c r="B25" s="4" t="str">
        <f>Marksheet!A24</f>
        <v>Sankalp Sunil Ronge</v>
      </c>
      <c r="C25" s="27" t="b">
        <v>1</v>
      </c>
      <c r="D25" s="1">
        <v>2</v>
      </c>
      <c r="E25" s="1">
        <v>1.5</v>
      </c>
      <c r="F25" s="1">
        <v>2</v>
      </c>
      <c r="G25" s="1">
        <v>2</v>
      </c>
      <c r="H25" s="1">
        <v>4</v>
      </c>
      <c r="I25" s="1">
        <v>1</v>
      </c>
      <c r="J25" s="1"/>
      <c r="K25" s="1"/>
      <c r="L25" s="1"/>
      <c r="M25" s="1"/>
      <c r="N25" s="1"/>
      <c r="O25" s="5">
        <f t="shared" si="4"/>
        <v>12.5</v>
      </c>
      <c r="P25" s="1"/>
      <c r="S25" s="46">
        <f t="shared" si="0"/>
        <v>3.5</v>
      </c>
      <c r="T25" s="46">
        <f t="shared" si="1"/>
        <v>3</v>
      </c>
      <c r="U25" s="46">
        <f t="shared" si="2"/>
        <v>6</v>
      </c>
      <c r="V25" s="46">
        <f t="shared" si="3"/>
        <v>12.5</v>
      </c>
    </row>
    <row r="26" spans="1:22" x14ac:dyDescent="0.25">
      <c r="A26" s="4">
        <f>Marksheet!B25</f>
        <v>590029227</v>
      </c>
      <c r="B26" s="4" t="str">
        <f>Marksheet!A25</f>
        <v>Sartaj Singh</v>
      </c>
      <c r="C26" s="27" t="b">
        <v>1</v>
      </c>
      <c r="D26" s="1">
        <v>1.5</v>
      </c>
      <c r="E26" s="1">
        <v>2</v>
      </c>
      <c r="F26" s="1">
        <v>2</v>
      </c>
      <c r="G26" s="1">
        <v>2</v>
      </c>
      <c r="H26" s="1">
        <v>6</v>
      </c>
      <c r="I26" s="1">
        <v>6</v>
      </c>
      <c r="J26" s="1"/>
      <c r="K26" s="1"/>
      <c r="L26" s="1"/>
      <c r="M26" s="1"/>
      <c r="N26" s="1"/>
      <c r="O26" s="5">
        <f t="shared" si="4"/>
        <v>19.5</v>
      </c>
      <c r="P26" s="1"/>
      <c r="S26" s="46">
        <f t="shared" si="0"/>
        <v>3.5</v>
      </c>
      <c r="T26" s="46">
        <f t="shared" si="1"/>
        <v>8</v>
      </c>
      <c r="U26" s="46">
        <f t="shared" si="2"/>
        <v>8</v>
      </c>
      <c r="V26" s="46">
        <f t="shared" si="3"/>
        <v>19.5</v>
      </c>
    </row>
    <row r="27" spans="1:22" x14ac:dyDescent="0.25">
      <c r="A27" s="4">
        <f>Marksheet!B26</f>
        <v>590029241</v>
      </c>
      <c r="B27" s="4" t="str">
        <f>Marksheet!A26</f>
        <v>Satakshi Gupta</v>
      </c>
      <c r="C27" s="27" t="b">
        <v>1</v>
      </c>
      <c r="D27" s="1">
        <v>2</v>
      </c>
      <c r="E27" s="1">
        <v>1.5</v>
      </c>
      <c r="F27" s="1">
        <v>2</v>
      </c>
      <c r="G27" s="1">
        <v>2</v>
      </c>
      <c r="H27" s="1">
        <v>6</v>
      </c>
      <c r="I27" s="1">
        <v>6</v>
      </c>
      <c r="J27" s="1"/>
      <c r="K27" s="1"/>
      <c r="L27" s="1"/>
      <c r="M27" s="1"/>
      <c r="N27" s="1"/>
      <c r="O27" s="5">
        <f t="shared" si="4"/>
        <v>19.5</v>
      </c>
      <c r="P27" s="1"/>
      <c r="S27" s="46">
        <f t="shared" si="0"/>
        <v>3.5</v>
      </c>
      <c r="T27" s="46">
        <f t="shared" si="1"/>
        <v>8</v>
      </c>
      <c r="U27" s="46">
        <f t="shared" si="2"/>
        <v>8</v>
      </c>
      <c r="V27" s="46">
        <f t="shared" si="3"/>
        <v>19.5</v>
      </c>
    </row>
    <row r="28" spans="1:22" x14ac:dyDescent="0.25">
      <c r="A28" s="4">
        <f>Marksheet!B27</f>
        <v>590023855</v>
      </c>
      <c r="B28" s="4" t="str">
        <f>Marksheet!A27</f>
        <v>Shaswat Shantanu</v>
      </c>
      <c r="C28" s="27" t="b">
        <v>1</v>
      </c>
      <c r="D28" s="1">
        <v>1</v>
      </c>
      <c r="E28" s="1">
        <v>1</v>
      </c>
      <c r="F28" s="1">
        <v>1</v>
      </c>
      <c r="G28" s="1">
        <v>2</v>
      </c>
      <c r="H28" s="1">
        <v>1</v>
      </c>
      <c r="I28" s="1">
        <v>0</v>
      </c>
      <c r="J28" s="1"/>
      <c r="K28" s="1"/>
      <c r="L28" s="1"/>
      <c r="M28" s="1"/>
      <c r="N28" s="1"/>
      <c r="O28" s="5">
        <f t="shared" si="4"/>
        <v>6</v>
      </c>
      <c r="P28" s="1"/>
      <c r="S28" s="46">
        <f t="shared" si="0"/>
        <v>2</v>
      </c>
      <c r="T28" s="46">
        <f t="shared" si="1"/>
        <v>2</v>
      </c>
      <c r="U28" s="46">
        <f t="shared" si="2"/>
        <v>2</v>
      </c>
      <c r="V28" s="46">
        <f t="shared" si="3"/>
        <v>6</v>
      </c>
    </row>
    <row r="29" spans="1:22" x14ac:dyDescent="0.25">
      <c r="A29" s="4">
        <f>Marksheet!B28</f>
        <v>590029215</v>
      </c>
      <c r="B29" s="4" t="str">
        <f>Marksheet!A28</f>
        <v>Siddhant Rai</v>
      </c>
      <c r="C29" s="27" t="b">
        <v>0</v>
      </c>
      <c r="D29" s="1">
        <v>2</v>
      </c>
      <c r="E29" s="1">
        <v>2</v>
      </c>
      <c r="F29" s="1">
        <v>2</v>
      </c>
      <c r="G29" s="1">
        <v>2</v>
      </c>
      <c r="H29" s="1">
        <v>6</v>
      </c>
      <c r="I29" s="1">
        <v>6</v>
      </c>
      <c r="J29" s="1"/>
      <c r="K29" s="1"/>
      <c r="L29" s="1"/>
      <c r="M29" s="1"/>
      <c r="N29" s="1"/>
      <c r="O29" s="5">
        <f t="shared" si="4"/>
        <v>0</v>
      </c>
      <c r="P29" s="1"/>
      <c r="S29" s="46">
        <f t="shared" si="0"/>
        <v>4</v>
      </c>
      <c r="T29" s="46">
        <f t="shared" si="1"/>
        <v>8</v>
      </c>
      <c r="U29" s="46">
        <f t="shared" si="2"/>
        <v>8</v>
      </c>
      <c r="V29" s="46">
        <f t="shared" si="3"/>
        <v>20</v>
      </c>
    </row>
    <row r="30" spans="1:22" x14ac:dyDescent="0.25">
      <c r="A30" s="4">
        <f>Marksheet!B29</f>
        <v>590029111</v>
      </c>
      <c r="B30" s="4" t="str">
        <f>Marksheet!A29</f>
        <v>Sidhaant Singh Jyrwa</v>
      </c>
      <c r="C30" s="27" t="b">
        <v>1</v>
      </c>
      <c r="D30" s="1">
        <v>2</v>
      </c>
      <c r="E30" s="1">
        <v>1</v>
      </c>
      <c r="F30" s="1">
        <v>1.5</v>
      </c>
      <c r="G30" s="1">
        <v>1.5</v>
      </c>
      <c r="H30" s="1">
        <v>6</v>
      </c>
      <c r="I30" s="1">
        <v>0</v>
      </c>
      <c r="J30" s="1"/>
      <c r="K30" s="1"/>
      <c r="L30" s="1"/>
      <c r="M30" s="1"/>
      <c r="N30" s="1"/>
      <c r="O30" s="5">
        <f t="shared" si="4"/>
        <v>12</v>
      </c>
      <c r="P30" s="1"/>
      <c r="S30" s="46">
        <f t="shared" si="0"/>
        <v>3</v>
      </c>
      <c r="T30" s="46">
        <f t="shared" si="1"/>
        <v>1.5</v>
      </c>
      <c r="U30" s="46">
        <f t="shared" si="2"/>
        <v>7.5</v>
      </c>
      <c r="V30" s="46">
        <f t="shared" si="3"/>
        <v>12</v>
      </c>
    </row>
    <row r="31" spans="1:22" x14ac:dyDescent="0.25">
      <c r="A31" s="4">
        <f>Marksheet!B30</f>
        <v>590028683</v>
      </c>
      <c r="B31" s="4" t="str">
        <f>Marksheet!A30</f>
        <v>Subrat Singh Jadaun</v>
      </c>
      <c r="C31" s="27" t="b">
        <v>1</v>
      </c>
      <c r="D31" s="1">
        <v>1.5</v>
      </c>
      <c r="E31" s="1">
        <v>0.5</v>
      </c>
      <c r="F31" s="1">
        <v>1</v>
      </c>
      <c r="G31" s="1">
        <v>2</v>
      </c>
      <c r="H31" s="1">
        <v>4</v>
      </c>
      <c r="I31" s="1">
        <v>2</v>
      </c>
      <c r="J31" s="1"/>
      <c r="K31" s="1"/>
      <c r="L31" s="1"/>
      <c r="M31" s="1"/>
      <c r="N31" s="1"/>
      <c r="O31" s="5">
        <f t="shared" si="4"/>
        <v>11</v>
      </c>
      <c r="P31" s="1"/>
      <c r="S31" s="46">
        <f t="shared" si="0"/>
        <v>2</v>
      </c>
      <c r="T31" s="46">
        <f t="shared" si="1"/>
        <v>4</v>
      </c>
      <c r="U31" s="46">
        <f t="shared" si="2"/>
        <v>5</v>
      </c>
      <c r="V31" s="46">
        <f t="shared" si="3"/>
        <v>11</v>
      </c>
    </row>
    <row r="32" spans="1:22" x14ac:dyDescent="0.25">
      <c r="A32" s="4">
        <f>Marksheet!B31</f>
        <v>590029121</v>
      </c>
      <c r="B32" s="4" t="str">
        <f>Marksheet!A31</f>
        <v>Tushita Sharma</v>
      </c>
      <c r="C32" s="27" t="b">
        <v>1</v>
      </c>
      <c r="D32" s="1">
        <v>2</v>
      </c>
      <c r="E32" s="1">
        <v>2</v>
      </c>
      <c r="F32" s="1">
        <v>2</v>
      </c>
      <c r="G32" s="1">
        <v>2</v>
      </c>
      <c r="H32" s="1">
        <v>6</v>
      </c>
      <c r="I32" s="1">
        <v>4</v>
      </c>
      <c r="J32" s="1"/>
      <c r="K32" s="1"/>
      <c r="L32" s="1"/>
      <c r="M32" s="1"/>
      <c r="N32" s="1"/>
      <c r="O32" s="5">
        <f t="shared" si="4"/>
        <v>18</v>
      </c>
      <c r="P32" s="1"/>
      <c r="S32" s="46">
        <f t="shared" si="0"/>
        <v>4</v>
      </c>
      <c r="T32" s="46">
        <f t="shared" si="1"/>
        <v>6</v>
      </c>
      <c r="U32" s="46">
        <f t="shared" si="2"/>
        <v>8</v>
      </c>
      <c r="V32" s="46">
        <f t="shared" si="3"/>
        <v>18</v>
      </c>
    </row>
    <row r="33" spans="1:22" x14ac:dyDescent="0.25">
      <c r="A33" s="4">
        <f>Marksheet!B32</f>
        <v>590029048</v>
      </c>
      <c r="B33" s="4" t="str">
        <f>Marksheet!A32</f>
        <v>Vaishnavi Kumari</v>
      </c>
      <c r="C33" s="27" t="b">
        <v>1</v>
      </c>
      <c r="D33" s="1">
        <v>1.5</v>
      </c>
      <c r="E33" s="1">
        <v>2</v>
      </c>
      <c r="F33" s="1">
        <v>2</v>
      </c>
      <c r="G33" s="1">
        <v>2</v>
      </c>
      <c r="H33" s="1">
        <v>6</v>
      </c>
      <c r="I33" s="1">
        <v>2</v>
      </c>
      <c r="J33" s="1"/>
      <c r="K33" s="1"/>
      <c r="L33" s="1"/>
      <c r="M33" s="1"/>
      <c r="N33" s="1"/>
      <c r="O33" s="5">
        <f t="shared" si="4"/>
        <v>15.5</v>
      </c>
      <c r="P33" s="1"/>
      <c r="S33" s="46">
        <f t="shared" si="0"/>
        <v>3.5</v>
      </c>
      <c r="T33" s="46">
        <f t="shared" si="1"/>
        <v>4</v>
      </c>
      <c r="U33" s="46">
        <f t="shared" si="2"/>
        <v>8</v>
      </c>
      <c r="V33" s="46">
        <f t="shared" si="3"/>
        <v>15.5</v>
      </c>
    </row>
    <row r="34" spans="1:22" x14ac:dyDescent="0.25">
      <c r="A34" s="4">
        <f>Marksheet!B33</f>
        <v>590029184</v>
      </c>
      <c r="B34" s="4" t="str">
        <f>Marksheet!A33</f>
        <v>Vivek Chauhan</v>
      </c>
      <c r="C34" s="27" t="b">
        <v>1</v>
      </c>
      <c r="D34" s="1">
        <v>1</v>
      </c>
      <c r="E34" s="1">
        <v>1.5</v>
      </c>
      <c r="F34" s="1">
        <v>1</v>
      </c>
      <c r="G34" s="1">
        <v>2</v>
      </c>
      <c r="H34" s="1">
        <v>6</v>
      </c>
      <c r="I34" s="1">
        <v>6</v>
      </c>
      <c r="J34" s="1"/>
      <c r="K34" s="1"/>
      <c r="L34" s="1"/>
      <c r="M34" s="1"/>
      <c r="N34" s="1"/>
      <c r="O34" s="5">
        <f t="shared" si="4"/>
        <v>17.5</v>
      </c>
      <c r="P34" s="1"/>
      <c r="S34" s="46">
        <f t="shared" si="0"/>
        <v>2.5</v>
      </c>
      <c r="T34" s="46">
        <f t="shared" si="1"/>
        <v>8</v>
      </c>
      <c r="U34" s="46">
        <f t="shared" si="2"/>
        <v>7</v>
      </c>
      <c r="V34" s="46">
        <f t="shared" si="3"/>
        <v>17.5</v>
      </c>
    </row>
    <row r="35" spans="1:22" x14ac:dyDescent="0.25">
      <c r="A35" s="4">
        <f>Marksheet!B34</f>
        <v>590029330</v>
      </c>
      <c r="B35" s="4" t="str">
        <f>Marksheet!A34</f>
        <v>Aadarshi Bisht</v>
      </c>
      <c r="C35" s="27" t="b">
        <v>1</v>
      </c>
      <c r="D35" s="1">
        <v>1.5</v>
      </c>
      <c r="E35" s="1">
        <v>1.5</v>
      </c>
      <c r="F35" s="1">
        <v>2</v>
      </c>
      <c r="G35" s="1">
        <v>1</v>
      </c>
      <c r="H35" s="1">
        <v>5</v>
      </c>
      <c r="I35" s="1">
        <v>3</v>
      </c>
      <c r="J35" s="1"/>
      <c r="K35" s="1"/>
      <c r="L35" s="1"/>
      <c r="M35" s="1"/>
      <c r="N35" s="1"/>
      <c r="O35" s="5">
        <f t="shared" si="4"/>
        <v>14</v>
      </c>
      <c r="P35" s="1"/>
      <c r="S35" s="46">
        <f t="shared" si="0"/>
        <v>3</v>
      </c>
      <c r="T35" s="46">
        <f t="shared" si="1"/>
        <v>4</v>
      </c>
      <c r="U35" s="46">
        <f t="shared" si="2"/>
        <v>7</v>
      </c>
      <c r="V35" s="46">
        <f t="shared" si="3"/>
        <v>14</v>
      </c>
    </row>
    <row r="36" spans="1:22" x14ac:dyDescent="0.25">
      <c r="A36" s="4">
        <f>Marksheet!B35</f>
        <v>590027630</v>
      </c>
      <c r="B36" s="4" t="str">
        <f>Marksheet!A35</f>
        <v>Aarush Prasad</v>
      </c>
      <c r="C36" s="27" t="b">
        <v>1</v>
      </c>
      <c r="D36" s="1">
        <v>2</v>
      </c>
      <c r="E36" s="1">
        <v>2</v>
      </c>
      <c r="F36" s="1">
        <v>2</v>
      </c>
      <c r="G36" s="1">
        <v>1</v>
      </c>
      <c r="H36" s="1">
        <v>6</v>
      </c>
      <c r="I36" s="1">
        <v>6</v>
      </c>
      <c r="J36" s="1"/>
      <c r="K36" s="1"/>
      <c r="L36" s="1"/>
      <c r="M36" s="1"/>
      <c r="N36" s="1"/>
      <c r="O36" s="5">
        <f t="shared" si="4"/>
        <v>19</v>
      </c>
      <c r="P36" s="1"/>
      <c r="S36" s="46">
        <f t="shared" si="0"/>
        <v>4</v>
      </c>
      <c r="T36" s="46">
        <f t="shared" si="1"/>
        <v>7</v>
      </c>
      <c r="U36" s="46">
        <f t="shared" si="2"/>
        <v>8</v>
      </c>
      <c r="V36" s="46">
        <f t="shared" si="3"/>
        <v>19</v>
      </c>
    </row>
    <row r="37" spans="1:22" x14ac:dyDescent="0.25">
      <c r="A37" s="4">
        <f>Marksheet!B36</f>
        <v>590029219</v>
      </c>
      <c r="B37" s="4" t="str">
        <f>Marksheet!A36</f>
        <v>Aditya Mishra</v>
      </c>
      <c r="C37" s="27" t="b">
        <v>1</v>
      </c>
      <c r="D37" s="1">
        <v>1.5</v>
      </c>
      <c r="E37" s="1">
        <v>2</v>
      </c>
      <c r="F37" s="1">
        <v>1</v>
      </c>
      <c r="G37" s="1">
        <v>2</v>
      </c>
      <c r="H37" s="1">
        <v>6</v>
      </c>
      <c r="I37" s="1">
        <v>6</v>
      </c>
      <c r="J37" s="1"/>
      <c r="K37" s="1"/>
      <c r="L37" s="1"/>
      <c r="M37" s="1"/>
      <c r="N37" s="1"/>
      <c r="O37" s="5">
        <f t="shared" si="4"/>
        <v>18.5</v>
      </c>
      <c r="P37" s="1"/>
      <c r="S37" s="46">
        <f t="shared" si="0"/>
        <v>3.5</v>
      </c>
      <c r="T37" s="46">
        <f t="shared" si="1"/>
        <v>8</v>
      </c>
      <c r="U37" s="46">
        <f t="shared" si="2"/>
        <v>7</v>
      </c>
      <c r="V37" s="46">
        <f t="shared" si="3"/>
        <v>18.5</v>
      </c>
    </row>
    <row r="38" spans="1:22" x14ac:dyDescent="0.25">
      <c r="A38" s="4">
        <f>Marksheet!B37</f>
        <v>590028933</v>
      </c>
      <c r="B38" s="4" t="str">
        <f>Marksheet!A37</f>
        <v>Aman Barnwal</v>
      </c>
      <c r="C38" s="27" t="b">
        <v>1</v>
      </c>
      <c r="D38" s="1">
        <v>2</v>
      </c>
      <c r="E38" s="1">
        <v>2</v>
      </c>
      <c r="F38" s="1">
        <v>2</v>
      </c>
      <c r="G38" s="1">
        <v>2</v>
      </c>
      <c r="H38" s="1">
        <v>6</v>
      </c>
      <c r="I38" s="1">
        <v>4</v>
      </c>
      <c r="J38" s="1"/>
      <c r="K38" s="1"/>
      <c r="L38" s="1"/>
      <c r="M38" s="1"/>
      <c r="N38" s="1"/>
      <c r="O38" s="5">
        <f t="shared" si="4"/>
        <v>18</v>
      </c>
      <c r="P38" s="1"/>
      <c r="S38" s="46">
        <f t="shared" si="0"/>
        <v>4</v>
      </c>
      <c r="T38" s="46">
        <f t="shared" si="1"/>
        <v>6</v>
      </c>
      <c r="U38" s="46">
        <f t="shared" si="2"/>
        <v>8</v>
      </c>
      <c r="V38" s="46">
        <f t="shared" si="3"/>
        <v>18</v>
      </c>
    </row>
    <row r="39" spans="1:22" x14ac:dyDescent="0.25">
      <c r="A39" s="4">
        <f>Marksheet!B38</f>
        <v>590027859</v>
      </c>
      <c r="B39" s="4" t="str">
        <f>Marksheet!A38</f>
        <v>Ashutosh Shrivastava</v>
      </c>
      <c r="C39" s="27" t="b">
        <v>1</v>
      </c>
      <c r="D39" s="1">
        <v>2</v>
      </c>
      <c r="E39" s="1">
        <v>2</v>
      </c>
      <c r="F39" s="1">
        <v>1.5</v>
      </c>
      <c r="G39" s="1">
        <v>2</v>
      </c>
      <c r="H39" s="1">
        <v>4</v>
      </c>
      <c r="I39" s="1">
        <v>0</v>
      </c>
      <c r="J39" s="1"/>
      <c r="K39" s="1"/>
      <c r="L39" s="1"/>
      <c r="M39" s="1"/>
      <c r="N39" s="1"/>
      <c r="O39" s="5">
        <f t="shared" si="4"/>
        <v>11.5</v>
      </c>
      <c r="P39" s="1"/>
      <c r="S39" s="46">
        <f t="shared" si="0"/>
        <v>4</v>
      </c>
      <c r="T39" s="46">
        <f t="shared" si="1"/>
        <v>2</v>
      </c>
      <c r="U39" s="46">
        <f t="shared" si="2"/>
        <v>5.5</v>
      </c>
      <c r="V39" s="46">
        <f t="shared" si="3"/>
        <v>11.5</v>
      </c>
    </row>
    <row r="40" spans="1:22" x14ac:dyDescent="0.25">
      <c r="A40" s="4">
        <f>Marksheet!B39</f>
        <v>590028682</v>
      </c>
      <c r="B40" s="4" t="str">
        <f>Marksheet!A39</f>
        <v>Ayan Pande</v>
      </c>
      <c r="C40" s="27" t="b">
        <v>1</v>
      </c>
      <c r="D40" s="1">
        <v>2</v>
      </c>
      <c r="E40" s="1">
        <v>1.5</v>
      </c>
      <c r="F40" s="1">
        <v>1</v>
      </c>
      <c r="G40" s="1">
        <v>2</v>
      </c>
      <c r="H40" s="1">
        <v>5</v>
      </c>
      <c r="I40" s="1">
        <v>2</v>
      </c>
      <c r="J40" s="1"/>
      <c r="K40" s="1"/>
      <c r="L40" s="1"/>
      <c r="M40" s="1"/>
      <c r="N40" s="1"/>
      <c r="O40" s="5">
        <f t="shared" si="4"/>
        <v>13.5</v>
      </c>
      <c r="P40" s="1"/>
      <c r="S40" s="46">
        <f t="shared" si="0"/>
        <v>3.5</v>
      </c>
      <c r="T40" s="46">
        <f t="shared" si="1"/>
        <v>4</v>
      </c>
      <c r="U40" s="46">
        <f t="shared" si="2"/>
        <v>6</v>
      </c>
      <c r="V40" s="46">
        <f t="shared" si="3"/>
        <v>13.5</v>
      </c>
    </row>
    <row r="41" spans="1:22" x14ac:dyDescent="0.25">
      <c r="A41" s="4">
        <f>Marksheet!B40</f>
        <v>590023917</v>
      </c>
      <c r="B41" s="4" t="str">
        <f>Marksheet!A40</f>
        <v>Ayush Pratap Singh</v>
      </c>
      <c r="C41" s="27" t="b">
        <v>1</v>
      </c>
      <c r="D41" s="1">
        <v>1</v>
      </c>
      <c r="E41" s="1">
        <v>1.5</v>
      </c>
      <c r="F41" s="1">
        <v>2</v>
      </c>
      <c r="G41" s="1">
        <v>2</v>
      </c>
      <c r="H41" s="1">
        <v>0</v>
      </c>
      <c r="I41" s="1">
        <v>0</v>
      </c>
      <c r="J41" s="1"/>
      <c r="K41" s="1"/>
      <c r="L41" s="1"/>
      <c r="M41" s="1"/>
      <c r="N41" s="1"/>
      <c r="O41" s="5">
        <f t="shared" si="4"/>
        <v>6.5</v>
      </c>
      <c r="P41" s="1"/>
      <c r="S41" s="46">
        <f t="shared" si="0"/>
        <v>2.5</v>
      </c>
      <c r="T41" s="46">
        <f t="shared" si="1"/>
        <v>2</v>
      </c>
      <c r="U41" s="46">
        <f t="shared" si="2"/>
        <v>2</v>
      </c>
      <c r="V41" s="46">
        <f t="shared" si="3"/>
        <v>6.5</v>
      </c>
    </row>
    <row r="42" spans="1:22" x14ac:dyDescent="0.25">
      <c r="A42" s="4">
        <f>Marksheet!B41</f>
        <v>590023785</v>
      </c>
      <c r="B42" s="4" t="str">
        <f>Marksheet!A41</f>
        <v>Gayatri Bhatt</v>
      </c>
      <c r="C42" s="27" t="b">
        <v>0</v>
      </c>
      <c r="D42" s="1">
        <v>2</v>
      </c>
      <c r="E42" s="1">
        <v>2</v>
      </c>
      <c r="F42" s="1">
        <v>2</v>
      </c>
      <c r="G42" s="1">
        <v>2</v>
      </c>
      <c r="H42" s="1">
        <v>6</v>
      </c>
      <c r="I42" s="1">
        <v>6</v>
      </c>
      <c r="J42" s="1"/>
      <c r="K42" s="1"/>
      <c r="L42" s="1"/>
      <c r="M42" s="1"/>
      <c r="N42" s="1"/>
      <c r="O42" s="5">
        <f t="shared" si="4"/>
        <v>0</v>
      </c>
      <c r="P42" s="1"/>
      <c r="S42" s="46">
        <f t="shared" si="0"/>
        <v>4</v>
      </c>
      <c r="T42" s="46">
        <f t="shared" si="1"/>
        <v>8</v>
      </c>
      <c r="U42" s="46">
        <f t="shared" si="2"/>
        <v>8</v>
      </c>
      <c r="V42" s="46">
        <f t="shared" si="3"/>
        <v>20</v>
      </c>
    </row>
    <row r="43" spans="1:22" x14ac:dyDescent="0.25">
      <c r="A43" s="4">
        <f>Marksheet!B42</f>
        <v>590029264</v>
      </c>
      <c r="B43" s="4" t="str">
        <f>Marksheet!A42</f>
        <v>Harsh Mudgal</v>
      </c>
      <c r="C43" s="27" t="b">
        <v>1</v>
      </c>
      <c r="D43" s="1">
        <v>1</v>
      </c>
      <c r="E43" s="1">
        <v>0</v>
      </c>
      <c r="F43" s="1">
        <v>2</v>
      </c>
      <c r="G43" s="1">
        <v>0</v>
      </c>
      <c r="H43" s="1">
        <v>0</v>
      </c>
      <c r="I43" s="1">
        <v>0</v>
      </c>
      <c r="J43" s="1"/>
      <c r="K43" s="1"/>
      <c r="L43" s="1"/>
      <c r="M43" s="1"/>
      <c r="N43" s="1"/>
      <c r="O43" s="5">
        <f t="shared" si="4"/>
        <v>3</v>
      </c>
      <c r="P43" s="1"/>
      <c r="S43" s="46">
        <f t="shared" si="0"/>
        <v>1</v>
      </c>
      <c r="T43" s="46">
        <f t="shared" si="1"/>
        <v>0</v>
      </c>
      <c r="U43" s="46">
        <f t="shared" si="2"/>
        <v>2</v>
      </c>
      <c r="V43" s="46">
        <f t="shared" si="3"/>
        <v>3</v>
      </c>
    </row>
    <row r="44" spans="1:22" x14ac:dyDescent="0.25">
      <c r="A44" s="4">
        <f>Marksheet!B43</f>
        <v>590029042</v>
      </c>
      <c r="B44" s="4" t="str">
        <f>Marksheet!A43</f>
        <v>Kanan Nidhania</v>
      </c>
      <c r="C44" s="27" t="b">
        <v>0</v>
      </c>
      <c r="D44" s="1">
        <v>2</v>
      </c>
      <c r="E44" s="1">
        <v>2</v>
      </c>
      <c r="F44" s="1">
        <v>2</v>
      </c>
      <c r="G44" s="1">
        <v>2</v>
      </c>
      <c r="H44" s="1">
        <v>6</v>
      </c>
      <c r="I44" s="1">
        <v>6</v>
      </c>
      <c r="J44" s="1"/>
      <c r="K44" s="1"/>
      <c r="L44" s="1"/>
      <c r="M44" s="1"/>
      <c r="N44" s="1"/>
      <c r="O44" s="5">
        <f t="shared" si="4"/>
        <v>0</v>
      </c>
      <c r="P44" s="1"/>
      <c r="S44" s="46">
        <f t="shared" si="0"/>
        <v>4</v>
      </c>
      <c r="T44" s="46">
        <f t="shared" si="1"/>
        <v>8</v>
      </c>
      <c r="U44" s="46">
        <f t="shared" si="2"/>
        <v>8</v>
      </c>
      <c r="V44" s="46">
        <f t="shared" si="3"/>
        <v>20</v>
      </c>
    </row>
    <row r="45" spans="1:22" x14ac:dyDescent="0.25">
      <c r="A45" s="4">
        <f>Marksheet!B44</f>
        <v>590029336</v>
      </c>
      <c r="B45" s="4" t="str">
        <f>Marksheet!A44</f>
        <v>Kanishka Diwakar</v>
      </c>
      <c r="C45" s="27" t="b">
        <v>1</v>
      </c>
      <c r="D45" s="1">
        <v>1.5</v>
      </c>
      <c r="E45" s="1">
        <v>1</v>
      </c>
      <c r="F45" s="1">
        <v>2</v>
      </c>
      <c r="G45" s="1">
        <v>2</v>
      </c>
      <c r="H45" s="1">
        <v>6</v>
      </c>
      <c r="I45" s="1">
        <v>2</v>
      </c>
      <c r="J45" s="1"/>
      <c r="K45" s="1"/>
      <c r="L45" s="1"/>
      <c r="M45" s="1"/>
      <c r="N45" s="1"/>
      <c r="O45" s="5">
        <f t="shared" si="4"/>
        <v>14.5</v>
      </c>
      <c r="P45" s="1"/>
      <c r="S45" s="46">
        <f t="shared" si="0"/>
        <v>2.5</v>
      </c>
      <c r="T45" s="46">
        <f t="shared" si="1"/>
        <v>4</v>
      </c>
      <c r="U45" s="46">
        <f t="shared" si="2"/>
        <v>8</v>
      </c>
      <c r="V45" s="46">
        <f t="shared" si="3"/>
        <v>14.5</v>
      </c>
    </row>
    <row r="46" spans="1:22" x14ac:dyDescent="0.25">
      <c r="A46" s="4">
        <f>Marksheet!B45</f>
        <v>590029233</v>
      </c>
      <c r="B46" s="4" t="str">
        <f>Marksheet!A45</f>
        <v>Keshav Chahda</v>
      </c>
      <c r="C46" s="27" t="b">
        <v>1</v>
      </c>
      <c r="D46" s="1">
        <v>1</v>
      </c>
      <c r="E46" s="1">
        <v>1</v>
      </c>
      <c r="F46" s="1">
        <v>0</v>
      </c>
      <c r="G46" s="1">
        <v>2</v>
      </c>
      <c r="H46" s="1">
        <v>0</v>
      </c>
      <c r="I46" s="1">
        <v>0</v>
      </c>
      <c r="J46" s="1"/>
      <c r="K46" s="1"/>
      <c r="L46" s="1"/>
      <c r="M46" s="1"/>
      <c r="N46" s="1"/>
      <c r="O46" s="5">
        <f t="shared" si="4"/>
        <v>4</v>
      </c>
      <c r="P46" s="1"/>
      <c r="S46" s="46">
        <f t="shared" si="0"/>
        <v>2</v>
      </c>
      <c r="T46" s="46">
        <f t="shared" si="1"/>
        <v>2</v>
      </c>
      <c r="U46" s="46">
        <f t="shared" si="2"/>
        <v>0</v>
      </c>
      <c r="V46" s="46">
        <f t="shared" si="3"/>
        <v>4</v>
      </c>
    </row>
    <row r="47" spans="1:22" x14ac:dyDescent="0.25">
      <c r="A47" s="4">
        <f>Marksheet!B46</f>
        <v>590029328</v>
      </c>
      <c r="B47" s="4" t="str">
        <f>Marksheet!A46</f>
        <v>Lakshay Dhanda</v>
      </c>
      <c r="C47" s="27" t="b">
        <v>1</v>
      </c>
      <c r="D47" s="1">
        <v>1.5</v>
      </c>
      <c r="E47" s="1">
        <v>2</v>
      </c>
      <c r="F47" s="1">
        <v>1</v>
      </c>
      <c r="G47" s="1">
        <v>2</v>
      </c>
      <c r="H47" s="1">
        <v>6</v>
      </c>
      <c r="I47" s="1">
        <v>2</v>
      </c>
      <c r="J47" s="1"/>
      <c r="K47" s="1"/>
      <c r="L47" s="1"/>
      <c r="M47" s="1"/>
      <c r="N47" s="1"/>
      <c r="O47" s="5">
        <f t="shared" si="4"/>
        <v>14.5</v>
      </c>
      <c r="P47" s="1"/>
      <c r="S47" s="46">
        <f t="shared" si="0"/>
        <v>3.5</v>
      </c>
      <c r="T47" s="46">
        <f t="shared" si="1"/>
        <v>4</v>
      </c>
      <c r="U47" s="46">
        <f t="shared" si="2"/>
        <v>7</v>
      </c>
      <c r="V47" s="46">
        <f t="shared" si="3"/>
        <v>14.5</v>
      </c>
    </row>
    <row r="48" spans="1:22" x14ac:dyDescent="0.25">
      <c r="A48" s="4">
        <f>Marksheet!B47</f>
        <v>590028608</v>
      </c>
      <c r="B48" s="4" t="str">
        <f>Marksheet!A47</f>
        <v>Lakshya Singh</v>
      </c>
      <c r="C48" s="27" t="b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1">
        <v>0</v>
      </c>
      <c r="J48" s="1"/>
      <c r="K48" s="1"/>
      <c r="L48" s="1"/>
      <c r="M48" s="1"/>
      <c r="N48" s="1"/>
      <c r="O48" s="5">
        <f t="shared" si="4"/>
        <v>7</v>
      </c>
      <c r="P48" s="1"/>
      <c r="S48" s="46">
        <f t="shared" si="0"/>
        <v>2</v>
      </c>
      <c r="T48" s="46">
        <f t="shared" si="1"/>
        <v>1</v>
      </c>
      <c r="U48" s="46">
        <f t="shared" si="2"/>
        <v>4</v>
      </c>
      <c r="V48" s="46">
        <f t="shared" si="3"/>
        <v>7</v>
      </c>
    </row>
    <row r="49" spans="1:22" x14ac:dyDescent="0.25">
      <c r="A49" s="4">
        <f>Marksheet!B48</f>
        <v>590028605</v>
      </c>
      <c r="B49" s="4" t="str">
        <f>Marksheet!A48</f>
        <v>Mayank Chand Ramola</v>
      </c>
      <c r="C49" s="27" t="b">
        <v>1</v>
      </c>
      <c r="D49" s="1">
        <v>1.5</v>
      </c>
      <c r="E49" s="1">
        <v>2</v>
      </c>
      <c r="F49" s="1">
        <v>1</v>
      </c>
      <c r="G49" s="1">
        <v>2</v>
      </c>
      <c r="H49" s="1">
        <v>6</v>
      </c>
      <c r="I49" s="1">
        <v>2</v>
      </c>
      <c r="J49" s="1"/>
      <c r="K49" s="1"/>
      <c r="L49" s="1"/>
      <c r="M49" s="1"/>
      <c r="N49" s="1"/>
      <c r="O49" s="5">
        <f t="shared" si="4"/>
        <v>14.5</v>
      </c>
      <c r="P49" s="1"/>
      <c r="S49" s="46">
        <f t="shared" si="0"/>
        <v>3.5</v>
      </c>
      <c r="T49" s="46">
        <f t="shared" si="1"/>
        <v>4</v>
      </c>
      <c r="U49" s="46">
        <f t="shared" si="2"/>
        <v>7</v>
      </c>
      <c r="V49" s="46">
        <f t="shared" si="3"/>
        <v>14.5</v>
      </c>
    </row>
    <row r="50" spans="1:22" x14ac:dyDescent="0.25">
      <c r="A50" s="4">
        <f>Marksheet!B49</f>
        <v>590026626</v>
      </c>
      <c r="B50" s="4" t="str">
        <f>Marksheet!A49</f>
        <v>Mukesh Patel</v>
      </c>
      <c r="C50" s="27" t="b">
        <v>0</v>
      </c>
      <c r="D50" s="1">
        <v>2</v>
      </c>
      <c r="E50" s="1">
        <v>2</v>
      </c>
      <c r="F50" s="1">
        <v>2</v>
      </c>
      <c r="G50" s="1">
        <v>2</v>
      </c>
      <c r="H50" s="1">
        <v>6</v>
      </c>
      <c r="I50" s="1">
        <v>6</v>
      </c>
      <c r="J50" s="1"/>
      <c r="K50" s="1"/>
      <c r="L50" s="1"/>
      <c r="M50" s="1"/>
      <c r="N50" s="1"/>
      <c r="O50" s="5">
        <f t="shared" si="4"/>
        <v>0</v>
      </c>
      <c r="P50" s="1"/>
      <c r="S50" s="46">
        <f t="shared" si="0"/>
        <v>4</v>
      </c>
      <c r="T50" s="46">
        <f t="shared" si="1"/>
        <v>8</v>
      </c>
      <c r="U50" s="46">
        <f t="shared" si="2"/>
        <v>8</v>
      </c>
      <c r="V50" s="46">
        <f t="shared" si="3"/>
        <v>20</v>
      </c>
    </row>
    <row r="51" spans="1:22" x14ac:dyDescent="0.25">
      <c r="A51" s="4">
        <f>Marksheet!B50</f>
        <v>590029310</v>
      </c>
      <c r="B51" s="4" t="str">
        <f>Marksheet!A50</f>
        <v>Nipun Singh</v>
      </c>
      <c r="C51" s="27" t="b">
        <v>1</v>
      </c>
      <c r="D51" s="1">
        <v>2</v>
      </c>
      <c r="E51" s="1">
        <v>1.5</v>
      </c>
      <c r="F51" s="1">
        <v>2</v>
      </c>
      <c r="G51" s="1">
        <v>2</v>
      </c>
      <c r="H51" s="1">
        <v>6</v>
      </c>
      <c r="I51" s="1">
        <v>6</v>
      </c>
      <c r="J51" s="1"/>
      <c r="K51" s="1"/>
      <c r="L51" s="1"/>
      <c r="M51" s="1"/>
      <c r="N51" s="1"/>
      <c r="O51" s="5">
        <f t="shared" si="4"/>
        <v>19.5</v>
      </c>
      <c r="P51" s="1"/>
      <c r="S51" s="46">
        <f t="shared" si="0"/>
        <v>3.5</v>
      </c>
      <c r="T51" s="46">
        <f t="shared" si="1"/>
        <v>8</v>
      </c>
      <c r="U51" s="46">
        <f t="shared" si="2"/>
        <v>8</v>
      </c>
      <c r="V51" s="46">
        <f t="shared" si="3"/>
        <v>19.5</v>
      </c>
    </row>
    <row r="52" spans="1:22" x14ac:dyDescent="0.25">
      <c r="A52" s="4">
        <f>Marksheet!B51</f>
        <v>590029319</v>
      </c>
      <c r="B52" s="4" t="str">
        <f>Marksheet!A51</f>
        <v>Paras Bhall</v>
      </c>
      <c r="C52" s="27" t="b">
        <v>1</v>
      </c>
      <c r="D52" s="1">
        <v>2</v>
      </c>
      <c r="E52" s="1">
        <v>1</v>
      </c>
      <c r="F52" s="1">
        <v>2</v>
      </c>
      <c r="G52" s="1">
        <v>2</v>
      </c>
      <c r="H52" s="1">
        <v>5</v>
      </c>
      <c r="I52" s="1">
        <v>5</v>
      </c>
      <c r="J52" s="1"/>
      <c r="K52" s="1"/>
      <c r="L52" s="1"/>
      <c r="M52" s="1"/>
      <c r="N52" s="1"/>
      <c r="O52" s="5">
        <f t="shared" si="4"/>
        <v>17</v>
      </c>
      <c r="P52" s="1"/>
      <c r="S52" s="46">
        <f t="shared" si="0"/>
        <v>3</v>
      </c>
      <c r="T52" s="46">
        <f t="shared" si="1"/>
        <v>7</v>
      </c>
      <c r="U52" s="46">
        <f t="shared" si="2"/>
        <v>7</v>
      </c>
      <c r="V52" s="46">
        <f t="shared" si="3"/>
        <v>17</v>
      </c>
    </row>
    <row r="53" spans="1:22" x14ac:dyDescent="0.25">
      <c r="A53" s="4">
        <f>Marksheet!B52</f>
        <v>590029339</v>
      </c>
      <c r="B53" s="4" t="str">
        <f>Marksheet!A52</f>
        <v>Raghav Kumar Goyal</v>
      </c>
      <c r="C53" s="27" t="b">
        <v>0</v>
      </c>
      <c r="D53" s="1">
        <v>2</v>
      </c>
      <c r="E53" s="1">
        <v>2</v>
      </c>
      <c r="F53" s="1">
        <v>2</v>
      </c>
      <c r="G53" s="1">
        <v>2</v>
      </c>
      <c r="H53" s="1">
        <v>6</v>
      </c>
      <c r="I53" s="1">
        <v>6</v>
      </c>
      <c r="J53" s="1"/>
      <c r="K53" s="1"/>
      <c r="L53" s="1"/>
      <c r="M53" s="1"/>
      <c r="N53" s="1"/>
      <c r="O53" s="5">
        <f t="shared" si="4"/>
        <v>0</v>
      </c>
      <c r="P53" s="1"/>
      <c r="S53" s="46">
        <f t="shared" si="0"/>
        <v>4</v>
      </c>
      <c r="T53" s="46">
        <f t="shared" si="1"/>
        <v>8</v>
      </c>
      <c r="U53" s="46">
        <f t="shared" si="2"/>
        <v>8</v>
      </c>
      <c r="V53" s="46">
        <f t="shared" si="3"/>
        <v>20</v>
      </c>
    </row>
    <row r="54" spans="1:22" x14ac:dyDescent="0.25">
      <c r="A54" s="4">
        <f>Marksheet!B53</f>
        <v>590029148</v>
      </c>
      <c r="B54" s="4" t="str">
        <f>Marksheet!A53</f>
        <v>Rahul</v>
      </c>
      <c r="C54" s="27" t="b">
        <v>1</v>
      </c>
      <c r="D54" s="1">
        <v>2</v>
      </c>
      <c r="E54" s="1">
        <v>1</v>
      </c>
      <c r="F54" s="1">
        <v>2</v>
      </c>
      <c r="G54" s="1">
        <v>2</v>
      </c>
      <c r="H54" s="1">
        <v>6</v>
      </c>
      <c r="I54" s="1">
        <v>5</v>
      </c>
      <c r="J54" s="1"/>
      <c r="K54" s="1"/>
      <c r="L54" s="1"/>
      <c r="M54" s="1"/>
      <c r="N54" s="1"/>
      <c r="O54" s="5">
        <f t="shared" si="4"/>
        <v>18</v>
      </c>
      <c r="P54" s="1"/>
      <c r="S54" s="46">
        <f t="shared" si="0"/>
        <v>3</v>
      </c>
      <c r="T54" s="46">
        <f t="shared" si="1"/>
        <v>7</v>
      </c>
      <c r="U54" s="46">
        <f t="shared" si="2"/>
        <v>8</v>
      </c>
      <c r="V54" s="46">
        <f t="shared" si="3"/>
        <v>18</v>
      </c>
    </row>
    <row r="55" spans="1:22" x14ac:dyDescent="0.25">
      <c r="A55" s="4">
        <f>Marksheet!B54</f>
        <v>590029309</v>
      </c>
      <c r="B55" s="4" t="str">
        <f>Marksheet!A54</f>
        <v>Rahul Singh</v>
      </c>
      <c r="C55" s="27" t="b">
        <v>1</v>
      </c>
      <c r="D55" s="1">
        <v>1.5</v>
      </c>
      <c r="E55" s="1">
        <v>2</v>
      </c>
      <c r="F55" s="1">
        <v>2</v>
      </c>
      <c r="G55" s="1">
        <v>2</v>
      </c>
      <c r="H55" s="1">
        <v>6</v>
      </c>
      <c r="I55" s="1">
        <v>6</v>
      </c>
      <c r="J55" s="1"/>
      <c r="K55" s="1"/>
      <c r="L55" s="1"/>
      <c r="M55" s="1"/>
      <c r="N55" s="1"/>
      <c r="O55" s="5">
        <f t="shared" si="4"/>
        <v>19.5</v>
      </c>
      <c r="P55" s="1"/>
      <c r="S55" s="46">
        <f t="shared" si="0"/>
        <v>3.5</v>
      </c>
      <c r="T55" s="46">
        <f t="shared" si="1"/>
        <v>8</v>
      </c>
      <c r="U55" s="46">
        <f t="shared" si="2"/>
        <v>8</v>
      </c>
      <c r="V55" s="46">
        <f t="shared" si="3"/>
        <v>19.5</v>
      </c>
    </row>
    <row r="56" spans="1:22" x14ac:dyDescent="0.25">
      <c r="A56" s="4">
        <f>Marksheet!B55</f>
        <v>590028838</v>
      </c>
      <c r="B56" s="4" t="str">
        <f>Marksheet!A55</f>
        <v>Satyam Singh</v>
      </c>
      <c r="C56" s="27" t="b">
        <v>1</v>
      </c>
      <c r="D56" s="1">
        <v>1.5</v>
      </c>
      <c r="E56" s="1">
        <v>1</v>
      </c>
      <c r="F56" s="1">
        <v>1</v>
      </c>
      <c r="G56" s="1">
        <v>1.5</v>
      </c>
      <c r="H56" s="1">
        <v>6</v>
      </c>
      <c r="I56" s="1">
        <v>2</v>
      </c>
      <c r="J56" s="1"/>
      <c r="K56" s="1"/>
      <c r="L56" s="1"/>
      <c r="M56" s="1"/>
      <c r="N56" s="1"/>
      <c r="O56" s="5">
        <f t="shared" si="4"/>
        <v>13</v>
      </c>
      <c r="P56" s="1"/>
      <c r="S56" s="46">
        <f t="shared" si="0"/>
        <v>2.5</v>
      </c>
      <c r="T56" s="46">
        <f t="shared" si="1"/>
        <v>3.5</v>
      </c>
      <c r="U56" s="46">
        <f t="shared" si="2"/>
        <v>7</v>
      </c>
      <c r="V56" s="46">
        <f t="shared" si="3"/>
        <v>13</v>
      </c>
    </row>
    <row r="57" spans="1:22" x14ac:dyDescent="0.25">
      <c r="A57" s="4">
        <f>Marksheet!B56</f>
        <v>590029107</v>
      </c>
      <c r="B57" s="4" t="str">
        <f>Marksheet!A56</f>
        <v>Shashwat Agrawal</v>
      </c>
      <c r="C57" s="27" t="b">
        <v>0</v>
      </c>
      <c r="D57" s="1">
        <v>2</v>
      </c>
      <c r="E57" s="1">
        <v>2</v>
      </c>
      <c r="F57" s="1">
        <v>2</v>
      </c>
      <c r="G57" s="1">
        <v>2</v>
      </c>
      <c r="H57" s="1">
        <v>6</v>
      </c>
      <c r="I57" s="1">
        <v>6</v>
      </c>
      <c r="J57" s="1"/>
      <c r="K57" s="1"/>
      <c r="L57" s="1"/>
      <c r="M57" s="1"/>
      <c r="N57" s="1"/>
      <c r="O57" s="5">
        <f t="shared" si="4"/>
        <v>0</v>
      </c>
      <c r="P57" s="1"/>
      <c r="S57" s="46">
        <f t="shared" si="0"/>
        <v>4</v>
      </c>
      <c r="T57" s="46">
        <f t="shared" si="1"/>
        <v>8</v>
      </c>
      <c r="U57" s="46">
        <f t="shared" si="2"/>
        <v>8</v>
      </c>
      <c r="V57" s="46">
        <f t="shared" si="3"/>
        <v>20</v>
      </c>
    </row>
    <row r="58" spans="1:22" x14ac:dyDescent="0.25">
      <c r="A58" s="4">
        <f>Marksheet!B57</f>
        <v>590029266</v>
      </c>
      <c r="B58" s="4" t="str">
        <f>Marksheet!A57</f>
        <v>Siddhant Gurung</v>
      </c>
      <c r="C58" s="27" t="b">
        <v>0</v>
      </c>
      <c r="D58" s="1">
        <v>2</v>
      </c>
      <c r="E58" s="1">
        <v>2</v>
      </c>
      <c r="F58" s="1">
        <v>2</v>
      </c>
      <c r="G58" s="1">
        <v>2</v>
      </c>
      <c r="H58" s="1">
        <v>6</v>
      </c>
      <c r="I58" s="1">
        <v>6</v>
      </c>
      <c r="J58" s="1"/>
      <c r="K58" s="1"/>
      <c r="L58" s="1"/>
      <c r="M58" s="1"/>
      <c r="N58" s="1"/>
      <c r="O58" s="5">
        <f t="shared" si="4"/>
        <v>0</v>
      </c>
      <c r="P58" s="1"/>
      <c r="S58" s="46">
        <f t="shared" si="0"/>
        <v>4</v>
      </c>
      <c r="T58" s="46">
        <f t="shared" si="1"/>
        <v>8</v>
      </c>
      <c r="U58" s="46">
        <f t="shared" si="2"/>
        <v>8</v>
      </c>
      <c r="V58" s="46">
        <f t="shared" si="3"/>
        <v>20</v>
      </c>
    </row>
    <row r="59" spans="1:22" x14ac:dyDescent="0.25">
      <c r="A59" s="4">
        <f>Marksheet!B58</f>
        <v>590029354</v>
      </c>
      <c r="B59" s="4" t="str">
        <f>Marksheet!A58</f>
        <v>Simarjot Kaur Gill</v>
      </c>
      <c r="C59" s="27" t="b">
        <v>1</v>
      </c>
      <c r="D59" s="1">
        <v>1.5</v>
      </c>
      <c r="E59" s="1">
        <v>2</v>
      </c>
      <c r="F59" s="1">
        <v>1</v>
      </c>
      <c r="G59" s="1">
        <v>2</v>
      </c>
      <c r="H59" s="1">
        <v>6</v>
      </c>
      <c r="I59" s="1">
        <v>2</v>
      </c>
      <c r="J59" s="1"/>
      <c r="K59" s="1"/>
      <c r="L59" s="1"/>
      <c r="M59" s="1"/>
      <c r="N59" s="1"/>
      <c r="O59" s="5">
        <f t="shared" si="4"/>
        <v>14.5</v>
      </c>
      <c r="P59" s="1"/>
      <c r="S59" s="46">
        <f t="shared" si="0"/>
        <v>3.5</v>
      </c>
      <c r="T59" s="46">
        <f t="shared" si="1"/>
        <v>4</v>
      </c>
      <c r="U59" s="46">
        <f t="shared" si="2"/>
        <v>7</v>
      </c>
      <c r="V59" s="46">
        <f t="shared" si="3"/>
        <v>14.5</v>
      </c>
    </row>
    <row r="60" spans="1:22" x14ac:dyDescent="0.25">
      <c r="A60" s="4">
        <f>Marksheet!B59</f>
        <v>590029349</v>
      </c>
      <c r="B60" s="4" t="str">
        <f>Marksheet!A59</f>
        <v>Tanishq Bansal</v>
      </c>
      <c r="C60" s="27" t="b">
        <v>1</v>
      </c>
      <c r="D60" s="1">
        <v>1.5</v>
      </c>
      <c r="E60" s="1">
        <v>1.5</v>
      </c>
      <c r="F60" s="1">
        <v>1.5</v>
      </c>
      <c r="G60" s="1">
        <v>2</v>
      </c>
      <c r="H60" s="1">
        <v>6</v>
      </c>
      <c r="I60" s="1">
        <v>2</v>
      </c>
      <c r="J60" s="1"/>
      <c r="K60" s="1"/>
      <c r="L60" s="1"/>
      <c r="M60" s="1"/>
      <c r="N60" s="1"/>
      <c r="O60" s="5">
        <f t="shared" si="4"/>
        <v>14.5</v>
      </c>
      <c r="P60" s="1"/>
      <c r="S60" s="46">
        <f t="shared" si="0"/>
        <v>3</v>
      </c>
      <c r="T60" s="46">
        <f t="shared" si="1"/>
        <v>4</v>
      </c>
      <c r="U60" s="46">
        <f t="shared" si="2"/>
        <v>7.5</v>
      </c>
      <c r="V60" s="46">
        <f t="shared" si="3"/>
        <v>14.5</v>
      </c>
    </row>
    <row r="61" spans="1:22" x14ac:dyDescent="0.25">
      <c r="A61" s="4">
        <f>Marksheet!B60</f>
        <v>590029302</v>
      </c>
      <c r="B61" s="4" t="str">
        <f>Marksheet!A60</f>
        <v>Tanmay Amit Verma</v>
      </c>
      <c r="C61" s="27" t="b">
        <v>1</v>
      </c>
      <c r="D61" s="1">
        <v>2</v>
      </c>
      <c r="E61" s="1">
        <v>1.5</v>
      </c>
      <c r="F61" s="1">
        <v>2</v>
      </c>
      <c r="G61" s="1">
        <v>2</v>
      </c>
      <c r="H61" s="1">
        <v>3</v>
      </c>
      <c r="I61" s="1">
        <v>5</v>
      </c>
      <c r="J61" s="1"/>
      <c r="K61" s="1"/>
      <c r="L61" s="1"/>
      <c r="M61" s="1"/>
      <c r="N61" s="1"/>
      <c r="O61" s="5">
        <f t="shared" si="4"/>
        <v>15.5</v>
      </c>
      <c r="P61" s="1"/>
      <c r="S61" s="46">
        <f t="shared" si="0"/>
        <v>3.5</v>
      </c>
      <c r="T61" s="46">
        <f t="shared" si="1"/>
        <v>7</v>
      </c>
      <c r="U61" s="46">
        <f t="shared" si="2"/>
        <v>5</v>
      </c>
      <c r="V61" s="46">
        <f t="shared" si="3"/>
        <v>15.5</v>
      </c>
    </row>
    <row r="62" spans="1:22" x14ac:dyDescent="0.25">
      <c r="A62" s="4">
        <f>Marksheet!B61</f>
        <v>590029262</v>
      </c>
      <c r="B62" s="4" t="str">
        <f>Marksheet!A61</f>
        <v>Vandana Yadav</v>
      </c>
      <c r="C62" s="27" t="b">
        <v>1</v>
      </c>
      <c r="D62" s="1">
        <v>1.5</v>
      </c>
      <c r="E62" s="1">
        <v>2</v>
      </c>
      <c r="F62" s="1">
        <v>2</v>
      </c>
      <c r="G62" s="1">
        <v>2</v>
      </c>
      <c r="H62" s="1">
        <v>6</v>
      </c>
      <c r="I62" s="1">
        <v>2</v>
      </c>
      <c r="J62" s="1"/>
      <c r="K62" s="1"/>
      <c r="L62" s="1"/>
      <c r="M62" s="1"/>
      <c r="N62" s="1"/>
      <c r="O62" s="5">
        <f t="shared" si="4"/>
        <v>15.5</v>
      </c>
      <c r="P62" s="1"/>
      <c r="S62" s="46">
        <f t="shared" si="0"/>
        <v>3.5</v>
      </c>
      <c r="T62" s="46">
        <f t="shared" si="1"/>
        <v>4</v>
      </c>
      <c r="U62" s="46">
        <f t="shared" si="2"/>
        <v>8</v>
      </c>
      <c r="V62" s="46">
        <f t="shared" si="3"/>
        <v>15.5</v>
      </c>
    </row>
    <row r="63" spans="1:22" x14ac:dyDescent="0.25">
      <c r="A63" s="4">
        <f>Marksheet!B62</f>
        <v>590029285</v>
      </c>
      <c r="B63" s="4" t="str">
        <f>Marksheet!A62</f>
        <v>Vidit Ahuja</v>
      </c>
      <c r="C63" s="27" t="b">
        <v>1</v>
      </c>
      <c r="D63" s="1">
        <v>1.5</v>
      </c>
      <c r="E63" s="1">
        <v>2</v>
      </c>
      <c r="F63" s="1">
        <v>2</v>
      </c>
      <c r="G63" s="1">
        <v>2</v>
      </c>
      <c r="H63" s="1">
        <v>6</v>
      </c>
      <c r="I63" s="1">
        <v>4</v>
      </c>
      <c r="J63" s="1"/>
      <c r="K63" s="1"/>
      <c r="L63" s="1"/>
      <c r="M63" s="1"/>
      <c r="N63" s="1"/>
      <c r="O63" s="5">
        <f t="shared" si="4"/>
        <v>17.5</v>
      </c>
      <c r="P63" s="1"/>
      <c r="S63" s="46">
        <f t="shared" si="0"/>
        <v>3.5</v>
      </c>
      <c r="T63" s="46">
        <f t="shared" si="1"/>
        <v>6</v>
      </c>
      <c r="U63" s="46">
        <f t="shared" si="2"/>
        <v>8</v>
      </c>
      <c r="V63" s="46">
        <f t="shared" si="3"/>
        <v>17.5</v>
      </c>
    </row>
    <row r="64" spans="1:22" x14ac:dyDescent="0.25">
      <c r="A64" s="4">
        <f>Marksheet!B63</f>
        <v>590029353</v>
      </c>
      <c r="B64" s="4" t="str">
        <f>Marksheet!A63</f>
        <v>Vinit Kumar</v>
      </c>
      <c r="C64" s="27" t="b">
        <v>1</v>
      </c>
      <c r="D64" s="1">
        <v>2</v>
      </c>
      <c r="E64" s="1">
        <v>2</v>
      </c>
      <c r="F64" s="1">
        <v>1</v>
      </c>
      <c r="G64" s="1">
        <v>2</v>
      </c>
      <c r="H64" s="1">
        <v>6</v>
      </c>
      <c r="I64" s="1">
        <v>2</v>
      </c>
      <c r="J64" s="1"/>
      <c r="K64" s="1"/>
      <c r="L64" s="1"/>
      <c r="M64" s="1"/>
      <c r="N64" s="1"/>
      <c r="O64" s="5">
        <f t="shared" si="4"/>
        <v>15</v>
      </c>
      <c r="P64" s="1"/>
      <c r="S64" s="46">
        <f t="shared" si="0"/>
        <v>4</v>
      </c>
      <c r="T64" s="46">
        <f t="shared" si="1"/>
        <v>4</v>
      </c>
      <c r="U64" s="46">
        <f t="shared" si="2"/>
        <v>7</v>
      </c>
      <c r="V64" s="46">
        <f t="shared" si="3"/>
        <v>15</v>
      </c>
    </row>
    <row r="65" spans="1:22" x14ac:dyDescent="0.25">
      <c r="A65" s="4"/>
      <c r="B65" s="4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S65" s="46">
        <f t="shared" si="0"/>
        <v>0</v>
      </c>
      <c r="T65" s="46">
        <f t="shared" si="1"/>
        <v>0</v>
      </c>
      <c r="U65" s="46">
        <f t="shared" si="2"/>
        <v>0</v>
      </c>
      <c r="V65" s="46">
        <f t="shared" si="3"/>
        <v>0</v>
      </c>
    </row>
  </sheetData>
  <autoFilter ref="A4:B64" xr:uid="{0F3EC6E4-73FE-451F-9DA1-2F8671C4541C}"/>
  <mergeCells count="2">
    <mergeCell ref="A1:P1"/>
    <mergeCell ref="A2:P2"/>
  </mergeCells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E662-4892-4710-BFF6-3FF4023021A9}">
  <sheetPr>
    <pageSetUpPr fitToPage="1"/>
  </sheetPr>
  <dimension ref="A1:Q44"/>
  <sheetViews>
    <sheetView topLeftCell="A26" workbookViewId="0">
      <selection activeCell="E4" sqref="E4:E44"/>
    </sheetView>
  </sheetViews>
  <sheetFormatPr defaultRowHeight="15" x14ac:dyDescent="0.25"/>
  <cols>
    <col min="2" max="2" width="26.7109375" customWidth="1"/>
    <col min="3" max="3" width="16.7109375" customWidth="1"/>
    <col min="6" max="9" width="10.42578125" bestFit="1" customWidth="1"/>
  </cols>
  <sheetData>
    <row r="1" spans="1:17" ht="21" customHeight="1" x14ac:dyDescent="0.25">
      <c r="B1" s="49" t="s">
        <v>173</v>
      </c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  <c r="O1" s="43"/>
      <c r="P1" s="43"/>
      <c r="Q1" s="43"/>
    </row>
    <row r="2" spans="1:17" ht="21" customHeight="1" x14ac:dyDescent="0.25">
      <c r="B2" s="45"/>
      <c r="C2" s="45"/>
      <c r="D2" s="45"/>
      <c r="E2" s="45"/>
      <c r="F2" s="49" t="s">
        <v>12</v>
      </c>
      <c r="G2" s="49"/>
      <c r="H2" s="49"/>
      <c r="I2" s="49"/>
      <c r="J2" s="43"/>
      <c r="K2" s="43"/>
      <c r="L2" s="43"/>
      <c r="M2" s="43"/>
      <c r="N2" s="43"/>
      <c r="O2" s="43"/>
      <c r="P2" s="43"/>
      <c r="Q2" s="43"/>
    </row>
    <row r="3" spans="1:17" x14ac:dyDescent="0.25">
      <c r="A3" t="s">
        <v>175</v>
      </c>
      <c r="B3" s="32" t="s">
        <v>138</v>
      </c>
      <c r="C3" s="33" t="s">
        <v>139</v>
      </c>
      <c r="D3" s="33" t="s">
        <v>3</v>
      </c>
      <c r="E3" s="34" t="s">
        <v>11</v>
      </c>
      <c r="F3" s="44">
        <v>46141</v>
      </c>
      <c r="G3" s="44">
        <v>46142</v>
      </c>
      <c r="H3" s="44">
        <v>46143</v>
      </c>
      <c r="I3" s="44">
        <v>46147</v>
      </c>
    </row>
    <row r="4" spans="1:17" x14ac:dyDescent="0.25">
      <c r="A4">
        <v>1</v>
      </c>
      <c r="B4" s="31" t="s">
        <v>18</v>
      </c>
      <c r="C4" s="12">
        <v>590029270</v>
      </c>
      <c r="D4" s="12">
        <v>77</v>
      </c>
      <c r="E4" s="14">
        <v>32</v>
      </c>
      <c r="F4" s="1"/>
      <c r="G4" s="1"/>
      <c r="H4" s="1"/>
      <c r="I4" s="1"/>
    </row>
    <row r="5" spans="1:17" x14ac:dyDescent="0.25">
      <c r="A5">
        <v>2</v>
      </c>
      <c r="B5" s="31" t="s">
        <v>20</v>
      </c>
      <c r="C5" s="12">
        <v>590029204</v>
      </c>
      <c r="D5" s="12">
        <v>77</v>
      </c>
      <c r="E5" s="14">
        <v>29</v>
      </c>
      <c r="F5" s="1"/>
      <c r="G5" s="1"/>
      <c r="H5" s="1"/>
      <c r="I5" s="1"/>
    </row>
    <row r="6" spans="1:17" x14ac:dyDescent="0.25">
      <c r="A6">
        <v>3</v>
      </c>
      <c r="B6" s="31" t="s">
        <v>22</v>
      </c>
      <c r="C6" s="12">
        <v>590029109</v>
      </c>
      <c r="D6" s="12">
        <v>77</v>
      </c>
      <c r="E6" s="14">
        <v>38</v>
      </c>
      <c r="F6" s="1"/>
      <c r="G6" s="1"/>
      <c r="H6" s="1"/>
      <c r="I6" s="1"/>
    </row>
    <row r="7" spans="1:17" x14ac:dyDescent="0.25">
      <c r="A7">
        <v>4</v>
      </c>
      <c r="B7" s="31" t="s">
        <v>26</v>
      </c>
      <c r="C7" s="12">
        <v>590029157</v>
      </c>
      <c r="D7" s="12">
        <v>77</v>
      </c>
      <c r="E7" s="14">
        <v>14</v>
      </c>
      <c r="F7" s="1"/>
      <c r="G7" s="1"/>
      <c r="H7" s="1"/>
      <c r="I7" s="1"/>
    </row>
    <row r="8" spans="1:17" x14ac:dyDescent="0.25">
      <c r="A8">
        <v>5</v>
      </c>
      <c r="B8" s="31" t="s">
        <v>30</v>
      </c>
      <c r="C8" s="12">
        <v>590029274</v>
      </c>
      <c r="D8" s="12">
        <v>77</v>
      </c>
      <c r="E8" s="14">
        <v>8</v>
      </c>
      <c r="F8" s="1"/>
      <c r="G8" s="1"/>
      <c r="H8" s="1"/>
      <c r="I8" s="1"/>
    </row>
    <row r="9" spans="1:17" x14ac:dyDescent="0.25">
      <c r="A9">
        <v>6</v>
      </c>
      <c r="B9" s="31" t="s">
        <v>34</v>
      </c>
      <c r="C9" s="12">
        <v>590029230</v>
      </c>
      <c r="D9" s="12">
        <v>77</v>
      </c>
      <c r="E9" s="14">
        <v>0</v>
      </c>
      <c r="F9" s="1"/>
      <c r="G9" s="1"/>
      <c r="H9" s="1"/>
      <c r="I9" s="1"/>
    </row>
    <row r="10" spans="1:17" x14ac:dyDescent="0.25">
      <c r="A10">
        <v>7</v>
      </c>
      <c r="B10" s="31" t="s">
        <v>36</v>
      </c>
      <c r="C10" s="12">
        <v>590029169</v>
      </c>
      <c r="D10" s="12">
        <v>77</v>
      </c>
      <c r="E10" s="14">
        <v>1</v>
      </c>
      <c r="F10" s="1"/>
      <c r="G10" s="1"/>
      <c r="H10" s="1"/>
      <c r="I10" s="1"/>
    </row>
    <row r="11" spans="1:17" x14ac:dyDescent="0.25">
      <c r="A11">
        <v>8</v>
      </c>
      <c r="B11" s="31" t="s">
        <v>38</v>
      </c>
      <c r="C11" s="12">
        <v>590029112</v>
      </c>
      <c r="D11" s="12">
        <v>77</v>
      </c>
      <c r="E11" s="14">
        <v>35</v>
      </c>
      <c r="F11" s="1"/>
      <c r="G11" s="1"/>
      <c r="H11" s="1"/>
      <c r="I11" s="1"/>
    </row>
    <row r="12" spans="1:17" x14ac:dyDescent="0.25">
      <c r="A12">
        <v>9</v>
      </c>
      <c r="B12" s="31" t="s">
        <v>46</v>
      </c>
      <c r="C12" s="12">
        <v>590029237</v>
      </c>
      <c r="D12" s="12">
        <v>77</v>
      </c>
      <c r="E12" s="14">
        <v>29</v>
      </c>
      <c r="F12" s="1"/>
      <c r="G12" s="1"/>
      <c r="H12" s="1"/>
      <c r="I12" s="1"/>
    </row>
    <row r="13" spans="1:17" x14ac:dyDescent="0.25">
      <c r="A13">
        <v>10</v>
      </c>
      <c r="B13" s="31" t="s">
        <v>48</v>
      </c>
      <c r="C13" s="12">
        <v>590029079</v>
      </c>
      <c r="D13" s="12">
        <v>77</v>
      </c>
      <c r="E13" s="14">
        <v>1</v>
      </c>
      <c r="F13" s="1"/>
      <c r="G13" s="1"/>
      <c r="H13" s="1"/>
      <c r="I13" s="1"/>
    </row>
    <row r="14" spans="1:17" x14ac:dyDescent="0.25">
      <c r="A14">
        <v>11</v>
      </c>
      <c r="B14" s="31" t="s">
        <v>50</v>
      </c>
      <c r="C14" s="12">
        <v>590029145</v>
      </c>
      <c r="D14" s="12">
        <v>77</v>
      </c>
      <c r="E14" s="14">
        <v>23</v>
      </c>
      <c r="F14" s="1"/>
      <c r="G14" s="1"/>
      <c r="H14" s="1"/>
      <c r="I14" s="1"/>
    </row>
    <row r="15" spans="1:17" x14ac:dyDescent="0.25">
      <c r="A15">
        <v>12</v>
      </c>
      <c r="B15" s="31" t="s">
        <v>52</v>
      </c>
      <c r="C15" s="12">
        <v>590029209</v>
      </c>
      <c r="D15" s="12">
        <v>77</v>
      </c>
      <c r="E15" s="14">
        <v>17</v>
      </c>
      <c r="F15" s="1"/>
      <c r="G15" s="1"/>
      <c r="H15" s="1"/>
      <c r="I15" s="1"/>
    </row>
    <row r="16" spans="1:17" x14ac:dyDescent="0.25">
      <c r="A16">
        <v>13</v>
      </c>
      <c r="B16" s="31" t="s">
        <v>54</v>
      </c>
      <c r="C16" s="12">
        <v>590027268</v>
      </c>
      <c r="D16" s="12">
        <v>77</v>
      </c>
      <c r="E16" s="14">
        <v>8</v>
      </c>
      <c r="F16" s="1"/>
      <c r="G16" s="1"/>
      <c r="H16" s="1"/>
      <c r="I16" s="1"/>
    </row>
    <row r="17" spans="1:9" x14ac:dyDescent="0.25">
      <c r="A17">
        <v>14</v>
      </c>
      <c r="B17" s="31" t="s">
        <v>60</v>
      </c>
      <c r="C17" s="12">
        <v>590023855</v>
      </c>
      <c r="D17" s="12">
        <v>77</v>
      </c>
      <c r="E17" s="14">
        <v>29</v>
      </c>
      <c r="F17" s="1"/>
      <c r="G17" s="1"/>
      <c r="H17" s="1"/>
      <c r="I17" s="1"/>
    </row>
    <row r="18" spans="1:9" x14ac:dyDescent="0.25">
      <c r="A18">
        <v>15</v>
      </c>
      <c r="B18" s="31" t="s">
        <v>62</v>
      </c>
      <c r="C18" s="12">
        <v>590029215</v>
      </c>
      <c r="D18" s="12">
        <v>77</v>
      </c>
      <c r="E18" s="14">
        <v>21</v>
      </c>
      <c r="F18" s="1"/>
      <c r="G18" s="1"/>
      <c r="H18" s="1"/>
      <c r="I18" s="1"/>
    </row>
    <row r="19" spans="1:9" x14ac:dyDescent="0.25">
      <c r="A19">
        <v>16</v>
      </c>
      <c r="B19" s="31" t="s">
        <v>64</v>
      </c>
      <c r="C19" s="12">
        <v>590029111</v>
      </c>
      <c r="D19" s="12">
        <v>77</v>
      </c>
      <c r="E19" s="14">
        <v>3</v>
      </c>
      <c r="F19" s="1"/>
      <c r="G19" s="1"/>
      <c r="H19" s="1"/>
      <c r="I19" s="1"/>
    </row>
    <row r="20" spans="1:9" x14ac:dyDescent="0.25">
      <c r="A20">
        <v>17</v>
      </c>
      <c r="B20" s="31" t="s">
        <v>66</v>
      </c>
      <c r="C20" s="12">
        <v>590028683</v>
      </c>
      <c r="D20" s="12">
        <v>77</v>
      </c>
      <c r="E20" s="14">
        <v>23</v>
      </c>
      <c r="F20" s="1"/>
      <c r="G20" s="1"/>
      <c r="H20" s="1"/>
      <c r="I20" s="1"/>
    </row>
    <row r="21" spans="1:9" x14ac:dyDescent="0.25">
      <c r="A21">
        <v>18</v>
      </c>
      <c r="B21" s="31" t="s">
        <v>70</v>
      </c>
      <c r="C21" s="12">
        <v>590029048</v>
      </c>
      <c r="D21" s="12">
        <v>77</v>
      </c>
      <c r="E21" s="14">
        <v>26</v>
      </c>
      <c r="F21" s="1"/>
      <c r="G21" s="1"/>
      <c r="H21" s="1"/>
      <c r="I21" s="1"/>
    </row>
    <row r="22" spans="1:9" x14ac:dyDescent="0.25">
      <c r="A22">
        <v>19</v>
      </c>
      <c r="B22" s="31" t="s">
        <v>74</v>
      </c>
      <c r="C22" s="12">
        <v>590029330</v>
      </c>
      <c r="D22" s="12">
        <v>78</v>
      </c>
      <c r="E22" s="14">
        <v>38</v>
      </c>
      <c r="F22" s="1"/>
      <c r="G22" s="1"/>
      <c r="H22" s="1"/>
      <c r="I22" s="1"/>
    </row>
    <row r="23" spans="1:9" x14ac:dyDescent="0.25">
      <c r="A23">
        <v>20</v>
      </c>
      <c r="B23" s="31" t="s">
        <v>76</v>
      </c>
      <c r="C23" s="12">
        <v>590027630</v>
      </c>
      <c r="D23" s="12">
        <v>78</v>
      </c>
      <c r="E23" s="14">
        <v>0</v>
      </c>
      <c r="F23" s="1"/>
      <c r="G23" s="1"/>
      <c r="H23" s="1"/>
      <c r="I23" s="1"/>
    </row>
    <row r="24" spans="1:9" x14ac:dyDescent="0.25">
      <c r="A24">
        <v>21</v>
      </c>
      <c r="B24" s="31" t="s">
        <v>78</v>
      </c>
      <c r="C24" s="12">
        <v>590029219</v>
      </c>
      <c r="D24" s="12">
        <v>78</v>
      </c>
      <c r="E24" s="14">
        <v>31</v>
      </c>
      <c r="F24" s="1"/>
      <c r="G24" s="1"/>
      <c r="H24" s="1"/>
      <c r="I24" s="1"/>
    </row>
    <row r="25" spans="1:9" x14ac:dyDescent="0.25">
      <c r="A25">
        <v>22</v>
      </c>
      <c r="B25" s="31" t="s">
        <v>82</v>
      </c>
      <c r="C25" s="12">
        <v>590027859</v>
      </c>
      <c r="D25" s="12">
        <v>78</v>
      </c>
      <c r="E25" s="14">
        <v>2</v>
      </c>
      <c r="F25" s="1"/>
      <c r="G25" s="1"/>
      <c r="H25" s="1"/>
      <c r="I25" s="1"/>
    </row>
    <row r="26" spans="1:9" x14ac:dyDescent="0.25">
      <c r="A26">
        <v>23</v>
      </c>
      <c r="B26" s="31" t="s">
        <v>86</v>
      </c>
      <c r="C26" s="12">
        <v>590023917</v>
      </c>
      <c r="D26" s="12">
        <v>78</v>
      </c>
      <c r="E26" s="14">
        <v>4</v>
      </c>
      <c r="F26" s="1"/>
      <c r="G26" s="1"/>
      <c r="H26" s="1"/>
      <c r="I26" s="1"/>
    </row>
    <row r="27" spans="1:9" x14ac:dyDescent="0.25">
      <c r="A27">
        <v>24</v>
      </c>
      <c r="B27" s="31" t="s">
        <v>88</v>
      </c>
      <c r="C27" s="12">
        <v>590023785</v>
      </c>
      <c r="D27" s="12">
        <v>78</v>
      </c>
      <c r="E27" s="14">
        <v>30</v>
      </c>
      <c r="F27" s="1"/>
      <c r="G27" s="1"/>
      <c r="H27" s="1"/>
      <c r="I27" s="1"/>
    </row>
    <row r="28" spans="1:9" x14ac:dyDescent="0.25">
      <c r="A28">
        <v>25</v>
      </c>
      <c r="B28" s="31" t="s">
        <v>90</v>
      </c>
      <c r="C28" s="12">
        <v>590029264</v>
      </c>
      <c r="D28" s="12">
        <v>78</v>
      </c>
      <c r="E28" s="14">
        <v>12</v>
      </c>
      <c r="F28" s="1"/>
      <c r="G28" s="1"/>
      <c r="H28" s="1"/>
      <c r="I28" s="1"/>
    </row>
    <row r="29" spans="1:9" x14ac:dyDescent="0.25">
      <c r="A29">
        <v>26</v>
      </c>
      <c r="B29" s="31" t="s">
        <v>92</v>
      </c>
      <c r="C29" s="12">
        <v>590029042</v>
      </c>
      <c r="D29" s="12">
        <v>78</v>
      </c>
      <c r="E29" s="14">
        <v>0</v>
      </c>
      <c r="F29" s="1"/>
      <c r="G29" s="1"/>
      <c r="H29" s="1"/>
      <c r="I29" s="1"/>
    </row>
    <row r="30" spans="1:9" x14ac:dyDescent="0.25">
      <c r="A30">
        <v>27</v>
      </c>
      <c r="B30" s="31" t="s">
        <v>94</v>
      </c>
      <c r="C30" s="12">
        <v>590029336</v>
      </c>
      <c r="D30" s="12">
        <v>78</v>
      </c>
      <c r="E30" s="14">
        <v>11</v>
      </c>
      <c r="F30" s="1"/>
      <c r="G30" s="1"/>
      <c r="H30" s="1"/>
      <c r="I30" s="1"/>
    </row>
    <row r="31" spans="1:9" x14ac:dyDescent="0.25">
      <c r="A31">
        <v>28</v>
      </c>
      <c r="B31" s="31" t="s">
        <v>96</v>
      </c>
      <c r="C31" s="12">
        <v>590029233</v>
      </c>
      <c r="D31" s="12">
        <v>78</v>
      </c>
      <c r="E31" s="14">
        <v>0</v>
      </c>
      <c r="F31" s="1"/>
      <c r="G31" s="1"/>
      <c r="H31" s="1"/>
      <c r="I31" s="1"/>
    </row>
    <row r="32" spans="1:9" x14ac:dyDescent="0.25">
      <c r="A32">
        <v>29</v>
      </c>
      <c r="B32" s="31" t="s">
        <v>98</v>
      </c>
      <c r="C32" s="12">
        <v>590029328</v>
      </c>
      <c r="D32" s="12">
        <v>78</v>
      </c>
      <c r="E32" s="14">
        <v>10</v>
      </c>
      <c r="F32" s="1"/>
      <c r="G32" s="1"/>
      <c r="H32" s="1"/>
      <c r="I32" s="1"/>
    </row>
    <row r="33" spans="1:9" x14ac:dyDescent="0.25">
      <c r="A33">
        <v>30</v>
      </c>
      <c r="B33" s="31" t="s">
        <v>100</v>
      </c>
      <c r="C33" s="12">
        <v>590028608</v>
      </c>
      <c r="D33" s="12">
        <v>78</v>
      </c>
      <c r="E33" s="14">
        <v>4</v>
      </c>
      <c r="F33" s="1"/>
      <c r="G33" s="1"/>
      <c r="H33" s="1"/>
      <c r="I33" s="1"/>
    </row>
    <row r="34" spans="1:9" x14ac:dyDescent="0.25">
      <c r="A34">
        <v>31</v>
      </c>
      <c r="B34" s="31" t="s">
        <v>102</v>
      </c>
      <c r="C34" s="12">
        <v>590028605</v>
      </c>
      <c r="D34" s="12">
        <v>78</v>
      </c>
      <c r="E34" s="14">
        <v>0</v>
      </c>
      <c r="F34" s="1"/>
      <c r="G34" s="1"/>
      <c r="H34" s="1"/>
      <c r="I34" s="1"/>
    </row>
    <row r="35" spans="1:9" x14ac:dyDescent="0.25">
      <c r="A35">
        <v>32</v>
      </c>
      <c r="B35" s="31" t="s">
        <v>104</v>
      </c>
      <c r="C35" s="12">
        <v>590026626</v>
      </c>
      <c r="D35" s="12">
        <v>78</v>
      </c>
      <c r="E35" s="14">
        <v>0</v>
      </c>
      <c r="F35" s="1"/>
      <c r="G35" s="1"/>
      <c r="H35" s="1"/>
      <c r="I35" s="1"/>
    </row>
    <row r="36" spans="1:9" x14ac:dyDescent="0.25">
      <c r="A36">
        <v>33</v>
      </c>
      <c r="B36" s="31" t="s">
        <v>108</v>
      </c>
      <c r="C36" s="12">
        <v>590029319</v>
      </c>
      <c r="D36" s="12">
        <v>78</v>
      </c>
      <c r="E36" s="14">
        <v>1</v>
      </c>
      <c r="F36" s="1"/>
      <c r="G36" s="1"/>
      <c r="H36" s="1"/>
      <c r="I36" s="1"/>
    </row>
    <row r="37" spans="1:9" x14ac:dyDescent="0.25">
      <c r="A37">
        <v>34</v>
      </c>
      <c r="B37" s="31" t="s">
        <v>110</v>
      </c>
      <c r="C37" s="12">
        <v>590029339</v>
      </c>
      <c r="D37" s="12">
        <v>78</v>
      </c>
      <c r="E37" s="14">
        <v>1</v>
      </c>
      <c r="F37" s="1"/>
      <c r="G37" s="1"/>
      <c r="H37" s="1"/>
      <c r="I37" s="1"/>
    </row>
    <row r="38" spans="1:9" x14ac:dyDescent="0.25">
      <c r="A38">
        <v>35</v>
      </c>
      <c r="B38" s="31" t="s">
        <v>112</v>
      </c>
      <c r="C38" s="12">
        <v>590029148</v>
      </c>
      <c r="D38" s="12">
        <v>78</v>
      </c>
      <c r="E38" s="14">
        <v>17</v>
      </c>
      <c r="F38" s="1"/>
      <c r="G38" s="1"/>
      <c r="H38" s="1"/>
      <c r="I38" s="1"/>
    </row>
    <row r="39" spans="1:9" x14ac:dyDescent="0.25">
      <c r="A39">
        <v>36</v>
      </c>
      <c r="B39" s="31" t="s">
        <v>114</v>
      </c>
      <c r="C39" s="12">
        <v>590029309</v>
      </c>
      <c r="D39" s="12">
        <v>78</v>
      </c>
      <c r="E39" s="14">
        <v>17</v>
      </c>
      <c r="F39" s="1"/>
      <c r="G39" s="1"/>
      <c r="H39" s="1"/>
      <c r="I39" s="1"/>
    </row>
    <row r="40" spans="1:9" x14ac:dyDescent="0.25">
      <c r="A40">
        <v>37</v>
      </c>
      <c r="B40" s="31" t="s">
        <v>116</v>
      </c>
      <c r="C40" s="12">
        <v>590028838</v>
      </c>
      <c r="D40" s="12">
        <v>78</v>
      </c>
      <c r="E40" s="14">
        <v>0</v>
      </c>
      <c r="F40" s="1"/>
      <c r="G40" s="1"/>
      <c r="H40" s="1"/>
      <c r="I40" s="1"/>
    </row>
    <row r="41" spans="1:9" x14ac:dyDescent="0.25">
      <c r="A41">
        <v>38</v>
      </c>
      <c r="B41" s="31" t="s">
        <v>118</v>
      </c>
      <c r="C41" s="12">
        <v>590029107</v>
      </c>
      <c r="D41" s="12">
        <v>78</v>
      </c>
      <c r="E41" s="14">
        <v>22</v>
      </c>
      <c r="F41" s="1"/>
      <c r="G41" s="1"/>
      <c r="H41" s="1"/>
      <c r="I41" s="1"/>
    </row>
    <row r="42" spans="1:9" x14ac:dyDescent="0.25">
      <c r="A42">
        <v>39</v>
      </c>
      <c r="B42" s="31" t="s">
        <v>120</v>
      </c>
      <c r="C42" s="12">
        <v>590029266</v>
      </c>
      <c r="D42" s="12">
        <v>78</v>
      </c>
      <c r="E42" s="14">
        <v>9</v>
      </c>
      <c r="F42" s="1"/>
      <c r="G42" s="1"/>
      <c r="H42" s="1"/>
      <c r="I42" s="1"/>
    </row>
    <row r="43" spans="1:9" x14ac:dyDescent="0.25">
      <c r="A43">
        <v>40</v>
      </c>
      <c r="B43" s="31" t="s">
        <v>124</v>
      </c>
      <c r="C43" s="12">
        <v>590029349</v>
      </c>
      <c r="D43" s="12">
        <v>78</v>
      </c>
      <c r="E43" s="14">
        <v>31</v>
      </c>
      <c r="F43" s="1"/>
      <c r="G43" s="1"/>
      <c r="H43" s="1"/>
      <c r="I43" s="1"/>
    </row>
    <row r="44" spans="1:9" x14ac:dyDescent="0.25">
      <c r="A44">
        <v>41</v>
      </c>
      <c r="B44" s="31" t="s">
        <v>132</v>
      </c>
      <c r="C44" s="12">
        <v>590029353</v>
      </c>
      <c r="D44" s="12">
        <v>78</v>
      </c>
      <c r="E44" s="14">
        <v>13</v>
      </c>
      <c r="F44" s="1"/>
      <c r="G44" s="1"/>
      <c r="H44" s="1"/>
      <c r="I44" s="1"/>
    </row>
  </sheetData>
  <mergeCells count="2">
    <mergeCell ref="B1:I1"/>
    <mergeCell ref="F2:I2"/>
  </mergeCells>
  <pageMargins left="0.7" right="0.7" top="0.75" bottom="0.75" header="0.3" footer="0.3"/>
  <pageSetup paperSize="9" scale="8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DC95-9EC1-40F8-9879-B4182E9CEA89}">
  <dimension ref="A1:F60"/>
  <sheetViews>
    <sheetView workbookViewId="0">
      <selection activeCell="B18" sqref="B18"/>
    </sheetView>
  </sheetViews>
  <sheetFormatPr defaultRowHeight="15" x14ac:dyDescent="0.25"/>
  <cols>
    <col min="1" max="1" width="18.28515625" customWidth="1"/>
    <col min="2" max="2" width="25.85546875" customWidth="1"/>
    <col min="3" max="3" width="20.140625" customWidth="1"/>
    <col min="4" max="4" width="20.7109375" customWidth="1"/>
    <col min="5" max="5" width="11" customWidth="1"/>
    <col min="6" max="6" width="44" customWidth="1"/>
  </cols>
  <sheetData>
    <row r="1" spans="1:6" x14ac:dyDescent="0.25">
      <c r="A1" s="22" t="s">
        <v>2</v>
      </c>
      <c r="B1" s="22" t="s">
        <v>138</v>
      </c>
      <c r="C1" s="22" t="s">
        <v>154</v>
      </c>
      <c r="D1" s="22" t="s">
        <v>155</v>
      </c>
      <c r="E1" s="22" t="s">
        <v>156</v>
      </c>
      <c r="F1" s="22" t="s">
        <v>3</v>
      </c>
    </row>
    <row r="2" spans="1:6" x14ac:dyDescent="0.25">
      <c r="A2" s="22">
        <v>590029330</v>
      </c>
      <c r="B2" s="22" t="s">
        <v>74</v>
      </c>
      <c r="C2" s="22" t="s">
        <v>75</v>
      </c>
      <c r="D2" s="22">
        <v>25010104997</v>
      </c>
      <c r="E2" s="22" t="s">
        <v>157</v>
      </c>
      <c r="F2" s="22" t="s">
        <v>158</v>
      </c>
    </row>
    <row r="3" spans="1:6" hidden="1" x14ac:dyDescent="0.25">
      <c r="A3" s="22">
        <v>590029213</v>
      </c>
      <c r="B3" s="22" t="s">
        <v>16</v>
      </c>
      <c r="C3" s="22" t="s">
        <v>17</v>
      </c>
      <c r="D3" s="22">
        <v>122507103</v>
      </c>
      <c r="E3" s="22" t="s">
        <v>157</v>
      </c>
      <c r="F3" s="22" t="s">
        <v>159</v>
      </c>
    </row>
    <row r="4" spans="1:6" x14ac:dyDescent="0.25">
      <c r="A4" s="22">
        <v>590027630</v>
      </c>
      <c r="B4" s="22" t="s">
        <v>76</v>
      </c>
      <c r="C4" s="22" t="s">
        <v>77</v>
      </c>
      <c r="D4" s="22">
        <v>25010105001</v>
      </c>
      <c r="E4" s="22" t="s">
        <v>157</v>
      </c>
      <c r="F4" s="22" t="s">
        <v>158</v>
      </c>
    </row>
    <row r="5" spans="1:6" hidden="1" x14ac:dyDescent="0.25">
      <c r="A5" s="22">
        <v>590029270</v>
      </c>
      <c r="B5" s="22" t="s">
        <v>18</v>
      </c>
      <c r="C5" s="22" t="s">
        <v>19</v>
      </c>
      <c r="D5" s="22">
        <v>25010104938</v>
      </c>
      <c r="E5" s="22" t="s">
        <v>157</v>
      </c>
      <c r="F5" s="22" t="s">
        <v>159</v>
      </c>
    </row>
    <row r="6" spans="1:6" x14ac:dyDescent="0.25">
      <c r="A6" s="22">
        <v>590029219</v>
      </c>
      <c r="B6" s="22" t="s">
        <v>78</v>
      </c>
      <c r="C6" s="22" t="s">
        <v>79</v>
      </c>
      <c r="D6" s="22">
        <v>25010104956</v>
      </c>
      <c r="E6" s="22" t="s">
        <v>157</v>
      </c>
      <c r="F6" s="22" t="s">
        <v>158</v>
      </c>
    </row>
    <row r="7" spans="1:6" hidden="1" x14ac:dyDescent="0.25">
      <c r="A7" s="22">
        <v>590029204</v>
      </c>
      <c r="B7" s="22" t="s">
        <v>20</v>
      </c>
      <c r="C7" s="22" t="s">
        <v>21</v>
      </c>
      <c r="D7" s="22">
        <v>25010104918</v>
      </c>
      <c r="E7" s="22" t="s">
        <v>157</v>
      </c>
      <c r="F7" s="22" t="s">
        <v>159</v>
      </c>
    </row>
    <row r="8" spans="1:6" hidden="1" x14ac:dyDescent="0.25">
      <c r="A8" s="22">
        <v>590029109</v>
      </c>
      <c r="B8" s="22" t="s">
        <v>22</v>
      </c>
      <c r="C8" s="22" t="s">
        <v>23</v>
      </c>
      <c r="D8" s="22">
        <v>25010104943</v>
      </c>
      <c r="E8" s="22" t="s">
        <v>157</v>
      </c>
      <c r="F8" s="22" t="s">
        <v>159</v>
      </c>
    </row>
    <row r="9" spans="1:6" x14ac:dyDescent="0.25">
      <c r="A9" s="22">
        <v>590028933</v>
      </c>
      <c r="B9" s="22" t="s">
        <v>80</v>
      </c>
      <c r="C9" s="22" t="s">
        <v>81</v>
      </c>
      <c r="D9" s="22">
        <v>25010104948</v>
      </c>
      <c r="E9" s="22" t="s">
        <v>157</v>
      </c>
      <c r="F9" s="22" t="s">
        <v>158</v>
      </c>
    </row>
    <row r="10" spans="1:6" hidden="1" x14ac:dyDescent="0.25">
      <c r="A10" s="22">
        <v>590029070</v>
      </c>
      <c r="B10" s="22" t="s">
        <v>24</v>
      </c>
      <c r="C10" s="22" t="s">
        <v>25</v>
      </c>
      <c r="D10" s="22">
        <v>25010104926</v>
      </c>
      <c r="E10" s="22" t="s">
        <v>157</v>
      </c>
      <c r="F10" s="22" t="s">
        <v>159</v>
      </c>
    </row>
    <row r="11" spans="1:6" x14ac:dyDescent="0.25">
      <c r="A11" s="22">
        <v>590027859</v>
      </c>
      <c r="B11" s="22" t="s">
        <v>82</v>
      </c>
      <c r="C11" s="22" t="s">
        <v>83</v>
      </c>
      <c r="D11" s="22">
        <v>25010104974</v>
      </c>
      <c r="E11" s="22" t="s">
        <v>157</v>
      </c>
      <c r="F11" s="22" t="s">
        <v>158</v>
      </c>
    </row>
    <row r="12" spans="1:6" hidden="1" x14ac:dyDescent="0.25">
      <c r="A12" s="22">
        <v>590029157</v>
      </c>
      <c r="B12" s="22" t="s">
        <v>26</v>
      </c>
      <c r="C12" s="22" t="s">
        <v>27</v>
      </c>
      <c r="D12" s="22">
        <v>25010104890</v>
      </c>
      <c r="E12" s="22" t="s">
        <v>157</v>
      </c>
      <c r="F12" s="22" t="s">
        <v>159</v>
      </c>
    </row>
    <row r="13" spans="1:6" hidden="1" x14ac:dyDescent="0.25">
      <c r="A13" s="22">
        <v>590027157</v>
      </c>
      <c r="B13" s="22" t="s">
        <v>28</v>
      </c>
      <c r="C13" s="22" t="s">
        <v>29</v>
      </c>
      <c r="D13" s="22">
        <v>25010104880</v>
      </c>
      <c r="E13" s="22" t="s">
        <v>157</v>
      </c>
      <c r="F13" s="22" t="s">
        <v>159</v>
      </c>
    </row>
    <row r="14" spans="1:6" x14ac:dyDescent="0.25">
      <c r="A14" s="22">
        <v>590028682</v>
      </c>
      <c r="B14" s="22" t="s">
        <v>84</v>
      </c>
      <c r="C14" s="22" t="s">
        <v>85</v>
      </c>
      <c r="D14" s="22">
        <v>25010104995</v>
      </c>
      <c r="E14" s="22" t="s">
        <v>157</v>
      </c>
      <c r="F14" s="22" t="s">
        <v>158</v>
      </c>
    </row>
    <row r="15" spans="1:6" x14ac:dyDescent="0.25">
      <c r="A15" s="22">
        <v>590023917</v>
      </c>
      <c r="B15" s="22" t="s">
        <v>86</v>
      </c>
      <c r="C15" s="22" t="s">
        <v>87</v>
      </c>
      <c r="D15" s="22">
        <v>25010105012</v>
      </c>
      <c r="E15" s="22" t="s">
        <v>157</v>
      </c>
      <c r="F15" s="22" t="s">
        <v>158</v>
      </c>
    </row>
    <row r="16" spans="1:6" x14ac:dyDescent="0.25">
      <c r="A16" s="22">
        <v>590023785</v>
      </c>
      <c r="B16" s="22" t="s">
        <v>88</v>
      </c>
      <c r="C16" s="22" t="s">
        <v>89</v>
      </c>
      <c r="D16" s="22">
        <v>25010104947</v>
      </c>
      <c r="E16" s="22" t="s">
        <v>157</v>
      </c>
      <c r="F16" s="22" t="s">
        <v>158</v>
      </c>
    </row>
    <row r="17" spans="1:6" hidden="1" x14ac:dyDescent="0.25">
      <c r="A17" s="22">
        <v>590029274</v>
      </c>
      <c r="B17" s="22" t="s">
        <v>30</v>
      </c>
      <c r="C17" s="22" t="s">
        <v>31</v>
      </c>
      <c r="D17" s="22">
        <v>25010104928</v>
      </c>
      <c r="E17" s="22" t="s">
        <v>157</v>
      </c>
      <c r="F17" s="22" t="s">
        <v>159</v>
      </c>
    </row>
    <row r="18" spans="1:6" x14ac:dyDescent="0.25">
      <c r="A18" s="22">
        <v>590029264</v>
      </c>
      <c r="B18" s="22" t="s">
        <v>90</v>
      </c>
      <c r="C18" s="22" t="s">
        <v>91</v>
      </c>
      <c r="D18" s="22">
        <v>25010104986</v>
      </c>
      <c r="E18" s="22" t="s">
        <v>157</v>
      </c>
      <c r="F18" s="22" t="s">
        <v>158</v>
      </c>
    </row>
    <row r="19" spans="1:6" x14ac:dyDescent="0.25">
      <c r="A19" s="22">
        <v>590029042</v>
      </c>
      <c r="B19" s="22" t="s">
        <v>92</v>
      </c>
      <c r="C19" s="22" t="s">
        <v>93</v>
      </c>
      <c r="D19" s="22">
        <v>25010104982</v>
      </c>
      <c r="E19" s="22" t="s">
        <v>157</v>
      </c>
      <c r="F19" s="22" t="s">
        <v>158</v>
      </c>
    </row>
    <row r="20" spans="1:6" x14ac:dyDescent="0.25">
      <c r="A20" s="22">
        <v>590029336</v>
      </c>
      <c r="B20" s="22" t="s">
        <v>94</v>
      </c>
      <c r="C20" s="22" t="s">
        <v>95</v>
      </c>
      <c r="D20" s="22">
        <v>25010104998</v>
      </c>
      <c r="E20" s="22" t="s">
        <v>157</v>
      </c>
      <c r="F20" s="22" t="s">
        <v>158</v>
      </c>
    </row>
    <row r="21" spans="1:6" hidden="1" x14ac:dyDescent="0.25">
      <c r="A21" s="22">
        <v>590028572</v>
      </c>
      <c r="B21" s="22" t="s">
        <v>32</v>
      </c>
      <c r="C21" s="22" t="s">
        <v>33</v>
      </c>
      <c r="D21" s="22">
        <v>25010104903</v>
      </c>
      <c r="E21" s="22" t="s">
        <v>157</v>
      </c>
      <c r="F21" s="22" t="s">
        <v>159</v>
      </c>
    </row>
    <row r="22" spans="1:6" hidden="1" x14ac:dyDescent="0.25">
      <c r="A22" s="22">
        <v>590029230</v>
      </c>
      <c r="B22" s="22" t="s">
        <v>34</v>
      </c>
      <c r="C22" s="22" t="s">
        <v>35</v>
      </c>
      <c r="D22" s="22">
        <v>25010104910</v>
      </c>
      <c r="E22" s="22" t="s">
        <v>157</v>
      </c>
      <c r="F22" s="22" t="s">
        <v>159</v>
      </c>
    </row>
    <row r="23" spans="1:6" hidden="1" x14ac:dyDescent="0.25">
      <c r="A23" s="22">
        <v>590029169</v>
      </c>
      <c r="B23" s="22" t="s">
        <v>36</v>
      </c>
      <c r="C23" s="22" t="s">
        <v>37</v>
      </c>
      <c r="D23" s="22">
        <v>25010104944</v>
      </c>
      <c r="E23" s="22" t="s">
        <v>157</v>
      </c>
      <c r="F23" s="22" t="s">
        <v>159</v>
      </c>
    </row>
    <row r="24" spans="1:6" x14ac:dyDescent="0.25">
      <c r="A24" s="22">
        <v>590029233</v>
      </c>
      <c r="B24" s="22" t="s">
        <v>96</v>
      </c>
      <c r="C24" s="22" t="s">
        <v>97</v>
      </c>
      <c r="D24" s="22">
        <v>25010104996</v>
      </c>
      <c r="E24" s="22" t="s">
        <v>157</v>
      </c>
      <c r="F24" s="22" t="s">
        <v>158</v>
      </c>
    </row>
    <row r="25" spans="1:6" hidden="1" x14ac:dyDescent="0.25">
      <c r="A25" s="22">
        <v>590029112</v>
      </c>
      <c r="B25" s="22" t="s">
        <v>38</v>
      </c>
      <c r="C25" s="22" t="s">
        <v>39</v>
      </c>
      <c r="D25" s="22">
        <v>25010104876</v>
      </c>
      <c r="E25" s="22" t="s">
        <v>157</v>
      </c>
      <c r="F25" s="22" t="s">
        <v>159</v>
      </c>
    </row>
    <row r="26" spans="1:6" hidden="1" x14ac:dyDescent="0.25">
      <c r="A26" s="22">
        <v>590025556</v>
      </c>
      <c r="B26" s="22" t="s">
        <v>40</v>
      </c>
      <c r="C26" s="22" t="s">
        <v>41</v>
      </c>
      <c r="D26" s="22">
        <v>122515743</v>
      </c>
      <c r="E26" s="22" t="s">
        <v>157</v>
      </c>
      <c r="F26" s="22" t="s">
        <v>159</v>
      </c>
    </row>
    <row r="27" spans="1:6" hidden="1" x14ac:dyDescent="0.25">
      <c r="A27" s="22">
        <v>590027830</v>
      </c>
      <c r="B27" s="22" t="s">
        <v>42</v>
      </c>
      <c r="C27" s="22" t="s">
        <v>43</v>
      </c>
      <c r="D27" s="22">
        <v>25010104886</v>
      </c>
      <c r="E27" s="22" t="s">
        <v>157</v>
      </c>
      <c r="F27" s="22" t="s">
        <v>159</v>
      </c>
    </row>
    <row r="28" spans="1:6" hidden="1" x14ac:dyDescent="0.25">
      <c r="A28" s="22">
        <v>590028360</v>
      </c>
      <c r="B28" s="22" t="s">
        <v>44</v>
      </c>
      <c r="C28" s="22" t="s">
        <v>45</v>
      </c>
      <c r="D28" s="22">
        <v>25010104881</v>
      </c>
      <c r="E28" s="22" t="s">
        <v>157</v>
      </c>
      <c r="F28" s="22" t="s">
        <v>159</v>
      </c>
    </row>
    <row r="29" spans="1:6" hidden="1" x14ac:dyDescent="0.25">
      <c r="A29" s="22">
        <v>590029237</v>
      </c>
      <c r="B29" s="22" t="s">
        <v>46</v>
      </c>
      <c r="C29" s="22" t="s">
        <v>47</v>
      </c>
      <c r="D29" s="22">
        <v>25010104909</v>
      </c>
      <c r="E29" s="22" t="s">
        <v>157</v>
      </c>
      <c r="F29" s="22" t="s">
        <v>159</v>
      </c>
    </row>
    <row r="30" spans="1:6" x14ac:dyDescent="0.25">
      <c r="A30" s="22">
        <v>590029328</v>
      </c>
      <c r="B30" s="22" t="s">
        <v>98</v>
      </c>
      <c r="C30" s="22" t="s">
        <v>99</v>
      </c>
      <c r="D30" s="22">
        <v>25010105010</v>
      </c>
      <c r="E30" s="22" t="s">
        <v>157</v>
      </c>
      <c r="F30" s="22" t="s">
        <v>158</v>
      </c>
    </row>
    <row r="31" spans="1:6" hidden="1" x14ac:dyDescent="0.25">
      <c r="A31" s="22">
        <v>590029079</v>
      </c>
      <c r="B31" s="22" t="s">
        <v>48</v>
      </c>
      <c r="C31" s="22" t="s">
        <v>49</v>
      </c>
      <c r="D31" s="22">
        <v>25010104906</v>
      </c>
      <c r="E31" s="22" t="s">
        <v>157</v>
      </c>
      <c r="F31" s="22" t="s">
        <v>159</v>
      </c>
    </row>
    <row r="32" spans="1:6" hidden="1" x14ac:dyDescent="0.25">
      <c r="A32" s="22">
        <v>590029145</v>
      </c>
      <c r="B32" s="22" t="s">
        <v>50</v>
      </c>
      <c r="C32" s="22" t="s">
        <v>51</v>
      </c>
      <c r="D32" s="22">
        <v>25010104892</v>
      </c>
      <c r="E32" s="22" t="s">
        <v>157</v>
      </c>
      <c r="F32" s="22" t="s">
        <v>159</v>
      </c>
    </row>
    <row r="33" spans="1:6" hidden="1" x14ac:dyDescent="0.25">
      <c r="A33" s="22">
        <v>590029209</v>
      </c>
      <c r="B33" s="22" t="s">
        <v>52</v>
      </c>
      <c r="C33" s="22" t="s">
        <v>53</v>
      </c>
      <c r="D33" s="22">
        <v>25010104887</v>
      </c>
      <c r="E33" s="22" t="s">
        <v>157</v>
      </c>
      <c r="F33" s="22" t="s">
        <v>159</v>
      </c>
    </row>
    <row r="34" spans="1:6" hidden="1" x14ac:dyDescent="0.25">
      <c r="A34" s="22">
        <v>590027268</v>
      </c>
      <c r="B34" s="22" t="s">
        <v>54</v>
      </c>
      <c r="C34" s="22" t="s">
        <v>55</v>
      </c>
      <c r="D34" s="22">
        <v>25010104933</v>
      </c>
      <c r="E34" s="22" t="s">
        <v>160</v>
      </c>
      <c r="F34" s="22" t="s">
        <v>159</v>
      </c>
    </row>
    <row r="35" spans="1:6" hidden="1" x14ac:dyDescent="0.25">
      <c r="A35" s="22">
        <v>590029227</v>
      </c>
      <c r="B35" s="22" t="s">
        <v>56</v>
      </c>
      <c r="C35" s="22" t="s">
        <v>57</v>
      </c>
      <c r="D35" s="22">
        <v>25010104900</v>
      </c>
      <c r="E35" s="22" t="s">
        <v>157</v>
      </c>
      <c r="F35" s="22" t="s">
        <v>159</v>
      </c>
    </row>
    <row r="36" spans="1:6" hidden="1" x14ac:dyDescent="0.25">
      <c r="A36" s="22">
        <v>590029241</v>
      </c>
      <c r="B36" s="22" t="s">
        <v>58</v>
      </c>
      <c r="C36" s="22" t="s">
        <v>59</v>
      </c>
      <c r="D36" s="22">
        <v>25010104915</v>
      </c>
      <c r="E36" s="22" t="s">
        <v>157</v>
      </c>
      <c r="F36" s="22" t="s">
        <v>159</v>
      </c>
    </row>
    <row r="37" spans="1:6" hidden="1" x14ac:dyDescent="0.25">
      <c r="A37" s="22">
        <v>590023855</v>
      </c>
      <c r="B37" s="22" t="s">
        <v>60</v>
      </c>
      <c r="C37" s="22" t="s">
        <v>61</v>
      </c>
      <c r="D37" s="22">
        <v>25010104868</v>
      </c>
      <c r="E37" s="22" t="s">
        <v>157</v>
      </c>
      <c r="F37" s="22" t="s">
        <v>159</v>
      </c>
    </row>
    <row r="38" spans="1:6" x14ac:dyDescent="0.25">
      <c r="A38" s="22">
        <v>590028608</v>
      </c>
      <c r="B38" s="22" t="s">
        <v>100</v>
      </c>
      <c r="C38" s="22" t="s">
        <v>101</v>
      </c>
      <c r="D38" s="22">
        <v>25010104999</v>
      </c>
      <c r="E38" s="22" t="s">
        <v>157</v>
      </c>
      <c r="F38" s="22" t="s">
        <v>158</v>
      </c>
    </row>
    <row r="39" spans="1:6" hidden="1" x14ac:dyDescent="0.25">
      <c r="A39" s="22">
        <v>590029215</v>
      </c>
      <c r="B39" s="22" t="s">
        <v>62</v>
      </c>
      <c r="C39" s="22" t="s">
        <v>63</v>
      </c>
      <c r="D39" s="22">
        <v>25010104884</v>
      </c>
      <c r="E39" s="22" t="s">
        <v>157</v>
      </c>
      <c r="F39" s="22" t="s">
        <v>159</v>
      </c>
    </row>
    <row r="40" spans="1:6" hidden="1" x14ac:dyDescent="0.25">
      <c r="A40" s="22">
        <v>590029111</v>
      </c>
      <c r="B40" s="22" t="s">
        <v>64</v>
      </c>
      <c r="C40" s="22" t="s">
        <v>65</v>
      </c>
      <c r="D40" s="22">
        <v>25010104888</v>
      </c>
      <c r="E40" s="22" t="s">
        <v>157</v>
      </c>
      <c r="F40" s="22" t="s">
        <v>159</v>
      </c>
    </row>
    <row r="41" spans="1:6" x14ac:dyDescent="0.25">
      <c r="A41" s="22">
        <v>590028605</v>
      </c>
      <c r="B41" s="22" t="s">
        <v>102</v>
      </c>
      <c r="C41" s="22" t="s">
        <v>103</v>
      </c>
      <c r="D41" s="22">
        <v>25010104326</v>
      </c>
      <c r="E41" s="22" t="s">
        <v>157</v>
      </c>
      <c r="F41" s="22" t="s">
        <v>158</v>
      </c>
    </row>
    <row r="42" spans="1:6" hidden="1" x14ac:dyDescent="0.25">
      <c r="A42" s="22">
        <v>590028683</v>
      </c>
      <c r="B42" s="22" t="s">
        <v>66</v>
      </c>
      <c r="C42" s="22" t="s">
        <v>67</v>
      </c>
      <c r="D42" s="22">
        <v>25010104936</v>
      </c>
      <c r="E42" s="22" t="s">
        <v>157</v>
      </c>
      <c r="F42" s="22" t="s">
        <v>159</v>
      </c>
    </row>
    <row r="43" spans="1:6" hidden="1" x14ac:dyDescent="0.25">
      <c r="A43" s="22">
        <v>590029121</v>
      </c>
      <c r="B43" s="22" t="s">
        <v>68</v>
      </c>
      <c r="C43" s="22" t="s">
        <v>69</v>
      </c>
      <c r="D43" s="22">
        <v>25010104875</v>
      </c>
      <c r="E43" s="22" t="s">
        <v>157</v>
      </c>
      <c r="F43" s="22" t="s">
        <v>159</v>
      </c>
    </row>
    <row r="44" spans="1:6" x14ac:dyDescent="0.25">
      <c r="A44" s="22">
        <v>590026626</v>
      </c>
      <c r="B44" s="22" t="s">
        <v>104</v>
      </c>
      <c r="C44" s="22" t="s">
        <v>105</v>
      </c>
      <c r="D44" s="22">
        <v>25010104601</v>
      </c>
      <c r="E44" s="22" t="s">
        <v>157</v>
      </c>
      <c r="F44" s="22" t="s">
        <v>158</v>
      </c>
    </row>
    <row r="45" spans="1:6" x14ac:dyDescent="0.25">
      <c r="A45" s="22">
        <v>590029310</v>
      </c>
      <c r="B45" s="22" t="s">
        <v>106</v>
      </c>
      <c r="C45" s="22" t="s">
        <v>107</v>
      </c>
      <c r="D45" s="22">
        <v>25010104970</v>
      </c>
      <c r="E45" s="22" t="s">
        <v>157</v>
      </c>
      <c r="F45" s="22" t="s">
        <v>158</v>
      </c>
    </row>
    <row r="46" spans="1:6" x14ac:dyDescent="0.25">
      <c r="A46" s="22">
        <v>590029319</v>
      </c>
      <c r="B46" s="22" t="s">
        <v>108</v>
      </c>
      <c r="C46" s="22" t="s">
        <v>109</v>
      </c>
      <c r="D46" s="22">
        <v>25010105008</v>
      </c>
      <c r="E46" s="22" t="s">
        <v>157</v>
      </c>
      <c r="F46" s="22" t="s">
        <v>158</v>
      </c>
    </row>
    <row r="47" spans="1:6" hidden="1" x14ac:dyDescent="0.25">
      <c r="A47" s="22">
        <v>590029048</v>
      </c>
      <c r="B47" s="22" t="s">
        <v>70</v>
      </c>
      <c r="C47" s="22" t="s">
        <v>71</v>
      </c>
      <c r="D47" s="22">
        <v>25010104925</v>
      </c>
      <c r="E47" s="22" t="s">
        <v>157</v>
      </c>
      <c r="F47" s="22" t="s">
        <v>159</v>
      </c>
    </row>
    <row r="48" spans="1:6" hidden="1" x14ac:dyDescent="0.25">
      <c r="A48" s="22">
        <v>590029184</v>
      </c>
      <c r="B48" s="22" t="s">
        <v>72</v>
      </c>
      <c r="C48" s="22" t="s">
        <v>73</v>
      </c>
      <c r="D48" s="22">
        <v>25010104879</v>
      </c>
      <c r="E48" s="22" t="s">
        <v>157</v>
      </c>
      <c r="F48" s="22" t="s">
        <v>159</v>
      </c>
    </row>
    <row r="49" spans="1:6" x14ac:dyDescent="0.25">
      <c r="A49" s="22">
        <v>590029339</v>
      </c>
      <c r="B49" s="22" t="s">
        <v>110</v>
      </c>
      <c r="C49" s="22" t="s">
        <v>111</v>
      </c>
      <c r="D49" s="22">
        <v>25010105011</v>
      </c>
      <c r="E49" s="22" t="s">
        <v>157</v>
      </c>
      <c r="F49" s="22" t="s">
        <v>158</v>
      </c>
    </row>
    <row r="50" spans="1:6" x14ac:dyDescent="0.25">
      <c r="A50" s="22">
        <v>590029148</v>
      </c>
      <c r="B50" s="22" t="s">
        <v>112</v>
      </c>
      <c r="C50" s="22" t="s">
        <v>113</v>
      </c>
      <c r="D50" s="22">
        <v>25010104992</v>
      </c>
      <c r="E50" s="22" t="s">
        <v>157</v>
      </c>
      <c r="F50" s="22" t="s">
        <v>158</v>
      </c>
    </row>
    <row r="51" spans="1:6" x14ac:dyDescent="0.25">
      <c r="A51" s="22">
        <v>590029309</v>
      </c>
      <c r="B51" s="22" t="s">
        <v>114</v>
      </c>
      <c r="C51" s="22" t="s">
        <v>115</v>
      </c>
      <c r="D51" s="22">
        <v>25010104979</v>
      </c>
      <c r="E51" s="22" t="s">
        <v>157</v>
      </c>
      <c r="F51" s="22" t="s">
        <v>158</v>
      </c>
    </row>
    <row r="52" spans="1:6" x14ac:dyDescent="0.25">
      <c r="A52" s="22">
        <v>590028838</v>
      </c>
      <c r="B52" s="22" t="s">
        <v>116</v>
      </c>
      <c r="C52" s="22" t="s">
        <v>117</v>
      </c>
      <c r="D52" s="22">
        <v>25010104945</v>
      </c>
      <c r="E52" s="22" t="s">
        <v>157</v>
      </c>
      <c r="F52" s="22" t="s">
        <v>158</v>
      </c>
    </row>
    <row r="53" spans="1:6" x14ac:dyDescent="0.25">
      <c r="A53" s="22">
        <v>590029107</v>
      </c>
      <c r="B53" s="22" t="s">
        <v>118</v>
      </c>
      <c r="C53" s="22" t="s">
        <v>119</v>
      </c>
      <c r="D53" s="22">
        <v>25010104988</v>
      </c>
      <c r="E53" s="22" t="s">
        <v>157</v>
      </c>
      <c r="F53" s="22" t="s">
        <v>158</v>
      </c>
    </row>
    <row r="54" spans="1:6" x14ac:dyDescent="0.25">
      <c r="A54" s="22">
        <v>590029266</v>
      </c>
      <c r="B54" s="22" t="s">
        <v>120</v>
      </c>
      <c r="C54" s="22" t="s">
        <v>121</v>
      </c>
      <c r="D54" s="22">
        <v>25010104958</v>
      </c>
      <c r="E54" s="22" t="s">
        <v>157</v>
      </c>
      <c r="F54" s="22" t="s">
        <v>158</v>
      </c>
    </row>
    <row r="55" spans="1:6" x14ac:dyDescent="0.25">
      <c r="A55" s="22">
        <v>590029354</v>
      </c>
      <c r="B55" s="22" t="s">
        <v>122</v>
      </c>
      <c r="C55" s="22" t="s">
        <v>123</v>
      </c>
      <c r="D55" s="22">
        <v>25010105018</v>
      </c>
      <c r="E55" s="22" t="s">
        <v>157</v>
      </c>
      <c r="F55" s="22" t="s">
        <v>158</v>
      </c>
    </row>
    <row r="56" spans="1:6" x14ac:dyDescent="0.25">
      <c r="A56" s="22">
        <v>590029349</v>
      </c>
      <c r="B56" s="22" t="s">
        <v>124</v>
      </c>
      <c r="C56" s="22" t="s">
        <v>125</v>
      </c>
      <c r="D56" s="22">
        <v>25010105017</v>
      </c>
      <c r="E56" s="22" t="s">
        <v>157</v>
      </c>
      <c r="F56" s="22" t="s">
        <v>158</v>
      </c>
    </row>
    <row r="57" spans="1:6" x14ac:dyDescent="0.25">
      <c r="A57" s="22">
        <v>590029302</v>
      </c>
      <c r="B57" s="22" t="s">
        <v>126</v>
      </c>
      <c r="C57" s="22" t="s">
        <v>127</v>
      </c>
      <c r="D57" s="22">
        <v>25010104954</v>
      </c>
      <c r="E57" s="22" t="s">
        <v>157</v>
      </c>
      <c r="F57" s="22" t="s">
        <v>158</v>
      </c>
    </row>
    <row r="58" spans="1:6" x14ac:dyDescent="0.25">
      <c r="A58" s="22">
        <v>590029262</v>
      </c>
      <c r="B58" s="22" t="s">
        <v>128</v>
      </c>
      <c r="C58" s="22" t="s">
        <v>129</v>
      </c>
      <c r="D58" s="22">
        <v>25010104987</v>
      </c>
      <c r="E58" s="22" t="s">
        <v>157</v>
      </c>
      <c r="F58" s="22" t="s">
        <v>158</v>
      </c>
    </row>
    <row r="59" spans="1:6" x14ac:dyDescent="0.25">
      <c r="A59" s="22">
        <v>590029285</v>
      </c>
      <c r="B59" s="22" t="s">
        <v>130</v>
      </c>
      <c r="C59" s="22" t="s">
        <v>131</v>
      </c>
      <c r="D59" s="22">
        <v>25010104949</v>
      </c>
      <c r="E59" s="22" t="s">
        <v>157</v>
      </c>
      <c r="F59" s="22" t="s">
        <v>158</v>
      </c>
    </row>
    <row r="60" spans="1:6" x14ac:dyDescent="0.25">
      <c r="A60" s="22">
        <v>590029353</v>
      </c>
      <c r="B60" s="22" t="s">
        <v>132</v>
      </c>
      <c r="C60" s="22" t="s">
        <v>133</v>
      </c>
      <c r="D60" s="22">
        <v>122514758</v>
      </c>
      <c r="E60" s="22" t="s">
        <v>157</v>
      </c>
      <c r="F60" s="22" t="s">
        <v>158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4200-FA0B-463F-B62D-57714FA2A6D5}">
  <dimension ref="A1:G60"/>
  <sheetViews>
    <sheetView workbookViewId="0">
      <selection activeCell="C15" sqref="C15"/>
    </sheetView>
  </sheetViews>
  <sheetFormatPr defaultRowHeight="15" x14ac:dyDescent="0.25"/>
  <cols>
    <col min="1" max="1" width="10" bestFit="1" customWidth="1"/>
    <col min="2" max="2" width="21.85546875" bestFit="1" customWidth="1"/>
    <col min="3" max="3" width="33.42578125" bestFit="1" customWidth="1"/>
    <col min="4" max="4" width="12" bestFit="1" customWidth="1"/>
    <col min="5" max="5" width="8.85546875" bestFit="1" customWidth="1"/>
    <col min="6" max="6" width="42.7109375" bestFit="1" customWidth="1"/>
  </cols>
  <sheetData>
    <row r="1" spans="1:7" x14ac:dyDescent="0.25">
      <c r="A1" t="s">
        <v>2</v>
      </c>
      <c r="B1" t="s">
        <v>138</v>
      </c>
      <c r="C1" t="s">
        <v>154</v>
      </c>
      <c r="D1" t="s">
        <v>155</v>
      </c>
      <c r="E1" t="s">
        <v>156</v>
      </c>
      <c r="F1" t="s">
        <v>3</v>
      </c>
      <c r="G1" t="s">
        <v>161</v>
      </c>
    </row>
    <row r="2" spans="1:7" x14ac:dyDescent="0.25">
      <c r="A2">
        <v>590029213</v>
      </c>
      <c r="B2" t="s">
        <v>16</v>
      </c>
      <c r="C2" t="s">
        <v>17</v>
      </c>
      <c r="D2">
        <v>122507103</v>
      </c>
      <c r="E2" t="s">
        <v>157</v>
      </c>
      <c r="F2" t="s">
        <v>159</v>
      </c>
    </row>
    <row r="3" spans="1:7" x14ac:dyDescent="0.25">
      <c r="A3">
        <v>590029270</v>
      </c>
      <c r="B3" t="s">
        <v>18</v>
      </c>
      <c r="C3" t="s">
        <v>19</v>
      </c>
      <c r="D3">
        <v>25010104938</v>
      </c>
      <c r="E3" t="s">
        <v>157</v>
      </c>
      <c r="F3" t="s">
        <v>159</v>
      </c>
    </row>
    <row r="4" spans="1:7" x14ac:dyDescent="0.25">
      <c r="A4">
        <v>590029204</v>
      </c>
      <c r="B4" t="s">
        <v>20</v>
      </c>
      <c r="C4" t="s">
        <v>21</v>
      </c>
      <c r="D4">
        <v>25010104918</v>
      </c>
      <c r="E4" t="s">
        <v>157</v>
      </c>
      <c r="F4" t="s">
        <v>159</v>
      </c>
    </row>
    <row r="5" spans="1:7" x14ac:dyDescent="0.25">
      <c r="A5">
        <v>590029109</v>
      </c>
      <c r="B5" t="s">
        <v>22</v>
      </c>
      <c r="C5" t="s">
        <v>23</v>
      </c>
      <c r="D5">
        <v>25010104943</v>
      </c>
      <c r="E5" t="s">
        <v>157</v>
      </c>
      <c r="F5" t="s">
        <v>159</v>
      </c>
    </row>
    <row r="6" spans="1:7" x14ac:dyDescent="0.25">
      <c r="A6">
        <v>590029070</v>
      </c>
      <c r="B6" t="s">
        <v>24</v>
      </c>
      <c r="C6" t="s">
        <v>25</v>
      </c>
      <c r="D6">
        <v>25010104926</v>
      </c>
      <c r="E6" t="s">
        <v>157</v>
      </c>
      <c r="F6" t="s">
        <v>159</v>
      </c>
    </row>
    <row r="7" spans="1:7" x14ac:dyDescent="0.25">
      <c r="A7">
        <v>590029157</v>
      </c>
      <c r="B7" t="s">
        <v>26</v>
      </c>
      <c r="C7" t="s">
        <v>27</v>
      </c>
      <c r="D7">
        <v>25010104890</v>
      </c>
      <c r="E7" t="s">
        <v>157</v>
      </c>
      <c r="F7" t="s">
        <v>159</v>
      </c>
    </row>
    <row r="8" spans="1:7" x14ac:dyDescent="0.25">
      <c r="A8">
        <v>590027157</v>
      </c>
      <c r="B8" t="s">
        <v>28</v>
      </c>
      <c r="C8" t="s">
        <v>29</v>
      </c>
      <c r="D8">
        <v>25010104880</v>
      </c>
      <c r="E8" t="s">
        <v>157</v>
      </c>
      <c r="F8" t="s">
        <v>159</v>
      </c>
    </row>
    <row r="9" spans="1:7" x14ac:dyDescent="0.25">
      <c r="A9">
        <v>590029274</v>
      </c>
      <c r="B9" t="s">
        <v>30</v>
      </c>
      <c r="C9" t="s">
        <v>31</v>
      </c>
      <c r="D9">
        <v>25010104928</v>
      </c>
      <c r="E9" t="s">
        <v>157</v>
      </c>
      <c r="F9" t="s">
        <v>159</v>
      </c>
    </row>
    <row r="10" spans="1:7" x14ac:dyDescent="0.25">
      <c r="A10">
        <v>590028572</v>
      </c>
      <c r="B10" t="s">
        <v>32</v>
      </c>
      <c r="C10" t="s">
        <v>33</v>
      </c>
      <c r="D10">
        <v>25010104903</v>
      </c>
      <c r="E10" t="s">
        <v>157</v>
      </c>
      <c r="F10" t="s">
        <v>159</v>
      </c>
    </row>
    <row r="11" spans="1:7" x14ac:dyDescent="0.25">
      <c r="A11">
        <v>590029230</v>
      </c>
      <c r="B11" t="s">
        <v>34</v>
      </c>
      <c r="C11" t="s">
        <v>35</v>
      </c>
      <c r="D11">
        <v>25010104910</v>
      </c>
      <c r="E11" t="s">
        <v>157</v>
      </c>
      <c r="F11" t="s">
        <v>159</v>
      </c>
    </row>
    <row r="12" spans="1:7" x14ac:dyDescent="0.25">
      <c r="A12">
        <v>590029169</v>
      </c>
      <c r="B12" t="s">
        <v>36</v>
      </c>
      <c r="C12" t="s">
        <v>37</v>
      </c>
      <c r="D12">
        <v>25010104944</v>
      </c>
      <c r="E12" t="s">
        <v>157</v>
      </c>
      <c r="F12" t="s">
        <v>159</v>
      </c>
    </row>
    <row r="13" spans="1:7" x14ac:dyDescent="0.25">
      <c r="A13">
        <v>590029112</v>
      </c>
      <c r="B13" t="s">
        <v>38</v>
      </c>
      <c r="C13" t="s">
        <v>39</v>
      </c>
      <c r="D13">
        <v>25010104876</v>
      </c>
      <c r="E13" t="s">
        <v>157</v>
      </c>
      <c r="F13" t="s">
        <v>159</v>
      </c>
    </row>
    <row r="14" spans="1:7" x14ac:dyDescent="0.25">
      <c r="A14">
        <v>590025556</v>
      </c>
      <c r="B14" t="s">
        <v>40</v>
      </c>
      <c r="C14" t="s">
        <v>41</v>
      </c>
      <c r="D14">
        <v>122515743</v>
      </c>
      <c r="E14" t="s">
        <v>157</v>
      </c>
      <c r="F14" t="s">
        <v>159</v>
      </c>
    </row>
    <row r="15" spans="1:7" x14ac:dyDescent="0.25">
      <c r="A15">
        <v>590027830</v>
      </c>
      <c r="B15" t="s">
        <v>42</v>
      </c>
      <c r="C15" t="s">
        <v>43</v>
      </c>
      <c r="D15">
        <v>25010104886</v>
      </c>
      <c r="E15" t="s">
        <v>157</v>
      </c>
      <c r="F15" t="s">
        <v>159</v>
      </c>
    </row>
    <row r="16" spans="1:7" x14ac:dyDescent="0.25">
      <c r="A16">
        <v>590028360</v>
      </c>
      <c r="B16" t="s">
        <v>44</v>
      </c>
      <c r="C16" t="s">
        <v>45</v>
      </c>
      <c r="D16">
        <v>25010104881</v>
      </c>
      <c r="E16" t="s">
        <v>157</v>
      </c>
      <c r="F16" t="s">
        <v>159</v>
      </c>
    </row>
    <row r="17" spans="1:7" x14ac:dyDescent="0.25">
      <c r="A17">
        <v>590029237</v>
      </c>
      <c r="B17" t="s">
        <v>46</v>
      </c>
      <c r="C17" t="s">
        <v>47</v>
      </c>
      <c r="D17">
        <v>25010104909</v>
      </c>
      <c r="E17" t="s">
        <v>157</v>
      </c>
      <c r="F17" t="s">
        <v>159</v>
      </c>
    </row>
    <row r="18" spans="1:7" x14ac:dyDescent="0.25">
      <c r="A18">
        <v>590029079</v>
      </c>
      <c r="B18" t="s">
        <v>48</v>
      </c>
      <c r="C18" t="s">
        <v>49</v>
      </c>
      <c r="D18">
        <v>25010104906</v>
      </c>
      <c r="E18" t="s">
        <v>157</v>
      </c>
      <c r="F18" t="s">
        <v>159</v>
      </c>
    </row>
    <row r="19" spans="1:7" x14ac:dyDescent="0.25">
      <c r="A19">
        <v>590029145</v>
      </c>
      <c r="B19" t="s">
        <v>50</v>
      </c>
      <c r="C19" t="s">
        <v>51</v>
      </c>
      <c r="D19">
        <v>25010104892</v>
      </c>
      <c r="E19" t="s">
        <v>157</v>
      </c>
      <c r="F19" t="s">
        <v>159</v>
      </c>
    </row>
    <row r="20" spans="1:7" x14ac:dyDescent="0.25">
      <c r="A20">
        <v>590029209</v>
      </c>
      <c r="B20" t="s">
        <v>52</v>
      </c>
      <c r="C20" t="s">
        <v>53</v>
      </c>
      <c r="D20">
        <v>25010104887</v>
      </c>
      <c r="E20" t="s">
        <v>157</v>
      </c>
      <c r="F20" t="s">
        <v>159</v>
      </c>
    </row>
    <row r="21" spans="1:7" x14ac:dyDescent="0.25">
      <c r="A21">
        <v>590027268</v>
      </c>
      <c r="B21" t="s">
        <v>54</v>
      </c>
      <c r="C21" t="s">
        <v>55</v>
      </c>
      <c r="D21">
        <v>25010104933</v>
      </c>
      <c r="E21" t="s">
        <v>160</v>
      </c>
      <c r="F21" t="s">
        <v>159</v>
      </c>
    </row>
    <row r="22" spans="1:7" x14ac:dyDescent="0.25">
      <c r="A22">
        <v>590029227</v>
      </c>
      <c r="B22" t="s">
        <v>56</v>
      </c>
      <c r="C22" t="s">
        <v>57</v>
      </c>
      <c r="D22">
        <v>25010104900</v>
      </c>
      <c r="E22" t="s">
        <v>157</v>
      </c>
      <c r="F22" t="s">
        <v>159</v>
      </c>
    </row>
    <row r="23" spans="1:7" x14ac:dyDescent="0.25">
      <c r="A23">
        <v>590029241</v>
      </c>
      <c r="B23" t="s">
        <v>58</v>
      </c>
      <c r="C23" t="s">
        <v>59</v>
      </c>
      <c r="D23">
        <v>25010104915</v>
      </c>
      <c r="E23" t="s">
        <v>157</v>
      </c>
      <c r="F23" t="s">
        <v>159</v>
      </c>
    </row>
    <row r="24" spans="1:7" x14ac:dyDescent="0.25">
      <c r="A24">
        <v>590023855</v>
      </c>
      <c r="B24" t="s">
        <v>60</v>
      </c>
      <c r="C24" t="s">
        <v>61</v>
      </c>
      <c r="D24">
        <v>25010104868</v>
      </c>
      <c r="E24" t="s">
        <v>157</v>
      </c>
      <c r="F24" t="s">
        <v>159</v>
      </c>
    </row>
    <row r="25" spans="1:7" x14ac:dyDescent="0.25">
      <c r="A25">
        <v>590029215</v>
      </c>
      <c r="B25" t="s">
        <v>62</v>
      </c>
      <c r="C25" t="s">
        <v>63</v>
      </c>
      <c r="D25">
        <v>25010104884</v>
      </c>
      <c r="E25" t="s">
        <v>157</v>
      </c>
      <c r="F25" t="s">
        <v>159</v>
      </c>
    </row>
    <row r="26" spans="1:7" x14ac:dyDescent="0.25">
      <c r="A26">
        <v>590029111</v>
      </c>
      <c r="B26" t="s">
        <v>64</v>
      </c>
      <c r="C26" t="s">
        <v>65</v>
      </c>
      <c r="D26">
        <v>25010104888</v>
      </c>
      <c r="E26" t="s">
        <v>157</v>
      </c>
      <c r="F26" t="s">
        <v>159</v>
      </c>
    </row>
    <row r="27" spans="1:7" x14ac:dyDescent="0.25">
      <c r="A27">
        <v>590028683</v>
      </c>
      <c r="B27" t="s">
        <v>66</v>
      </c>
      <c r="C27" t="s">
        <v>67</v>
      </c>
      <c r="D27">
        <v>25010104936</v>
      </c>
      <c r="E27" t="s">
        <v>157</v>
      </c>
      <c r="F27" t="s">
        <v>159</v>
      </c>
    </row>
    <row r="28" spans="1:7" x14ac:dyDescent="0.25">
      <c r="A28">
        <v>590029121</v>
      </c>
      <c r="B28" t="s">
        <v>68</v>
      </c>
      <c r="C28" t="s">
        <v>69</v>
      </c>
      <c r="D28">
        <v>25010104875</v>
      </c>
      <c r="E28" t="s">
        <v>157</v>
      </c>
      <c r="F28" t="s">
        <v>159</v>
      </c>
    </row>
    <row r="29" spans="1:7" x14ac:dyDescent="0.25">
      <c r="A29">
        <v>590029048</v>
      </c>
      <c r="B29" t="s">
        <v>70</v>
      </c>
      <c r="C29" t="s">
        <v>71</v>
      </c>
      <c r="D29">
        <v>25010104925</v>
      </c>
      <c r="E29" t="s">
        <v>157</v>
      </c>
      <c r="F29" t="s">
        <v>159</v>
      </c>
    </row>
    <row r="30" spans="1:7" x14ac:dyDescent="0.25">
      <c r="A30">
        <v>590029184</v>
      </c>
      <c r="B30" t="s">
        <v>72</v>
      </c>
      <c r="C30" t="s">
        <v>73</v>
      </c>
      <c r="D30">
        <v>25010104879</v>
      </c>
      <c r="E30" t="s">
        <v>157</v>
      </c>
      <c r="F30" t="s">
        <v>159</v>
      </c>
    </row>
    <row r="31" spans="1:7" x14ac:dyDescent="0.25">
      <c r="A31">
        <v>590029330</v>
      </c>
      <c r="B31" t="s">
        <v>74</v>
      </c>
      <c r="C31" t="s">
        <v>75</v>
      </c>
      <c r="D31">
        <v>25010104997</v>
      </c>
      <c r="E31" t="s">
        <v>157</v>
      </c>
      <c r="F31" t="s">
        <v>158</v>
      </c>
      <c r="G31">
        <v>1</v>
      </c>
    </row>
    <row r="32" spans="1:7" x14ac:dyDescent="0.25">
      <c r="A32">
        <v>590027630</v>
      </c>
      <c r="B32" t="s">
        <v>76</v>
      </c>
      <c r="C32" t="s">
        <v>77</v>
      </c>
      <c r="D32">
        <v>25010105001</v>
      </c>
      <c r="E32" t="s">
        <v>157</v>
      </c>
      <c r="F32" t="s">
        <v>158</v>
      </c>
      <c r="G32">
        <v>1</v>
      </c>
    </row>
    <row r="33" spans="1:7" x14ac:dyDescent="0.25">
      <c r="A33">
        <v>590029219</v>
      </c>
      <c r="B33" t="s">
        <v>78</v>
      </c>
      <c r="C33" t="s">
        <v>79</v>
      </c>
      <c r="D33">
        <v>25010104956</v>
      </c>
      <c r="E33" t="s">
        <v>157</v>
      </c>
      <c r="F33" t="s">
        <v>158</v>
      </c>
      <c r="G33">
        <v>1</v>
      </c>
    </row>
    <row r="34" spans="1:7" x14ac:dyDescent="0.25">
      <c r="A34">
        <v>590028933</v>
      </c>
      <c r="B34" t="s">
        <v>80</v>
      </c>
      <c r="C34" t="s">
        <v>81</v>
      </c>
      <c r="D34">
        <v>25010104948</v>
      </c>
      <c r="E34" t="s">
        <v>157</v>
      </c>
      <c r="F34" t="s">
        <v>158</v>
      </c>
      <c r="G34">
        <v>1</v>
      </c>
    </row>
    <row r="35" spans="1:7" x14ac:dyDescent="0.25">
      <c r="A35">
        <v>590027859</v>
      </c>
      <c r="B35" t="s">
        <v>82</v>
      </c>
      <c r="C35" t="s">
        <v>83</v>
      </c>
      <c r="D35">
        <v>25010104974</v>
      </c>
      <c r="E35" t="s">
        <v>157</v>
      </c>
      <c r="F35" t="s">
        <v>158</v>
      </c>
      <c r="G35">
        <v>1</v>
      </c>
    </row>
    <row r="36" spans="1:7" x14ac:dyDescent="0.25">
      <c r="A36">
        <v>590028682</v>
      </c>
      <c r="B36" t="s">
        <v>84</v>
      </c>
      <c r="C36" t="s">
        <v>85</v>
      </c>
      <c r="D36">
        <v>25010104995</v>
      </c>
      <c r="E36" t="s">
        <v>157</v>
      </c>
      <c r="F36" t="s">
        <v>158</v>
      </c>
      <c r="G36">
        <v>2</v>
      </c>
    </row>
    <row r="37" spans="1:7" x14ac:dyDescent="0.25">
      <c r="A37">
        <v>590023917</v>
      </c>
      <c r="B37" t="s">
        <v>86</v>
      </c>
      <c r="C37" t="s">
        <v>87</v>
      </c>
      <c r="D37">
        <v>25010105012</v>
      </c>
      <c r="E37" t="s">
        <v>157</v>
      </c>
      <c r="F37" t="s">
        <v>158</v>
      </c>
      <c r="G37">
        <v>2</v>
      </c>
    </row>
    <row r="38" spans="1:7" x14ac:dyDescent="0.25">
      <c r="A38">
        <v>590023785</v>
      </c>
      <c r="B38" t="s">
        <v>88</v>
      </c>
      <c r="C38" t="s">
        <v>89</v>
      </c>
      <c r="D38">
        <v>25010104947</v>
      </c>
      <c r="E38" t="s">
        <v>157</v>
      </c>
      <c r="F38" t="s">
        <v>158</v>
      </c>
      <c r="G38">
        <v>2</v>
      </c>
    </row>
    <row r="39" spans="1:7" x14ac:dyDescent="0.25">
      <c r="A39">
        <v>590029264</v>
      </c>
      <c r="B39" t="s">
        <v>90</v>
      </c>
      <c r="C39" t="s">
        <v>91</v>
      </c>
      <c r="D39">
        <v>25010104986</v>
      </c>
      <c r="E39" t="s">
        <v>157</v>
      </c>
      <c r="F39" t="s">
        <v>158</v>
      </c>
      <c r="G39">
        <v>2</v>
      </c>
    </row>
    <row r="40" spans="1:7" x14ac:dyDescent="0.25">
      <c r="A40">
        <v>590029042</v>
      </c>
      <c r="B40" t="s">
        <v>92</v>
      </c>
      <c r="C40" t="s">
        <v>93</v>
      </c>
      <c r="D40">
        <v>25010104982</v>
      </c>
      <c r="E40" t="s">
        <v>157</v>
      </c>
      <c r="F40" t="s">
        <v>158</v>
      </c>
      <c r="G40">
        <v>2</v>
      </c>
    </row>
    <row r="41" spans="1:7" x14ac:dyDescent="0.25">
      <c r="A41">
        <v>590029336</v>
      </c>
      <c r="B41" t="s">
        <v>94</v>
      </c>
      <c r="C41" t="s">
        <v>95</v>
      </c>
      <c r="D41">
        <v>25010104998</v>
      </c>
      <c r="E41" t="s">
        <v>157</v>
      </c>
      <c r="F41" t="s">
        <v>158</v>
      </c>
      <c r="G41">
        <v>3</v>
      </c>
    </row>
    <row r="42" spans="1:7" x14ac:dyDescent="0.25">
      <c r="A42">
        <v>590029233</v>
      </c>
      <c r="B42" t="s">
        <v>96</v>
      </c>
      <c r="C42" t="s">
        <v>97</v>
      </c>
      <c r="D42">
        <v>25010104996</v>
      </c>
      <c r="E42" t="s">
        <v>157</v>
      </c>
      <c r="F42" t="s">
        <v>158</v>
      </c>
      <c r="G42">
        <v>3</v>
      </c>
    </row>
    <row r="43" spans="1:7" x14ac:dyDescent="0.25">
      <c r="A43">
        <v>590029328</v>
      </c>
      <c r="B43" t="s">
        <v>98</v>
      </c>
      <c r="C43" t="s">
        <v>99</v>
      </c>
      <c r="D43">
        <v>25010105010</v>
      </c>
      <c r="E43" t="s">
        <v>157</v>
      </c>
      <c r="F43" t="s">
        <v>158</v>
      </c>
      <c r="G43">
        <v>3</v>
      </c>
    </row>
    <row r="44" spans="1:7" x14ac:dyDescent="0.25">
      <c r="A44">
        <v>590028608</v>
      </c>
      <c r="B44" t="s">
        <v>100</v>
      </c>
      <c r="C44" t="s">
        <v>101</v>
      </c>
      <c r="D44">
        <v>25010104999</v>
      </c>
      <c r="E44" t="s">
        <v>157</v>
      </c>
      <c r="F44" t="s">
        <v>158</v>
      </c>
      <c r="G44">
        <v>3</v>
      </c>
    </row>
    <row r="45" spans="1:7" x14ac:dyDescent="0.25">
      <c r="A45">
        <v>590028605</v>
      </c>
      <c r="B45" t="s">
        <v>102</v>
      </c>
      <c r="C45" t="s">
        <v>103</v>
      </c>
      <c r="D45">
        <v>25010104326</v>
      </c>
      <c r="E45" t="s">
        <v>157</v>
      </c>
      <c r="F45" t="s">
        <v>158</v>
      </c>
      <c r="G45">
        <v>3</v>
      </c>
    </row>
    <row r="46" spans="1:7" x14ac:dyDescent="0.25">
      <c r="A46">
        <v>590026626</v>
      </c>
      <c r="B46" t="s">
        <v>104</v>
      </c>
      <c r="C46" t="s">
        <v>105</v>
      </c>
      <c r="D46">
        <v>25010104601</v>
      </c>
      <c r="E46" t="s">
        <v>157</v>
      </c>
      <c r="F46" t="s">
        <v>158</v>
      </c>
      <c r="G46">
        <v>4</v>
      </c>
    </row>
    <row r="47" spans="1:7" x14ac:dyDescent="0.25">
      <c r="A47">
        <v>590029310</v>
      </c>
      <c r="B47" t="s">
        <v>106</v>
      </c>
      <c r="C47" t="s">
        <v>107</v>
      </c>
      <c r="D47">
        <v>25010104970</v>
      </c>
      <c r="E47" t="s">
        <v>157</v>
      </c>
      <c r="F47" t="s">
        <v>158</v>
      </c>
      <c r="G47">
        <v>4</v>
      </c>
    </row>
    <row r="48" spans="1:7" x14ac:dyDescent="0.25">
      <c r="A48">
        <v>590029319</v>
      </c>
      <c r="B48" t="s">
        <v>108</v>
      </c>
      <c r="C48" t="s">
        <v>109</v>
      </c>
      <c r="D48">
        <v>25010105008</v>
      </c>
      <c r="E48" t="s">
        <v>157</v>
      </c>
      <c r="F48" t="s">
        <v>158</v>
      </c>
      <c r="G48">
        <v>4</v>
      </c>
    </row>
    <row r="49" spans="1:7" x14ac:dyDescent="0.25">
      <c r="A49">
        <v>590029339</v>
      </c>
      <c r="B49" t="s">
        <v>110</v>
      </c>
      <c r="C49" t="s">
        <v>111</v>
      </c>
      <c r="D49">
        <v>25010105011</v>
      </c>
      <c r="E49" t="s">
        <v>157</v>
      </c>
      <c r="F49" t="s">
        <v>158</v>
      </c>
      <c r="G49">
        <v>4</v>
      </c>
    </row>
    <row r="50" spans="1:7" x14ac:dyDescent="0.25">
      <c r="A50">
        <v>590029148</v>
      </c>
      <c r="B50" t="s">
        <v>112</v>
      </c>
      <c r="C50" t="s">
        <v>113</v>
      </c>
      <c r="D50">
        <v>25010104992</v>
      </c>
      <c r="E50" t="s">
        <v>157</v>
      </c>
      <c r="F50" t="s">
        <v>158</v>
      </c>
      <c r="G50">
        <v>4</v>
      </c>
    </row>
    <row r="51" spans="1:7" x14ac:dyDescent="0.25">
      <c r="A51">
        <v>590029309</v>
      </c>
      <c r="B51" t="s">
        <v>114</v>
      </c>
      <c r="C51" t="s">
        <v>115</v>
      </c>
      <c r="D51">
        <v>25010104979</v>
      </c>
      <c r="E51" t="s">
        <v>157</v>
      </c>
      <c r="F51" t="s">
        <v>158</v>
      </c>
      <c r="G51">
        <v>5</v>
      </c>
    </row>
    <row r="52" spans="1:7" x14ac:dyDescent="0.25">
      <c r="A52">
        <v>590028838</v>
      </c>
      <c r="B52" t="s">
        <v>116</v>
      </c>
      <c r="C52" t="s">
        <v>117</v>
      </c>
      <c r="D52">
        <v>25010104945</v>
      </c>
      <c r="E52" t="s">
        <v>157</v>
      </c>
      <c r="F52" t="s">
        <v>158</v>
      </c>
      <c r="G52">
        <v>5</v>
      </c>
    </row>
    <row r="53" spans="1:7" x14ac:dyDescent="0.25">
      <c r="A53">
        <v>590029107</v>
      </c>
      <c r="B53" t="s">
        <v>118</v>
      </c>
      <c r="C53" t="s">
        <v>119</v>
      </c>
      <c r="D53">
        <v>25010104988</v>
      </c>
      <c r="E53" t="s">
        <v>157</v>
      </c>
      <c r="F53" t="s">
        <v>158</v>
      </c>
      <c r="G53">
        <v>5</v>
      </c>
    </row>
    <row r="54" spans="1:7" x14ac:dyDescent="0.25">
      <c r="A54">
        <v>590029266</v>
      </c>
      <c r="B54" t="s">
        <v>120</v>
      </c>
      <c r="C54" t="s">
        <v>121</v>
      </c>
      <c r="D54">
        <v>25010104958</v>
      </c>
      <c r="E54" t="s">
        <v>157</v>
      </c>
      <c r="F54" t="s">
        <v>158</v>
      </c>
      <c r="G54">
        <v>5</v>
      </c>
    </row>
    <row r="55" spans="1:7" x14ac:dyDescent="0.25">
      <c r="A55">
        <v>590029354</v>
      </c>
      <c r="B55" t="s">
        <v>122</v>
      </c>
      <c r="C55" t="s">
        <v>123</v>
      </c>
      <c r="D55">
        <v>25010105018</v>
      </c>
      <c r="E55" t="s">
        <v>157</v>
      </c>
      <c r="F55" t="s">
        <v>158</v>
      </c>
      <c r="G55">
        <v>5</v>
      </c>
    </row>
    <row r="56" spans="1:7" x14ac:dyDescent="0.25">
      <c r="A56">
        <v>590029349</v>
      </c>
      <c r="B56" t="s">
        <v>124</v>
      </c>
      <c r="C56" t="s">
        <v>125</v>
      </c>
      <c r="D56">
        <v>25010105017</v>
      </c>
      <c r="E56" t="s">
        <v>157</v>
      </c>
      <c r="F56" t="s">
        <v>158</v>
      </c>
      <c r="G56">
        <v>6</v>
      </c>
    </row>
    <row r="57" spans="1:7" x14ac:dyDescent="0.25">
      <c r="A57">
        <v>590029302</v>
      </c>
      <c r="B57" t="s">
        <v>126</v>
      </c>
      <c r="C57" t="s">
        <v>127</v>
      </c>
      <c r="D57">
        <v>25010104954</v>
      </c>
      <c r="E57" t="s">
        <v>157</v>
      </c>
      <c r="F57" t="s">
        <v>158</v>
      </c>
      <c r="G57">
        <v>6</v>
      </c>
    </row>
    <row r="58" spans="1:7" x14ac:dyDescent="0.25">
      <c r="A58">
        <v>590029262</v>
      </c>
      <c r="B58" t="s">
        <v>128</v>
      </c>
      <c r="C58" t="s">
        <v>129</v>
      </c>
      <c r="D58">
        <v>25010104987</v>
      </c>
      <c r="E58" t="s">
        <v>157</v>
      </c>
      <c r="F58" t="s">
        <v>158</v>
      </c>
      <c r="G58">
        <v>6</v>
      </c>
    </row>
    <row r="59" spans="1:7" x14ac:dyDescent="0.25">
      <c r="A59">
        <v>590029285</v>
      </c>
      <c r="B59" t="s">
        <v>130</v>
      </c>
      <c r="C59" t="s">
        <v>131</v>
      </c>
      <c r="D59">
        <v>25010104949</v>
      </c>
      <c r="E59" t="s">
        <v>157</v>
      </c>
      <c r="F59" t="s">
        <v>158</v>
      </c>
      <c r="G59">
        <v>6</v>
      </c>
    </row>
    <row r="60" spans="1:7" x14ac:dyDescent="0.25">
      <c r="A60">
        <v>590029353</v>
      </c>
      <c r="B60" t="s">
        <v>132</v>
      </c>
      <c r="C60" t="s">
        <v>133</v>
      </c>
      <c r="D60">
        <v>122514758</v>
      </c>
      <c r="E60" t="s">
        <v>157</v>
      </c>
      <c r="F60" t="s">
        <v>158</v>
      </c>
      <c r="G6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Marksheet</vt:lpstr>
      <vt:lpstr>Quiz 1</vt:lpstr>
      <vt:lpstr>Class Test 1</vt:lpstr>
      <vt:lpstr>Mid Sem</vt:lpstr>
      <vt:lpstr>End Sem</vt:lpstr>
      <vt:lpstr>Quiz 2</vt:lpstr>
      <vt:lpstr>Assignment 1</vt:lpstr>
      <vt:lpstr>Assignment 2</vt:lpstr>
      <vt:lpstr>Class Test 2</vt:lpstr>
      <vt:lpstr>Remedial Class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Nitesh Kumar</cp:lastModifiedBy>
  <cp:revision/>
  <cp:lastPrinted>2026-05-01T09:09:52Z</cp:lastPrinted>
  <dcterms:created xsi:type="dcterms:W3CDTF">2025-02-05T08:19:31Z</dcterms:created>
  <dcterms:modified xsi:type="dcterms:W3CDTF">2026-05-24T12:06:30Z</dcterms:modified>
  <cp:category/>
  <cp:contentStatus/>
</cp:coreProperties>
</file>