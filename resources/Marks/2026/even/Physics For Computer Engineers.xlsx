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Physics for Computer Engineers B77 B78/Marks/"/>
    </mc:Choice>
  </mc:AlternateContent>
  <xr:revisionPtr revIDLastSave="2101" documentId="11_3FC952BF37FB7C428065D6D94F732ED04C5A5A3E" xr6:coauthVersionLast="47" xr6:coauthVersionMax="47" xr10:uidLastSave="{51E619B3-9BF9-4F24-92D1-54D0294B19FB}"/>
  <bookViews>
    <workbookView xWindow="-120" yWindow="-120" windowWidth="20730" windowHeight="11040" tabRatio="553" activeTab="2" xr2:uid="{00000000-000D-0000-FFFF-FFFF00000000}"/>
  </bookViews>
  <sheets>
    <sheet name="Marksheet" sheetId="2" r:id="rId1"/>
    <sheet name="Quiz 1" sheetId="13" r:id="rId2"/>
    <sheet name="Class Test 1" sheetId="7" r:id="rId3"/>
    <sheet name="Mid Sem" sheetId="5" r:id="rId4"/>
    <sheet name="End Sem" sheetId="4" r:id="rId5"/>
    <sheet name="Quiz 2" sheetId="14" r:id="rId6"/>
    <sheet name="Assignment 1" sheetId="6" r:id="rId7"/>
    <sheet name="Assignment 2" sheetId="9" r:id="rId8"/>
    <sheet name="Class Test 2" sheetId="8" r:id="rId9"/>
    <sheet name="Sheet2" sheetId="11" state="hidden" r:id="rId10"/>
    <sheet name="Sheet3" sheetId="12" state="hidden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7" l="1"/>
  <c r="S5" i="7"/>
  <c r="O51" i="13"/>
  <c r="S7" i="13"/>
  <c r="T7" i="13"/>
  <c r="S8" i="13"/>
  <c r="T8" i="13"/>
  <c r="S9" i="13"/>
  <c r="T9" i="13"/>
  <c r="U9" i="13"/>
  <c r="S10" i="13"/>
  <c r="U10" i="13" s="1"/>
  <c r="T10" i="13"/>
  <c r="S11" i="13"/>
  <c r="T11" i="13"/>
  <c r="S12" i="13"/>
  <c r="T12" i="13"/>
  <c r="S13" i="13"/>
  <c r="T13" i="13"/>
  <c r="S14" i="13"/>
  <c r="T14" i="13"/>
  <c r="U14" i="13"/>
  <c r="S15" i="13"/>
  <c r="T15" i="13"/>
  <c r="S16" i="13"/>
  <c r="T16" i="13"/>
  <c r="S17" i="13"/>
  <c r="U17" i="13" s="1"/>
  <c r="T17" i="13"/>
  <c r="S18" i="13"/>
  <c r="T18" i="13"/>
  <c r="S19" i="13"/>
  <c r="T19" i="13"/>
  <c r="S20" i="13"/>
  <c r="T20" i="13"/>
  <c r="S21" i="13"/>
  <c r="T21" i="13"/>
  <c r="S22" i="13"/>
  <c r="T22" i="13"/>
  <c r="S23" i="13"/>
  <c r="T23" i="13"/>
  <c r="S24" i="13"/>
  <c r="T24" i="13"/>
  <c r="S25" i="13"/>
  <c r="T25" i="13"/>
  <c r="S26" i="13"/>
  <c r="T26" i="13"/>
  <c r="U26" i="13" s="1"/>
  <c r="S27" i="13"/>
  <c r="T27" i="13"/>
  <c r="S28" i="13"/>
  <c r="T28" i="13"/>
  <c r="S29" i="13"/>
  <c r="T29" i="13"/>
  <c r="S30" i="13"/>
  <c r="T30" i="13"/>
  <c r="S31" i="13"/>
  <c r="T31" i="13"/>
  <c r="S32" i="13"/>
  <c r="T32" i="13"/>
  <c r="S33" i="13"/>
  <c r="T33" i="13"/>
  <c r="S34" i="13"/>
  <c r="T34" i="13"/>
  <c r="S35" i="13"/>
  <c r="T35" i="13"/>
  <c r="S36" i="13"/>
  <c r="T36" i="13"/>
  <c r="S37" i="13"/>
  <c r="T37" i="13"/>
  <c r="S38" i="13"/>
  <c r="T38" i="13"/>
  <c r="S39" i="13"/>
  <c r="T39" i="13"/>
  <c r="S40" i="13"/>
  <c r="T40" i="13"/>
  <c r="S41" i="13"/>
  <c r="T41" i="13"/>
  <c r="S42" i="13"/>
  <c r="T42" i="13"/>
  <c r="U42" i="13" s="1"/>
  <c r="S43" i="13"/>
  <c r="T43" i="13"/>
  <c r="S44" i="13"/>
  <c r="T44" i="13"/>
  <c r="S45" i="13"/>
  <c r="T45" i="13"/>
  <c r="S46" i="13"/>
  <c r="T46" i="13"/>
  <c r="S47" i="13"/>
  <c r="T47" i="13"/>
  <c r="S48" i="13"/>
  <c r="T48" i="13"/>
  <c r="S49" i="13"/>
  <c r="T49" i="13"/>
  <c r="S50" i="13"/>
  <c r="T50" i="13"/>
  <c r="S51" i="13"/>
  <c r="T51" i="13"/>
  <c r="S52" i="13"/>
  <c r="T52" i="13"/>
  <c r="S53" i="13"/>
  <c r="T53" i="13"/>
  <c r="S54" i="13"/>
  <c r="T54" i="13"/>
  <c r="S55" i="13"/>
  <c r="T55" i="13"/>
  <c r="S56" i="13"/>
  <c r="T56" i="13"/>
  <c r="S57" i="13"/>
  <c r="T57" i="13"/>
  <c r="S58" i="13"/>
  <c r="T58" i="13"/>
  <c r="S59" i="13"/>
  <c r="T59" i="13"/>
  <c r="S60" i="13"/>
  <c r="T60" i="13"/>
  <c r="S61" i="13"/>
  <c r="T61" i="13"/>
  <c r="S62" i="13"/>
  <c r="T62" i="13"/>
  <c r="S63" i="13"/>
  <c r="T63" i="13"/>
  <c r="S64" i="13"/>
  <c r="T64" i="13"/>
  <c r="T6" i="13"/>
  <c r="S6" i="13"/>
  <c r="U6" i="13" s="1"/>
  <c r="O7" i="13"/>
  <c r="O8" i="13"/>
  <c r="O9" i="13"/>
  <c r="O10" i="13"/>
  <c r="O11" i="13"/>
  <c r="O12" i="13"/>
  <c r="O13" i="13"/>
  <c r="O14" i="13"/>
  <c r="O16" i="13"/>
  <c r="O17" i="13"/>
  <c r="O20" i="13"/>
  <c r="O21" i="13"/>
  <c r="O23" i="13"/>
  <c r="O24" i="13"/>
  <c r="O25" i="13"/>
  <c r="O26" i="13"/>
  <c r="O27" i="13"/>
  <c r="O28" i="13"/>
  <c r="O30" i="13"/>
  <c r="O31" i="13"/>
  <c r="O32" i="13"/>
  <c r="O33" i="13"/>
  <c r="O34" i="13"/>
  <c r="O35" i="13"/>
  <c r="O36" i="13"/>
  <c r="O37" i="13"/>
  <c r="O38" i="13"/>
  <c r="O39" i="13"/>
  <c r="O40" i="13"/>
  <c r="O42" i="13"/>
  <c r="O45" i="13"/>
  <c r="O46" i="13"/>
  <c r="O47" i="13"/>
  <c r="O48" i="13"/>
  <c r="O49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" i="13"/>
  <c r="S5" i="6"/>
  <c r="R5" i="6"/>
  <c r="T5" i="6"/>
  <c r="N5" i="6"/>
  <c r="T5" i="13"/>
  <c r="S5" i="13"/>
  <c r="O5" i="13"/>
  <c r="R4" i="2"/>
  <c r="M4" i="2"/>
  <c r="J4" i="2"/>
  <c r="L4" i="2" s="1"/>
  <c r="B65" i="14"/>
  <c r="A65" i="14"/>
  <c r="A33" i="14"/>
  <c r="B23" i="14"/>
  <c r="A21" i="14"/>
  <c r="A9" i="14"/>
  <c r="A2" i="14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A65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B6" i="7"/>
  <c r="A6" i="7"/>
  <c r="B22" i="9"/>
  <c r="B25" i="9"/>
  <c r="B34" i="9"/>
  <c r="B65" i="9"/>
  <c r="B66" i="9"/>
  <c r="A65" i="9"/>
  <c r="A66" i="9"/>
  <c r="A21" i="6"/>
  <c r="A45" i="6"/>
  <c r="A47" i="6"/>
  <c r="A57" i="6"/>
  <c r="B65" i="4"/>
  <c r="B66" i="4"/>
  <c r="A65" i="4"/>
  <c r="A66" i="4"/>
  <c r="A21" i="4"/>
  <c r="A33" i="4"/>
  <c r="B7" i="5"/>
  <c r="A7" i="14" s="1"/>
  <c r="B8" i="5"/>
  <c r="B9" i="5"/>
  <c r="A9" i="13" s="1"/>
  <c r="B10" i="5"/>
  <c r="A10" i="14" s="1"/>
  <c r="B11" i="5"/>
  <c r="A11" i="14" s="1"/>
  <c r="B12" i="5"/>
  <c r="A12" i="14" s="1"/>
  <c r="B13" i="5"/>
  <c r="B14" i="5"/>
  <c r="A14" i="13" s="1"/>
  <c r="B15" i="5"/>
  <c r="A15" i="14" s="1"/>
  <c r="B16" i="5"/>
  <c r="A16" i="14" s="1"/>
  <c r="B17" i="5"/>
  <c r="A17" i="14" s="1"/>
  <c r="B18" i="5"/>
  <c r="A18" i="6" s="1"/>
  <c r="B19" i="5"/>
  <c r="A19" i="4" s="1"/>
  <c r="B20" i="5"/>
  <c r="A20" i="9" s="1"/>
  <c r="B21" i="5"/>
  <c r="A21" i="9" s="1"/>
  <c r="B22" i="5"/>
  <c r="A22" i="14" s="1"/>
  <c r="B23" i="5"/>
  <c r="A23" i="14" s="1"/>
  <c r="B24" i="5"/>
  <c r="A24" i="6" s="1"/>
  <c r="B25" i="5"/>
  <c r="A25" i="4" s="1"/>
  <c r="B26" i="5"/>
  <c r="A26" i="9" s="1"/>
  <c r="B27" i="5"/>
  <c r="A27" i="9" s="1"/>
  <c r="B28" i="5"/>
  <c r="A28" i="6" s="1"/>
  <c r="B29" i="5"/>
  <c r="A29" i="14" s="1"/>
  <c r="B30" i="5"/>
  <c r="A30" i="6" s="1"/>
  <c r="B31" i="5"/>
  <c r="A31" i="4" s="1"/>
  <c r="B32" i="5"/>
  <c r="B33" i="5"/>
  <c r="A33" i="9" s="1"/>
  <c r="B34" i="5"/>
  <c r="A34" i="14" s="1"/>
  <c r="B35" i="5"/>
  <c r="A35" i="14" s="1"/>
  <c r="B36" i="5"/>
  <c r="A36" i="6" s="1"/>
  <c r="B37" i="5"/>
  <c r="A37" i="9" s="1"/>
  <c r="B38" i="5"/>
  <c r="A38" i="9" s="1"/>
  <c r="B39" i="5"/>
  <c r="A39" i="9" s="1"/>
  <c r="B40" i="5"/>
  <c r="A40" i="6" s="1"/>
  <c r="B41" i="5"/>
  <c r="A41" i="14" s="1"/>
  <c r="B42" i="5"/>
  <c r="A42" i="6" s="1"/>
  <c r="B43" i="5"/>
  <c r="A43" i="4" s="1"/>
  <c r="B44" i="5"/>
  <c r="A44" i="9" s="1"/>
  <c r="B45" i="5"/>
  <c r="A45" i="9" s="1"/>
  <c r="B46" i="5"/>
  <c r="A46" i="14" s="1"/>
  <c r="B47" i="5"/>
  <c r="A47" i="14" s="1"/>
  <c r="B48" i="5"/>
  <c r="A48" i="4" s="1"/>
  <c r="B49" i="5"/>
  <c r="A49" i="9" s="1"/>
  <c r="B50" i="5"/>
  <c r="A50" i="9" s="1"/>
  <c r="B51" i="5"/>
  <c r="A51" i="9" s="1"/>
  <c r="B52" i="5"/>
  <c r="A52" i="6" s="1"/>
  <c r="B53" i="5"/>
  <c r="A53" i="14" s="1"/>
  <c r="B54" i="5"/>
  <c r="A54" i="6" s="1"/>
  <c r="B55" i="5"/>
  <c r="A55" i="9" s="1"/>
  <c r="B56" i="5"/>
  <c r="A56" i="9" s="1"/>
  <c r="B57" i="5"/>
  <c r="A57" i="9" s="1"/>
  <c r="B58" i="5"/>
  <c r="A58" i="14" s="1"/>
  <c r="B59" i="5"/>
  <c r="A59" i="14" s="1"/>
  <c r="B60" i="5"/>
  <c r="A60" i="4" s="1"/>
  <c r="B61" i="5"/>
  <c r="A61" i="9" s="1"/>
  <c r="B62" i="5"/>
  <c r="A62" i="9" s="1"/>
  <c r="B63" i="5"/>
  <c r="A63" i="9" s="1"/>
  <c r="B64" i="5"/>
  <c r="A64" i="6" s="1"/>
  <c r="B6" i="5"/>
  <c r="A6" i="14" s="1"/>
  <c r="A57" i="5"/>
  <c r="B57" i="14" s="1"/>
  <c r="A58" i="5"/>
  <c r="B58" i="14" s="1"/>
  <c r="A59" i="5"/>
  <c r="B59" i="9" s="1"/>
  <c r="A60" i="5"/>
  <c r="B60" i="9" s="1"/>
  <c r="A61" i="5"/>
  <c r="B61" i="14" s="1"/>
  <c r="A62" i="5"/>
  <c r="B62" i="9" s="1"/>
  <c r="A63" i="5"/>
  <c r="B63" i="6" s="1"/>
  <c r="A64" i="5"/>
  <c r="A56" i="5"/>
  <c r="B56" i="9" s="1"/>
  <c r="A55" i="5"/>
  <c r="B55" i="14" s="1"/>
  <c r="A54" i="5"/>
  <c r="B54" i="9" s="1"/>
  <c r="A53" i="5"/>
  <c r="B53" i="13" s="1"/>
  <c r="A52" i="5"/>
  <c r="B52" i="14" s="1"/>
  <c r="A51" i="5"/>
  <c r="B51" i="6" s="1"/>
  <c r="A50" i="5"/>
  <c r="A49" i="5"/>
  <c r="B49" i="14" s="1"/>
  <c r="A48" i="5"/>
  <c r="B48" i="9" s="1"/>
  <c r="A47" i="5"/>
  <c r="B47" i="13" s="1"/>
  <c r="A46" i="5"/>
  <c r="B46" i="14" s="1"/>
  <c r="A45" i="5"/>
  <c r="B45" i="6" s="1"/>
  <c r="A44" i="5"/>
  <c r="B44" i="9" s="1"/>
  <c r="A43" i="5"/>
  <c r="B43" i="14" s="1"/>
  <c r="A42" i="5"/>
  <c r="B42" i="9" s="1"/>
  <c r="A41" i="5"/>
  <c r="B41" i="13" s="1"/>
  <c r="A40" i="5"/>
  <c r="B40" i="14" s="1"/>
  <c r="A39" i="5"/>
  <c r="B39" i="6" s="1"/>
  <c r="A38" i="5"/>
  <c r="B38" i="6" s="1"/>
  <c r="A37" i="5"/>
  <c r="B37" i="14" s="1"/>
  <c r="A36" i="5"/>
  <c r="B36" i="9" s="1"/>
  <c r="A35" i="5"/>
  <c r="B35" i="13" s="1"/>
  <c r="A34" i="5"/>
  <c r="B34" i="13" s="1"/>
  <c r="A33" i="5"/>
  <c r="A32" i="5"/>
  <c r="B32" i="9" s="1"/>
  <c r="A31" i="5"/>
  <c r="B31" i="14" s="1"/>
  <c r="A30" i="5"/>
  <c r="B30" i="9" s="1"/>
  <c r="A29" i="5"/>
  <c r="B29" i="13" s="1"/>
  <c r="A28" i="5"/>
  <c r="B28" i="14" s="1"/>
  <c r="A27" i="5"/>
  <c r="B27" i="6" s="1"/>
  <c r="A26" i="5"/>
  <c r="B26" i="4" s="1"/>
  <c r="A25" i="5"/>
  <c r="B25" i="14" s="1"/>
  <c r="A24" i="5"/>
  <c r="B24" i="9" s="1"/>
  <c r="A23" i="5"/>
  <c r="B23" i="13" s="1"/>
  <c r="A22" i="5"/>
  <c r="B22" i="14" s="1"/>
  <c r="A21" i="5"/>
  <c r="B21" i="6" s="1"/>
  <c r="A20" i="5"/>
  <c r="B20" i="9" s="1"/>
  <c r="A19" i="5"/>
  <c r="B19" i="14" s="1"/>
  <c r="A18" i="5"/>
  <c r="B18" i="9" s="1"/>
  <c r="A17" i="5"/>
  <c r="B17" i="13" s="1"/>
  <c r="A16" i="5"/>
  <c r="B16" i="14" s="1"/>
  <c r="A15" i="5"/>
  <c r="B15" i="14" s="1"/>
  <c r="A14" i="5"/>
  <c r="A13" i="5"/>
  <c r="B13" i="14" s="1"/>
  <c r="A12" i="5"/>
  <c r="B12" i="14" s="1"/>
  <c r="A11" i="5"/>
  <c r="B11" i="13" s="1"/>
  <c r="A10" i="5"/>
  <c r="B10" i="14" s="1"/>
  <c r="A9" i="5"/>
  <c r="A8" i="5"/>
  <c r="B8" i="14" s="1"/>
  <c r="A7" i="5"/>
  <c r="B7" i="14" s="1"/>
  <c r="A6" i="5"/>
  <c r="B6" i="14" s="1"/>
  <c r="U5" i="7" l="1"/>
  <c r="U58" i="13"/>
  <c r="U21" i="13"/>
  <c r="U57" i="13"/>
  <c r="U62" i="13"/>
  <c r="U53" i="13"/>
  <c r="U18" i="13"/>
  <c r="U40" i="13"/>
  <c r="U34" i="13"/>
  <c r="U22" i="13"/>
  <c r="U45" i="13"/>
  <c r="U33" i="13"/>
  <c r="U38" i="13"/>
  <c r="U49" i="13"/>
  <c r="U13" i="13"/>
  <c r="U5" i="13"/>
  <c r="U29" i="13"/>
  <c r="U59" i="13"/>
  <c r="U11" i="13"/>
  <c r="U64" i="13"/>
  <c r="U37" i="13"/>
  <c r="U36" i="13"/>
  <c r="U31" i="13"/>
  <c r="U46" i="13"/>
  <c r="U41" i="13"/>
  <c r="U25" i="13"/>
  <c r="U35" i="13"/>
  <c r="U30" i="13"/>
  <c r="U54" i="13"/>
  <c r="U16" i="13"/>
  <c r="U61" i="13"/>
  <c r="U50" i="13"/>
  <c r="U60" i="13"/>
  <c r="U55" i="13"/>
  <c r="U12" i="13"/>
  <c r="U7" i="13"/>
  <c r="U15" i="13"/>
  <c r="U63" i="13"/>
  <c r="U39" i="13"/>
  <c r="U48" i="13"/>
  <c r="U24" i="13"/>
  <c r="U19" i="13"/>
  <c r="U52" i="13"/>
  <c r="U47" i="13"/>
  <c r="U28" i="13"/>
  <c r="U23" i="13"/>
  <c r="U44" i="13"/>
  <c r="U43" i="13"/>
  <c r="U56" i="13"/>
  <c r="U51" i="13"/>
  <c r="U32" i="13"/>
  <c r="U27" i="13"/>
  <c r="U8" i="13"/>
  <c r="U20" i="13"/>
  <c r="A50" i="6"/>
  <c r="B32" i="6"/>
  <c r="B49" i="4"/>
  <c r="A33" i="13"/>
  <c r="B47" i="4"/>
  <c r="B37" i="13"/>
  <c r="A6" i="13"/>
  <c r="B38" i="4"/>
  <c r="A45" i="13"/>
  <c r="B49" i="13"/>
  <c r="A57" i="13"/>
  <c r="A27" i="4"/>
  <c r="A26" i="4"/>
  <c r="A24" i="4"/>
  <c r="B44" i="4"/>
  <c r="B62" i="6"/>
  <c r="B8" i="13"/>
  <c r="B56" i="6"/>
  <c r="A60" i="13"/>
  <c r="B41" i="6"/>
  <c r="B46" i="9"/>
  <c r="A12" i="13"/>
  <c r="A51" i="14"/>
  <c r="A64" i="4"/>
  <c r="B23" i="4"/>
  <c r="B43" i="9"/>
  <c r="A24" i="13"/>
  <c r="A57" i="14"/>
  <c r="A26" i="14"/>
  <c r="A48" i="13"/>
  <c r="A23" i="4"/>
  <c r="B7" i="13"/>
  <c r="A50" i="14"/>
  <c r="B25" i="4"/>
  <c r="A63" i="13"/>
  <c r="A47" i="4"/>
  <c r="A63" i="4"/>
  <c r="B20" i="4"/>
  <c r="B37" i="6"/>
  <c r="B37" i="9"/>
  <c r="B25" i="13"/>
  <c r="B44" i="13"/>
  <c r="B45" i="4"/>
  <c r="A27" i="14"/>
  <c r="B47" i="14"/>
  <c r="A45" i="4"/>
  <c r="A62" i="4"/>
  <c r="B35" i="6"/>
  <c r="B35" i="9"/>
  <c r="A27" i="13"/>
  <c r="B40" i="9"/>
  <c r="B57" i="6"/>
  <c r="B19" i="4"/>
  <c r="B29" i="14"/>
  <c r="A39" i="4"/>
  <c r="B41" i="4"/>
  <c r="A38" i="6"/>
  <c r="B55" i="6"/>
  <c r="B31" i="6"/>
  <c r="B32" i="13"/>
  <c r="A54" i="13"/>
  <c r="B32" i="14"/>
  <c r="B56" i="14"/>
  <c r="A38" i="4"/>
  <c r="A18" i="4"/>
  <c r="A63" i="6"/>
  <c r="A35" i="6"/>
  <c r="B53" i="6"/>
  <c r="B29" i="6"/>
  <c r="B31" i="9"/>
  <c r="B13" i="13"/>
  <c r="B55" i="13"/>
  <c r="A36" i="4"/>
  <c r="A53" i="4"/>
  <c r="B62" i="4"/>
  <c r="B37" i="4"/>
  <c r="A62" i="6"/>
  <c r="A33" i="6"/>
  <c r="B49" i="6"/>
  <c r="B25" i="6"/>
  <c r="B28" i="9"/>
  <c r="A15" i="13"/>
  <c r="A36" i="13"/>
  <c r="B56" i="13"/>
  <c r="B11" i="14"/>
  <c r="B35" i="14"/>
  <c r="A62" i="14"/>
  <c r="A42" i="4"/>
  <c r="A41" i="6"/>
  <c r="A30" i="13"/>
  <c r="A41" i="4"/>
  <c r="B43" i="4"/>
  <c r="A39" i="6"/>
  <c r="B31" i="13"/>
  <c r="A51" i="13"/>
  <c r="B53" i="14"/>
  <c r="A35" i="4"/>
  <c r="A51" i="4"/>
  <c r="B57" i="4"/>
  <c r="B35" i="4"/>
  <c r="A59" i="6"/>
  <c r="A29" i="6"/>
  <c r="B47" i="6"/>
  <c r="B23" i="6"/>
  <c r="B55" i="9"/>
  <c r="A18" i="13"/>
  <c r="A14" i="14"/>
  <c r="A38" i="14"/>
  <c r="B62" i="14"/>
  <c r="A50" i="4"/>
  <c r="B56" i="4"/>
  <c r="B32" i="4"/>
  <c r="A27" i="6"/>
  <c r="B52" i="9"/>
  <c r="B23" i="9"/>
  <c r="B19" i="13"/>
  <c r="A39" i="13"/>
  <c r="A39" i="14"/>
  <c r="A63" i="14"/>
  <c r="A30" i="4"/>
  <c r="A58" i="4"/>
  <c r="B55" i="4"/>
  <c r="B31" i="4"/>
  <c r="A53" i="6"/>
  <c r="A26" i="6"/>
  <c r="B44" i="6"/>
  <c r="B20" i="6"/>
  <c r="B49" i="9"/>
  <c r="B20" i="13"/>
  <c r="A42" i="13"/>
  <c r="B60" i="13"/>
  <c r="B17" i="14"/>
  <c r="B41" i="14"/>
  <c r="A64" i="14"/>
  <c r="A29" i="4"/>
  <c r="A57" i="4"/>
  <c r="B53" i="4"/>
  <c r="B29" i="4"/>
  <c r="A51" i="6"/>
  <c r="A23" i="6"/>
  <c r="B43" i="6"/>
  <c r="B19" i="6"/>
  <c r="B47" i="9"/>
  <c r="B19" i="9"/>
  <c r="A21" i="13"/>
  <c r="B43" i="13"/>
  <c r="B62" i="13"/>
  <c r="B20" i="14"/>
  <c r="B44" i="14"/>
  <c r="A45" i="14"/>
  <c r="B33" i="14"/>
  <c r="B33" i="13"/>
  <c r="B33" i="9"/>
  <c r="A13" i="14"/>
  <c r="A13" i="13"/>
  <c r="B9" i="14"/>
  <c r="B9" i="13"/>
  <c r="B45" i="14"/>
  <c r="B45" i="13"/>
  <c r="B45" i="9"/>
  <c r="B64" i="14"/>
  <c r="B64" i="6"/>
  <c r="B64" i="4"/>
  <c r="B64" i="13"/>
  <c r="A61" i="4"/>
  <c r="A61" i="14"/>
  <c r="A61" i="13"/>
  <c r="A61" i="6"/>
  <c r="A49" i="4"/>
  <c r="A49" i="14"/>
  <c r="A49" i="13"/>
  <c r="A49" i="6"/>
  <c r="A25" i="14"/>
  <c r="A25" i="13"/>
  <c r="A25" i="6"/>
  <c r="B64" i="9"/>
  <c r="B33" i="6"/>
  <c r="B14" i="14"/>
  <c r="B14" i="13"/>
  <c r="B26" i="14"/>
  <c r="B26" i="13"/>
  <c r="B26" i="9"/>
  <c r="B38" i="14"/>
  <c r="B38" i="13"/>
  <c r="B38" i="9"/>
  <c r="B50" i="14"/>
  <c r="B50" i="13"/>
  <c r="B50" i="9"/>
  <c r="B59" i="14"/>
  <c r="B59" i="13"/>
  <c r="B59" i="6"/>
  <c r="B59" i="4"/>
  <c r="A56" i="14"/>
  <c r="A56" i="6"/>
  <c r="A56" i="13"/>
  <c r="A56" i="4"/>
  <c r="A44" i="4"/>
  <c r="A44" i="6"/>
  <c r="A44" i="14"/>
  <c r="A44" i="13"/>
  <c r="A32" i="4"/>
  <c r="A32" i="6"/>
  <c r="A32" i="14"/>
  <c r="A32" i="13"/>
  <c r="A20" i="4"/>
  <c r="A20" i="6"/>
  <c r="A20" i="14"/>
  <c r="A20" i="13"/>
  <c r="A8" i="14"/>
  <c r="A8" i="13"/>
  <c r="B33" i="4"/>
  <c r="B50" i="6"/>
  <c r="B21" i="14"/>
  <c r="B21" i="13"/>
  <c r="B21" i="9"/>
  <c r="A37" i="14"/>
  <c r="A37" i="13"/>
  <c r="A37" i="6"/>
  <c r="B21" i="4"/>
  <c r="A37" i="4"/>
  <c r="A32" i="9"/>
  <c r="B50" i="4"/>
  <c r="B26" i="6"/>
  <c r="A25" i="9"/>
  <c r="A60" i="14"/>
  <c r="A55" i="4"/>
  <c r="B61" i="4"/>
  <c r="B61" i="6"/>
  <c r="A60" i="9"/>
  <c r="A48" i="9"/>
  <c r="A36" i="9"/>
  <c r="A24" i="9"/>
  <c r="B63" i="9"/>
  <c r="B51" i="9"/>
  <c r="B39" i="9"/>
  <c r="B27" i="9"/>
  <c r="B6" i="13"/>
  <c r="B12" i="13"/>
  <c r="B18" i="13"/>
  <c r="B24" i="13"/>
  <c r="B30" i="13"/>
  <c r="B36" i="13"/>
  <c r="B42" i="13"/>
  <c r="B48" i="13"/>
  <c r="B54" i="13"/>
  <c r="A18" i="14"/>
  <c r="A24" i="14"/>
  <c r="A30" i="14"/>
  <c r="A36" i="14"/>
  <c r="A42" i="14"/>
  <c r="A48" i="14"/>
  <c r="A54" i="14"/>
  <c r="A40" i="4"/>
  <c r="A28" i="4"/>
  <c r="A54" i="4"/>
  <c r="B60" i="4"/>
  <c r="B48" i="4"/>
  <c r="B36" i="4"/>
  <c r="B24" i="4"/>
  <c r="A60" i="6"/>
  <c r="A48" i="6"/>
  <c r="B60" i="6"/>
  <c r="B48" i="6"/>
  <c r="B36" i="6"/>
  <c r="B24" i="6"/>
  <c r="A59" i="9"/>
  <c r="A47" i="9"/>
  <c r="A35" i="9"/>
  <c r="A23" i="9"/>
  <c r="A7" i="13"/>
  <c r="A19" i="13"/>
  <c r="A31" i="13"/>
  <c r="A43" i="13"/>
  <c r="A55" i="13"/>
  <c r="B18" i="14"/>
  <c r="B24" i="14"/>
  <c r="B30" i="14"/>
  <c r="B36" i="14"/>
  <c r="B42" i="14"/>
  <c r="B48" i="14"/>
  <c r="B54" i="14"/>
  <c r="B60" i="14"/>
  <c r="A58" i="9"/>
  <c r="A46" i="9"/>
  <c r="A34" i="9"/>
  <c r="A22" i="9"/>
  <c r="B61" i="9"/>
  <c r="B61" i="13"/>
  <c r="A19" i="14"/>
  <c r="A31" i="14"/>
  <c r="A43" i="14"/>
  <c r="A55" i="14"/>
  <c r="A52" i="4"/>
  <c r="B58" i="4"/>
  <c r="B46" i="4"/>
  <c r="B34" i="4"/>
  <c r="B22" i="4"/>
  <c r="A58" i="6"/>
  <c r="A46" i="6"/>
  <c r="A34" i="6"/>
  <c r="A22" i="6"/>
  <c r="B58" i="6"/>
  <c r="B46" i="6"/>
  <c r="B34" i="6"/>
  <c r="B22" i="6"/>
  <c r="A26" i="13"/>
  <c r="A38" i="13"/>
  <c r="A50" i="13"/>
  <c r="A62" i="13"/>
  <c r="A55" i="6"/>
  <c r="A43" i="6"/>
  <c r="A31" i="6"/>
  <c r="A19" i="6"/>
  <c r="A54" i="9"/>
  <c r="A42" i="9"/>
  <c r="A30" i="9"/>
  <c r="A18" i="9"/>
  <c r="B57" i="9"/>
  <c r="B15" i="13"/>
  <c r="B27" i="13"/>
  <c r="B39" i="13"/>
  <c r="B51" i="13"/>
  <c r="B57" i="13"/>
  <c r="B63" i="13"/>
  <c r="A46" i="4"/>
  <c r="A34" i="4"/>
  <c r="A22" i="4"/>
  <c r="B54" i="4"/>
  <c r="B42" i="4"/>
  <c r="B30" i="4"/>
  <c r="B18" i="4"/>
  <c r="B54" i="6"/>
  <c r="B42" i="6"/>
  <c r="B30" i="6"/>
  <c r="B18" i="6"/>
  <c r="A53" i="9"/>
  <c r="A41" i="9"/>
  <c r="A29" i="9"/>
  <c r="A10" i="13"/>
  <c r="A16" i="13"/>
  <c r="A22" i="13"/>
  <c r="A28" i="13"/>
  <c r="A34" i="13"/>
  <c r="A40" i="13"/>
  <c r="A46" i="13"/>
  <c r="A52" i="13"/>
  <c r="A58" i="13"/>
  <c r="A64" i="13"/>
  <c r="B27" i="14"/>
  <c r="B39" i="14"/>
  <c r="B51" i="14"/>
  <c r="B63" i="14"/>
  <c r="A43" i="9"/>
  <c r="A31" i="9"/>
  <c r="A19" i="9"/>
  <c r="B58" i="9"/>
  <c r="A64" i="9"/>
  <c r="A52" i="9"/>
  <c r="A40" i="9"/>
  <c r="A28" i="9"/>
  <c r="B10" i="13"/>
  <c r="B16" i="13"/>
  <c r="B22" i="13"/>
  <c r="B28" i="13"/>
  <c r="B40" i="13"/>
  <c r="B46" i="13"/>
  <c r="B52" i="13"/>
  <c r="B58" i="13"/>
  <c r="A28" i="14"/>
  <c r="A40" i="14"/>
  <c r="A52" i="14"/>
  <c r="B52" i="4"/>
  <c r="B40" i="4"/>
  <c r="B28" i="4"/>
  <c r="B52" i="6"/>
  <c r="B40" i="6"/>
  <c r="B28" i="6"/>
  <c r="A11" i="13"/>
  <c r="A17" i="13"/>
  <c r="A23" i="13"/>
  <c r="A29" i="13"/>
  <c r="A35" i="13"/>
  <c r="A41" i="13"/>
  <c r="A47" i="13"/>
  <c r="A53" i="13"/>
  <c r="A59" i="13"/>
  <c r="B34" i="14"/>
  <c r="A59" i="4"/>
  <c r="B63" i="4"/>
  <c r="B51" i="4"/>
  <c r="B39" i="4"/>
  <c r="B27" i="4"/>
  <c r="B53" i="9"/>
  <c r="B41" i="9"/>
  <c r="B29" i="9"/>
  <c r="B7" i="4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Q4" i="2"/>
  <c r="N4" i="2"/>
  <c r="O5" i="7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5" i="5"/>
  <c r="A2" i="9"/>
  <c r="B7" i="9"/>
  <c r="A2" i="4"/>
  <c r="A2" i="8"/>
  <c r="A2" i="7"/>
  <c r="A2" i="6"/>
  <c r="A2" i="5"/>
  <c r="B14" i="6" l="1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</calcChain>
</file>

<file path=xl/sharedStrings.xml><?xml version="1.0" encoding="utf-8"?>
<sst xmlns="http://schemas.openxmlformats.org/spreadsheetml/2006/main" count="844" uniqueCount="169">
  <si>
    <t>Final Marks</t>
  </si>
  <si>
    <t xml:space="preserve">Computatioal Astrophysics (PHYS 8202) </t>
  </si>
  <si>
    <t xml:space="preserve">Name </t>
  </si>
  <si>
    <t>SAP ID</t>
  </si>
  <si>
    <t>Batch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</si>
  <si>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</si>
  <si>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</si>
  <si>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</si>
  <si>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</si>
  <si>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</si>
  <si>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</si>
  <si>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</si>
  <si>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</si>
  <si>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</si>
  <si>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</si>
  <si>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</si>
  <si>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</si>
  <si>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</si>
  <si>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</si>
  <si>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</si>
  <si>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</si>
  <si>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</si>
  <si>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</si>
  <si>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</si>
  <si>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</si>
  <si>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</si>
  <si>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</si>
  <si>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</si>
  <si>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</si>
  <si>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</si>
  <si>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</si>
  <si>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</si>
  <si>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</si>
  <si>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</si>
  <si>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</si>
  <si>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</si>
  <si>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</si>
  <si>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</si>
  <si>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</si>
  <si>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</si>
  <si>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</si>
  <si>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</si>
  <si>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</si>
  <si>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</si>
  <si>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</si>
  <si>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</si>
  <si>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</si>
  <si>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</si>
  <si>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</si>
  <si>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</si>
  <si>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</si>
  <si>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</si>
  <si>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</si>
  <si>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</si>
  <si>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</si>
  <si>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</si>
  <si>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</si>
  <si>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</si>
  <si>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</si>
  <si>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</si>
  <si>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</si>
  <si>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</si>
  <si>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</si>
  <si>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</si>
  <si>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</si>
  <si>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</si>
  <si>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</si>
  <si>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</si>
  <si>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</si>
  <si>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</si>
  <si>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</si>
  <si>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</si>
  <si>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</si>
  <si>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</si>
  <si>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</si>
  <si>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</si>
  <si>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</si>
  <si>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</si>
  <si>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</si>
  <si>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</si>
  <si>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</si>
  <si>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</si>
  <si>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</si>
  <si>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</si>
  <si>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</si>
  <si>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</si>
  <si>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</si>
  <si>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</si>
  <si>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</si>
  <si>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</si>
  <si>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</si>
  <si>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</si>
  <si>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</si>
  <si>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</si>
  <si>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</si>
  <si>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</si>
  <si>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</si>
  <si>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</si>
  <si>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</si>
  <si>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</si>
  <si>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</si>
  <si>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</si>
  <si>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</si>
  <si>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</si>
  <si>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</si>
  <si>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</si>
  <si>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</si>
  <si>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</si>
  <si>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</si>
  <si>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</si>
  <si>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</si>
  <si>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</si>
  <si>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</si>
  <si>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</si>
  <si>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</si>
  <si>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</si>
  <si>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</si>
  <si>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</si>
  <si>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</si>
  <si>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</si>
  <si>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</si>
  <si>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</si>
  <si>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</si>
  <si>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</si>
  <si>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</si>
  <si>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</si>
  <si>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</si>
  <si>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</si>
  <si>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</si>
  <si>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</si>
  <si>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</si>
  <si>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</si>
  <si>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</si>
  <si>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</si>
  <si>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</si>
  <si>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</si>
  <si>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</si>
  <si>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</si>
  <si>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</si>
  <si>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</si>
  <si>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</si>
  <si>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</si>
  <si>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</si>
  <si>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</si>
  <si>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</si>
  <si>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</si>
  <si>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</si>
  <si>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</si>
  <si>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</si>
  <si>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</si>
  <si>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</si>
  <si>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</si>
  <si>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</si>
  <si>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</si>
  <si>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</si>
  <si>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</si>
  <si>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</si>
  <si>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</si>
  <si>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</si>
  <si>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</si>
  <si>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</si>
  <si>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</si>
  <si>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</si>
  <si>
    <t>Quiz 1</t>
  </si>
  <si>
    <t>Quiz 2</t>
  </si>
  <si>
    <t>Lab</t>
  </si>
  <si>
    <t>CIA</t>
  </si>
  <si>
    <t>CIA_Weightage</t>
  </si>
  <si>
    <t>P/A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</si>
</sst>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2" borderId="0" xfId="0" applyFont="1" applyFill="1" applyAlignment="1">
      <alignment horizontal="center"/>
    </xf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5" xfId="0" applyBorder="1"/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6" fillId="0" borderId="7" xfId="0" applyFont="1" applyBorder="1"/>
    <xf numFmtId="0" fontId="7" fillId="0" borderId="7" xfId="0" applyFont="1" applyBorder="1"/>
    <xf numFmtId="0" fontId="4" fillId="2" borderId="8" xfId="0" applyFont="1" applyFill="1" applyBorder="1" applyAlignment="1">
      <alignment vertical="top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5" fillId="0" borderId="9" xfId="0" applyFont="1" applyBorder="1"/>
    <xf numFmtId="0" fontId="5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10" xfId="0" applyFont="1" applyBorder="1" applyAlignment="1">
      <alignment vertical="top"/>
    </xf>
    <xf numFmtId="0" fontId="5" fillId="0" borderId="11" xfId="0" applyFont="1" applyBorder="1"/>
    <xf numFmtId="0" fontId="6" fillId="0" borderId="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Fill="1" applyBorder="1" applyAlignment="1">
      <alignment vertical="top"/>
    </xf>
    <xf numFmtId="0" fontId="0" fillId="0" borderId="1" xfId="0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8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V63"/>
  <sheetViews>
    <sheetView topLeftCell="B1" zoomScaleNormal="100" workbookViewId="0">
      <selection activeCell="P15" sqref="P15"/>
    </sheetView>
  </sheetViews>
  <sheetFormatPr defaultRowHeight="15" x14ac:dyDescent="0.25"/>
  <cols>
    <col min="1" max="1" width="27.140625" customWidth="1"/>
    <col min="2" max="2" width="22.85546875" style="13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9" width="14.28515625" customWidth="1"/>
    <col min="10" max="10" width="11.85546875" style="13" customWidth="1"/>
    <col min="11" max="13" width="11.85546875" customWidth="1"/>
    <col min="14" max="14" width="11.85546875" style="18" customWidth="1"/>
    <col min="15" max="18" width="13.42578125" customWidth="1"/>
    <col min="19" max="19" width="12.5703125" customWidth="1"/>
    <col min="21" max="21" width="28.7109375" customWidth="1"/>
    <col min="22" max="22" width="15.7109375" style="24" customWidth="1"/>
    <col min="23" max="23" width="15.28515625" customWidth="1"/>
    <col min="24" max="24" width="17.85546875" customWidth="1"/>
    <col min="26" max="26" width="16" customWidth="1"/>
  </cols>
  <sheetData>
    <row r="1" spans="1:22" ht="24.75" x14ac:dyDescent="0.4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31"/>
    </row>
    <row r="2" spans="1:22" ht="24.75" x14ac:dyDescent="0.4">
      <c r="A2" s="44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6"/>
      <c r="T2" s="32"/>
    </row>
    <row r="3" spans="1:22" ht="15.75" x14ac:dyDescent="0.25">
      <c r="A3" s="33" t="s">
        <v>2</v>
      </c>
      <c r="B3" s="34" t="s">
        <v>3</v>
      </c>
      <c r="C3" s="15" t="s">
        <v>4</v>
      </c>
      <c r="D3" s="1" t="s">
        <v>163</v>
      </c>
      <c r="E3" s="1" t="s">
        <v>5</v>
      </c>
      <c r="F3" s="1" t="s">
        <v>7</v>
      </c>
      <c r="G3" s="1" t="s">
        <v>164</v>
      </c>
      <c r="H3" s="1" t="s">
        <v>6</v>
      </c>
      <c r="I3" s="1" t="s">
        <v>8</v>
      </c>
      <c r="J3" s="1" t="s">
        <v>9</v>
      </c>
      <c r="K3" s="1" t="s">
        <v>165</v>
      </c>
      <c r="L3" s="1" t="s">
        <v>166</v>
      </c>
      <c r="M3" s="1" t="s">
        <v>167</v>
      </c>
      <c r="N3" s="35" t="s">
        <v>10</v>
      </c>
      <c r="O3" s="1" t="s">
        <v>10</v>
      </c>
      <c r="P3" s="1" t="s">
        <v>11</v>
      </c>
      <c r="Q3" s="1" t="s">
        <v>11</v>
      </c>
      <c r="R3" s="1" t="s">
        <v>12</v>
      </c>
      <c r="S3" s="36" t="s">
        <v>13</v>
      </c>
      <c r="U3" s="1" t="s">
        <v>14</v>
      </c>
      <c r="V3" s="28" t="s">
        <v>15</v>
      </c>
    </row>
    <row r="4" spans="1:22" x14ac:dyDescent="0.25">
      <c r="A4" s="6"/>
      <c r="B4" s="9" t="s">
        <v>16</v>
      </c>
      <c r="C4" s="9"/>
      <c r="D4" s="17">
        <v>15</v>
      </c>
      <c r="E4" s="17">
        <v>15</v>
      </c>
      <c r="F4" s="17">
        <v>20</v>
      </c>
      <c r="G4" s="17">
        <v>15</v>
      </c>
      <c r="H4" s="17">
        <v>15</v>
      </c>
      <c r="I4" s="17">
        <v>20</v>
      </c>
      <c r="J4" s="17">
        <f>SUM(D4:I4)</f>
        <v>100</v>
      </c>
      <c r="K4" s="17">
        <v>100</v>
      </c>
      <c r="L4" s="17">
        <f>SUM(J4:K4)/2</f>
        <v>100</v>
      </c>
      <c r="M4" s="17">
        <f>L4*0.5</f>
        <v>50</v>
      </c>
      <c r="N4" s="17">
        <f>O4/5</f>
        <v>20</v>
      </c>
      <c r="O4" s="17">
        <v>100</v>
      </c>
      <c r="P4" s="17">
        <v>100</v>
      </c>
      <c r="Q4" s="17">
        <f>P4*0.3</f>
        <v>30</v>
      </c>
      <c r="R4" s="6">
        <f>SUM(M4,N4,Q4)</f>
        <v>100</v>
      </c>
      <c r="S4" s="6"/>
      <c r="T4" s="7"/>
    </row>
    <row r="5" spans="1:22" ht="15.75" x14ac:dyDescent="0.25">
      <c r="A5" t="s">
        <v>17</v>
      </c>
      <c r="B5" s="18">
        <v>590029213</v>
      </c>
      <c r="C5" s="14">
        <v>77</v>
      </c>
      <c r="D5" s="25"/>
      <c r="E5" s="25"/>
      <c r="F5" s="25"/>
      <c r="G5" s="25"/>
      <c r="H5" s="25"/>
      <c r="I5" s="25"/>
      <c r="J5" s="30"/>
      <c r="K5" s="29"/>
      <c r="L5" s="29"/>
      <c r="M5" s="26"/>
      <c r="N5" s="26"/>
      <c r="O5" s="18"/>
      <c r="P5" s="18"/>
      <c r="Q5" s="26"/>
      <c r="R5" s="7"/>
      <c r="S5" s="37"/>
      <c r="U5" t="s">
        <v>18</v>
      </c>
      <c r="V5">
        <v>122507103</v>
      </c>
    </row>
    <row r="6" spans="1:22" ht="15.75" x14ac:dyDescent="0.25">
      <c r="A6" t="s">
        <v>19</v>
      </c>
      <c r="B6" s="18">
        <v>590029270</v>
      </c>
      <c r="C6" s="14">
        <v>77</v>
      </c>
      <c r="D6" s="25"/>
      <c r="E6" s="25"/>
      <c r="F6" s="25"/>
      <c r="G6" s="25"/>
      <c r="H6" s="25"/>
      <c r="I6" s="25"/>
      <c r="J6" s="30"/>
      <c r="K6" s="29"/>
      <c r="L6" s="29"/>
      <c r="M6" s="26"/>
      <c r="N6" s="26"/>
      <c r="O6" s="18"/>
      <c r="P6" s="18"/>
      <c r="Q6" s="26"/>
      <c r="R6" s="7"/>
      <c r="S6" s="37"/>
      <c r="U6" t="s">
        <v>20</v>
      </c>
      <c r="V6">
        <v>25010104938</v>
      </c>
    </row>
    <row r="7" spans="1:22" ht="15.75" x14ac:dyDescent="0.25">
      <c r="A7" t="s">
        <v>21</v>
      </c>
      <c r="B7" s="18">
        <v>590029204</v>
      </c>
      <c r="C7" s="14">
        <v>77</v>
      </c>
      <c r="D7" s="25"/>
      <c r="E7" s="25"/>
      <c r="F7" s="25"/>
      <c r="G7" s="25"/>
      <c r="H7" s="25"/>
      <c r="I7" s="25"/>
      <c r="J7" s="30"/>
      <c r="K7" s="29"/>
      <c r="L7" s="29"/>
      <c r="M7" s="26"/>
      <c r="N7" s="26"/>
      <c r="O7" s="18"/>
      <c r="P7" s="18"/>
      <c r="Q7" s="26"/>
      <c r="R7" s="7"/>
      <c r="S7" s="37"/>
      <c r="U7" t="s">
        <v>22</v>
      </c>
      <c r="V7">
        <v>25010104918</v>
      </c>
    </row>
    <row r="8" spans="1:22" ht="15.75" x14ac:dyDescent="0.25">
      <c r="A8" t="s">
        <v>23</v>
      </c>
      <c r="B8" s="18">
        <v>590029109</v>
      </c>
      <c r="C8" s="14">
        <v>77</v>
      </c>
      <c r="D8" s="25"/>
      <c r="E8" s="25"/>
      <c r="F8" s="25"/>
      <c r="G8" s="25"/>
      <c r="H8" s="25"/>
      <c r="I8" s="25"/>
      <c r="J8" s="30"/>
      <c r="K8" s="29"/>
      <c r="L8" s="29"/>
      <c r="M8" s="26"/>
      <c r="N8" s="26"/>
      <c r="O8" s="18"/>
      <c r="P8" s="18"/>
      <c r="Q8" s="26"/>
      <c r="R8" s="7"/>
      <c r="S8" s="37"/>
      <c r="U8" t="s">
        <v>24</v>
      </c>
      <c r="V8">
        <v>25010104943</v>
      </c>
    </row>
    <row r="9" spans="1:22" ht="15.75" x14ac:dyDescent="0.25">
      <c r="A9" t="s">
        <v>25</v>
      </c>
      <c r="B9" s="18">
        <v>590029070</v>
      </c>
      <c r="C9" s="14">
        <v>77</v>
      </c>
      <c r="D9" s="25"/>
      <c r="E9" s="25"/>
      <c r="F9" s="25"/>
      <c r="G9" s="25"/>
      <c r="H9" s="25"/>
      <c r="I9" s="25"/>
      <c r="J9" s="30"/>
      <c r="K9" s="29"/>
      <c r="L9" s="29"/>
      <c r="M9" s="26"/>
      <c r="N9" s="26"/>
      <c r="O9" s="18"/>
      <c r="P9" s="18"/>
      <c r="Q9" s="26"/>
      <c r="R9" s="7"/>
      <c r="S9" s="37"/>
      <c r="U9" t="s">
        <v>26</v>
      </c>
      <c r="V9">
        <v>25010104926</v>
      </c>
    </row>
    <row r="10" spans="1:22" ht="15.75" x14ac:dyDescent="0.25">
      <c r="A10" t="s">
        <v>27</v>
      </c>
      <c r="B10" s="18">
        <v>590029157</v>
      </c>
      <c r="C10" s="14">
        <v>77</v>
      </c>
      <c r="D10" s="25"/>
      <c r="E10" s="25"/>
      <c r="F10" s="25"/>
      <c r="G10" s="25"/>
      <c r="H10" s="25"/>
      <c r="I10" s="25"/>
      <c r="J10" s="30"/>
      <c r="K10" s="29"/>
      <c r="L10" s="29"/>
      <c r="M10" s="26"/>
      <c r="N10" s="26"/>
      <c r="O10" s="18"/>
      <c r="P10" s="18"/>
      <c r="Q10" s="26"/>
      <c r="R10" s="7"/>
      <c r="S10" s="37"/>
      <c r="U10" t="s">
        <v>28</v>
      </c>
      <c r="V10">
        <v>25010104890</v>
      </c>
    </row>
    <row r="11" spans="1:22" ht="15.75" x14ac:dyDescent="0.25">
      <c r="A11" t="s">
        <v>29</v>
      </c>
      <c r="B11" s="18">
        <v>590027157</v>
      </c>
      <c r="C11" s="14">
        <v>77</v>
      </c>
      <c r="D11" s="25"/>
      <c r="E11" s="25"/>
      <c r="F11" s="25"/>
      <c r="G11" s="25"/>
      <c r="H11" s="25"/>
      <c r="I11" s="25"/>
      <c r="J11" s="30"/>
      <c r="K11" s="29"/>
      <c r="L11" s="29"/>
      <c r="M11" s="26"/>
      <c r="N11" s="26"/>
      <c r="O11" s="18"/>
      <c r="P11" s="18"/>
      <c r="Q11" s="26"/>
      <c r="R11" s="7"/>
      <c r="S11" s="37"/>
      <c r="U11" t="s">
        <v>30</v>
      </c>
      <c r="V11">
        <v>25010104880</v>
      </c>
    </row>
    <row r="12" spans="1:22" ht="15.75" x14ac:dyDescent="0.25">
      <c r="A12" t="s">
        <v>31</v>
      </c>
      <c r="B12" s="18">
        <v>590029274</v>
      </c>
      <c r="C12" s="14">
        <v>77</v>
      </c>
      <c r="D12" s="25"/>
      <c r="E12" s="25"/>
      <c r="F12" s="25"/>
      <c r="G12" s="25"/>
      <c r="H12" s="25"/>
      <c r="I12" s="25"/>
      <c r="J12" s="30"/>
      <c r="K12" s="29"/>
      <c r="L12" s="29"/>
      <c r="M12" s="26"/>
      <c r="N12" s="26"/>
      <c r="O12" s="18"/>
      <c r="P12" s="18"/>
      <c r="Q12" s="26"/>
      <c r="R12" s="7"/>
      <c r="S12" s="37"/>
      <c r="U12" t="s">
        <v>32</v>
      </c>
      <c r="V12">
        <v>25010104928</v>
      </c>
    </row>
    <row r="13" spans="1:22" ht="15.75" x14ac:dyDescent="0.25">
      <c r="A13" t="s">
        <v>33</v>
      </c>
      <c r="B13" s="18">
        <v>590028572</v>
      </c>
      <c r="C13" s="14">
        <v>77</v>
      </c>
      <c r="D13" s="25"/>
      <c r="E13" s="25"/>
      <c r="F13" s="25"/>
      <c r="G13" s="25"/>
      <c r="H13" s="25"/>
      <c r="I13" s="25"/>
      <c r="J13" s="30"/>
      <c r="K13" s="29"/>
      <c r="L13" s="29"/>
      <c r="M13" s="26"/>
      <c r="N13" s="26"/>
      <c r="O13" s="18"/>
      <c r="P13" s="18"/>
      <c r="Q13" s="26"/>
      <c r="R13" s="7"/>
      <c r="S13" s="37"/>
      <c r="U13" t="s">
        <v>34</v>
      </c>
      <c r="V13">
        <v>25010104903</v>
      </c>
    </row>
    <row r="14" spans="1:22" ht="15.75" x14ac:dyDescent="0.25">
      <c r="A14" t="s">
        <v>35</v>
      </c>
      <c r="B14" s="18">
        <v>590029230</v>
      </c>
      <c r="C14" s="14">
        <v>77</v>
      </c>
      <c r="D14" s="25"/>
      <c r="E14" s="25"/>
      <c r="F14" s="25"/>
      <c r="G14" s="25"/>
      <c r="H14" s="25"/>
      <c r="I14" s="25"/>
      <c r="J14" s="30"/>
      <c r="K14" s="29"/>
      <c r="L14" s="29"/>
      <c r="M14" s="26"/>
      <c r="N14" s="26"/>
      <c r="O14" s="18"/>
      <c r="P14" s="18"/>
      <c r="Q14" s="26"/>
      <c r="R14" s="7"/>
      <c r="S14" s="37"/>
      <c r="U14" t="s">
        <v>36</v>
      </c>
      <c r="V14">
        <v>25010104910</v>
      </c>
    </row>
    <row r="15" spans="1:22" ht="15.75" x14ac:dyDescent="0.25">
      <c r="A15" t="s">
        <v>37</v>
      </c>
      <c r="B15" s="18">
        <v>590029169</v>
      </c>
      <c r="C15" s="14">
        <v>77</v>
      </c>
      <c r="D15" s="25"/>
      <c r="E15" s="25"/>
      <c r="F15" s="25"/>
      <c r="G15" s="25"/>
      <c r="H15" s="25"/>
      <c r="I15" s="25"/>
      <c r="J15" s="30"/>
      <c r="K15" s="29"/>
      <c r="L15" s="29"/>
      <c r="M15" s="26"/>
      <c r="N15" s="26"/>
      <c r="O15" s="18"/>
      <c r="P15" s="18"/>
      <c r="Q15" s="26"/>
      <c r="R15" s="7"/>
      <c r="S15" s="37"/>
      <c r="U15" t="s">
        <v>38</v>
      </c>
      <c r="V15">
        <v>25010104944</v>
      </c>
    </row>
    <row r="16" spans="1:22" ht="15.75" x14ac:dyDescent="0.25">
      <c r="A16" t="s">
        <v>39</v>
      </c>
      <c r="B16" s="18">
        <v>590029112</v>
      </c>
      <c r="C16" s="14">
        <v>77</v>
      </c>
      <c r="D16" s="25"/>
      <c r="E16" s="25"/>
      <c r="F16" s="25"/>
      <c r="G16" s="25"/>
      <c r="H16" s="25"/>
      <c r="I16" s="25"/>
      <c r="J16" s="30"/>
      <c r="K16" s="29"/>
      <c r="L16" s="29"/>
      <c r="M16" s="26"/>
      <c r="N16" s="26"/>
      <c r="O16" s="18"/>
      <c r="P16" s="18"/>
      <c r="Q16" s="26"/>
      <c r="R16" s="7"/>
      <c r="S16" s="37"/>
      <c r="U16" t="s">
        <v>40</v>
      </c>
      <c r="V16">
        <v>25010104876</v>
      </c>
    </row>
    <row r="17" spans="1:22" ht="15.75" x14ac:dyDescent="0.25">
      <c r="A17" t="s">
        <v>41</v>
      </c>
      <c r="B17" s="18">
        <v>590025556</v>
      </c>
      <c r="C17" s="14">
        <v>77</v>
      </c>
      <c r="D17" s="38"/>
      <c r="E17" s="38"/>
      <c r="F17" s="38"/>
      <c r="G17" s="38"/>
      <c r="H17" s="38"/>
      <c r="I17" s="38"/>
      <c r="J17" s="39"/>
      <c r="K17" s="40"/>
      <c r="L17" s="40"/>
      <c r="M17" s="40"/>
      <c r="N17" s="40"/>
      <c r="O17" s="41"/>
      <c r="P17" s="41"/>
      <c r="Q17" s="40"/>
      <c r="R17" s="42"/>
      <c r="S17" s="43"/>
      <c r="U17" t="s">
        <v>42</v>
      </c>
      <c r="V17">
        <v>122515743</v>
      </c>
    </row>
    <row r="18" spans="1:22" ht="15.75" x14ac:dyDescent="0.25">
      <c r="A18" t="s">
        <v>43</v>
      </c>
      <c r="B18" s="18">
        <v>590027830</v>
      </c>
      <c r="C18" s="14">
        <v>77</v>
      </c>
      <c r="D18" s="25"/>
      <c r="E18" s="25"/>
      <c r="F18" s="25"/>
      <c r="G18" s="25"/>
      <c r="H18" s="25"/>
      <c r="I18" s="25"/>
      <c r="J18" s="30"/>
      <c r="K18" s="29"/>
      <c r="L18" s="29"/>
      <c r="M18" s="29"/>
      <c r="N18" s="29"/>
      <c r="O18" s="18"/>
      <c r="P18" s="18"/>
      <c r="Q18" s="29"/>
      <c r="R18" s="7"/>
      <c r="U18" t="s">
        <v>44</v>
      </c>
      <c r="V18">
        <v>25010104886</v>
      </c>
    </row>
    <row r="19" spans="1:22" ht="15.75" x14ac:dyDescent="0.25">
      <c r="A19" t="s">
        <v>45</v>
      </c>
      <c r="B19" s="18">
        <v>590028360</v>
      </c>
      <c r="C19" s="14">
        <v>77</v>
      </c>
      <c r="D19" s="25"/>
      <c r="E19" s="25"/>
      <c r="F19" s="25"/>
      <c r="G19" s="25"/>
      <c r="H19" s="25"/>
      <c r="I19" s="25"/>
      <c r="J19" s="30"/>
      <c r="K19" s="29"/>
      <c r="L19" s="29"/>
      <c r="M19" s="29"/>
      <c r="N19" s="29"/>
      <c r="O19" s="18"/>
      <c r="P19" s="18"/>
      <c r="Q19" s="29"/>
      <c r="R19" s="7"/>
      <c r="U19" t="s">
        <v>46</v>
      </c>
      <c r="V19">
        <v>25010104881</v>
      </c>
    </row>
    <row r="20" spans="1:22" ht="15.75" x14ac:dyDescent="0.25">
      <c r="A20" t="s">
        <v>47</v>
      </c>
      <c r="B20" s="18">
        <v>590029237</v>
      </c>
      <c r="C20" s="14">
        <v>77</v>
      </c>
      <c r="D20" s="25"/>
      <c r="E20" s="25"/>
      <c r="F20" s="25"/>
      <c r="G20" s="25"/>
      <c r="H20" s="25"/>
      <c r="I20" s="25"/>
      <c r="J20" s="30"/>
      <c r="K20" s="29"/>
      <c r="L20" s="29"/>
      <c r="M20" s="29"/>
      <c r="N20" s="29"/>
      <c r="O20" s="18"/>
      <c r="P20" s="18"/>
      <c r="Q20" s="29"/>
      <c r="R20" s="7"/>
      <c r="U20" t="s">
        <v>48</v>
      </c>
      <c r="V20">
        <v>25010104909</v>
      </c>
    </row>
    <row r="21" spans="1:22" x14ac:dyDescent="0.25">
      <c r="A21" t="s">
        <v>49</v>
      </c>
      <c r="B21" s="18">
        <v>590029079</v>
      </c>
      <c r="C21" s="14">
        <v>77</v>
      </c>
      <c r="U21" t="s">
        <v>50</v>
      </c>
      <c r="V21">
        <v>25010104906</v>
      </c>
    </row>
    <row r="22" spans="1:22" x14ac:dyDescent="0.25">
      <c r="A22" t="s">
        <v>51</v>
      </c>
      <c r="B22" s="18">
        <v>590029145</v>
      </c>
      <c r="C22" s="14">
        <v>77</v>
      </c>
      <c r="U22" t="s">
        <v>52</v>
      </c>
      <c r="V22">
        <v>25010104892</v>
      </c>
    </row>
    <row r="23" spans="1:22" x14ac:dyDescent="0.25">
      <c r="A23" t="s">
        <v>53</v>
      </c>
      <c r="B23" s="18">
        <v>590029209</v>
      </c>
      <c r="C23" s="14">
        <v>77</v>
      </c>
      <c r="F23" s="13"/>
      <c r="J23" s="18"/>
      <c r="N23"/>
      <c r="U23" t="s">
        <v>54</v>
      </c>
      <c r="V23">
        <v>25010104887</v>
      </c>
    </row>
    <row r="24" spans="1:22" x14ac:dyDescent="0.25">
      <c r="A24" t="s">
        <v>55</v>
      </c>
      <c r="B24" s="18">
        <v>590027268</v>
      </c>
      <c r="C24" s="14">
        <v>77</v>
      </c>
      <c r="E24" s="18"/>
      <c r="J24"/>
      <c r="N24"/>
      <c r="S24" s="24"/>
      <c r="U24" t="s">
        <v>56</v>
      </c>
      <c r="V24">
        <v>25010104933</v>
      </c>
    </row>
    <row r="25" spans="1:22" x14ac:dyDescent="0.25">
      <c r="A25" t="s">
        <v>57</v>
      </c>
      <c r="B25" s="18">
        <v>590029227</v>
      </c>
      <c r="C25" s="14">
        <v>77</v>
      </c>
      <c r="E25" s="18"/>
      <c r="J25"/>
      <c r="N25"/>
      <c r="S25" s="24"/>
      <c r="U25" t="s">
        <v>58</v>
      </c>
      <c r="V25">
        <v>25010104900</v>
      </c>
    </row>
    <row r="26" spans="1:22" x14ac:dyDescent="0.25">
      <c r="A26" t="s">
        <v>59</v>
      </c>
      <c r="B26" s="18">
        <v>590029241</v>
      </c>
      <c r="C26" s="14">
        <v>77</v>
      </c>
      <c r="E26" s="18"/>
      <c r="J26"/>
      <c r="N26"/>
      <c r="S26" s="24"/>
      <c r="U26" t="s">
        <v>60</v>
      </c>
      <c r="V26">
        <v>25010104915</v>
      </c>
    </row>
    <row r="27" spans="1:22" x14ac:dyDescent="0.25">
      <c r="A27" t="s">
        <v>61</v>
      </c>
      <c r="B27" s="18">
        <v>590023855</v>
      </c>
      <c r="C27" s="14">
        <v>77</v>
      </c>
      <c r="E27" s="18"/>
      <c r="J27"/>
      <c r="N27"/>
      <c r="S27" s="24"/>
      <c r="U27" t="s">
        <v>62</v>
      </c>
      <c r="V27">
        <v>25010104868</v>
      </c>
    </row>
    <row r="28" spans="1:22" x14ac:dyDescent="0.25">
      <c r="A28" t="s">
        <v>63</v>
      </c>
      <c r="B28" s="18">
        <v>590029215</v>
      </c>
      <c r="C28" s="14">
        <v>77</v>
      </c>
      <c r="E28" s="18"/>
      <c r="J28"/>
      <c r="N28"/>
      <c r="S28" s="24"/>
      <c r="U28" t="s">
        <v>64</v>
      </c>
      <c r="V28">
        <v>25010104884</v>
      </c>
    </row>
    <row r="29" spans="1:22" x14ac:dyDescent="0.25">
      <c r="A29" t="s">
        <v>65</v>
      </c>
      <c r="B29" s="18">
        <v>590029111</v>
      </c>
      <c r="C29" s="14">
        <v>77</v>
      </c>
      <c r="E29" s="18"/>
      <c r="J29"/>
      <c r="N29"/>
      <c r="S29" s="24"/>
      <c r="U29" t="s">
        <v>66</v>
      </c>
      <c r="V29">
        <v>25010104888</v>
      </c>
    </row>
    <row r="30" spans="1:22" x14ac:dyDescent="0.25">
      <c r="A30" t="s">
        <v>67</v>
      </c>
      <c r="B30" s="18">
        <v>590028683</v>
      </c>
      <c r="C30" s="14">
        <v>77</v>
      </c>
      <c r="E30" s="18"/>
      <c r="J30"/>
      <c r="N30"/>
      <c r="S30" s="24"/>
      <c r="U30" t="s">
        <v>68</v>
      </c>
      <c r="V30">
        <v>25010104936</v>
      </c>
    </row>
    <row r="31" spans="1:22" x14ac:dyDescent="0.25">
      <c r="A31" t="s">
        <v>69</v>
      </c>
      <c r="B31" s="18">
        <v>590029121</v>
      </c>
      <c r="C31" s="14">
        <v>77</v>
      </c>
      <c r="E31" s="18"/>
      <c r="J31"/>
      <c r="N31"/>
      <c r="S31" s="24"/>
      <c r="U31" t="s">
        <v>70</v>
      </c>
      <c r="V31">
        <v>25010104875</v>
      </c>
    </row>
    <row r="32" spans="1:22" x14ac:dyDescent="0.25">
      <c r="A32" t="s">
        <v>71</v>
      </c>
      <c r="B32" s="18">
        <v>590029048</v>
      </c>
      <c r="C32" s="14">
        <v>77</v>
      </c>
      <c r="E32" s="18"/>
      <c r="J32"/>
      <c r="N32"/>
      <c r="S32" s="24"/>
      <c r="U32" t="s">
        <v>72</v>
      </c>
      <c r="V32">
        <v>25010104925</v>
      </c>
    </row>
    <row r="33" spans="1:22" x14ac:dyDescent="0.25">
      <c r="A33" t="s">
        <v>73</v>
      </c>
      <c r="B33" s="18">
        <v>590029184</v>
      </c>
      <c r="C33" s="14">
        <v>77</v>
      </c>
      <c r="E33" s="18"/>
      <c r="J33"/>
      <c r="N33"/>
      <c r="S33" s="24"/>
      <c r="U33" t="s">
        <v>74</v>
      </c>
      <c r="V33">
        <v>25010104879</v>
      </c>
    </row>
    <row r="34" spans="1:22" x14ac:dyDescent="0.25">
      <c r="A34" t="s">
        <v>75</v>
      </c>
      <c r="B34" s="18">
        <v>590029330</v>
      </c>
      <c r="C34" s="14">
        <v>78</v>
      </c>
      <c r="E34" s="18"/>
      <c r="J34"/>
      <c r="N34"/>
      <c r="S34" s="24"/>
      <c r="U34" t="s">
        <v>76</v>
      </c>
      <c r="V34">
        <v>25010104997</v>
      </c>
    </row>
    <row r="35" spans="1:22" x14ac:dyDescent="0.25">
      <c r="A35" t="s">
        <v>77</v>
      </c>
      <c r="B35" s="18">
        <v>590027630</v>
      </c>
      <c r="C35" s="14">
        <v>78</v>
      </c>
      <c r="E35" s="18"/>
      <c r="J35"/>
      <c r="N35"/>
      <c r="S35" s="24"/>
      <c r="U35" t="s">
        <v>78</v>
      </c>
      <c r="V35">
        <v>25010105001</v>
      </c>
    </row>
    <row r="36" spans="1:22" x14ac:dyDescent="0.25">
      <c r="A36" t="s">
        <v>79</v>
      </c>
      <c r="B36" s="18">
        <v>590029219</v>
      </c>
      <c r="C36" s="14">
        <v>78</v>
      </c>
      <c r="E36" s="18"/>
      <c r="J36"/>
      <c r="N36"/>
      <c r="S36" s="24"/>
      <c r="U36" t="s">
        <v>80</v>
      </c>
      <c r="V36">
        <v>25010104956</v>
      </c>
    </row>
    <row r="37" spans="1:22" x14ac:dyDescent="0.25">
      <c r="A37" t="s">
        <v>81</v>
      </c>
      <c r="B37" s="18">
        <v>590028933</v>
      </c>
      <c r="C37" s="14">
        <v>78</v>
      </c>
      <c r="E37" s="18"/>
      <c r="J37"/>
      <c r="N37"/>
      <c r="S37" s="24"/>
      <c r="U37" t="s">
        <v>82</v>
      </c>
      <c r="V37">
        <v>25010104948</v>
      </c>
    </row>
    <row r="38" spans="1:22" x14ac:dyDescent="0.25">
      <c r="A38" t="s">
        <v>83</v>
      </c>
      <c r="B38" s="18">
        <v>590027859</v>
      </c>
      <c r="C38" s="14">
        <v>78</v>
      </c>
      <c r="U38" t="s">
        <v>84</v>
      </c>
      <c r="V38">
        <v>25010104974</v>
      </c>
    </row>
    <row r="39" spans="1:22" x14ac:dyDescent="0.25">
      <c r="A39" t="s">
        <v>85</v>
      </c>
      <c r="B39" s="18">
        <v>590028682</v>
      </c>
      <c r="C39" s="14">
        <v>78</v>
      </c>
      <c r="U39" t="s">
        <v>86</v>
      </c>
      <c r="V39">
        <v>25010104995</v>
      </c>
    </row>
    <row r="40" spans="1:22" x14ac:dyDescent="0.25">
      <c r="A40" t="s">
        <v>87</v>
      </c>
      <c r="B40" s="18">
        <v>590023917</v>
      </c>
      <c r="C40" s="14">
        <v>78</v>
      </c>
      <c r="U40" t="s">
        <v>88</v>
      </c>
      <c r="V40">
        <v>25010105012</v>
      </c>
    </row>
    <row r="41" spans="1:22" x14ac:dyDescent="0.25">
      <c r="A41" t="s">
        <v>89</v>
      </c>
      <c r="B41" s="18">
        <v>590023785</v>
      </c>
      <c r="C41" s="14">
        <v>78</v>
      </c>
      <c r="U41" t="s">
        <v>90</v>
      </c>
      <c r="V41">
        <v>25010104947</v>
      </c>
    </row>
    <row r="42" spans="1:22" x14ac:dyDescent="0.25">
      <c r="A42" t="s">
        <v>91</v>
      </c>
      <c r="B42" s="18">
        <v>590029264</v>
      </c>
      <c r="C42" s="14">
        <v>78</v>
      </c>
      <c r="U42" t="s">
        <v>92</v>
      </c>
      <c r="V42">
        <v>25010104986</v>
      </c>
    </row>
    <row r="43" spans="1:22" x14ac:dyDescent="0.25">
      <c r="A43" t="s">
        <v>93</v>
      </c>
      <c r="B43" s="18">
        <v>590029042</v>
      </c>
      <c r="C43" s="14">
        <v>78</v>
      </c>
      <c r="U43" t="s">
        <v>94</v>
      </c>
      <c r="V43">
        <v>25010104982</v>
      </c>
    </row>
    <row r="44" spans="1:22" x14ac:dyDescent="0.25">
      <c r="A44" t="s">
        <v>95</v>
      </c>
      <c r="B44" s="18">
        <v>590029336</v>
      </c>
      <c r="C44" s="14">
        <v>78</v>
      </c>
      <c r="U44" t="s">
        <v>96</v>
      </c>
      <c r="V44">
        <v>25010104998</v>
      </c>
    </row>
    <row r="45" spans="1:22" x14ac:dyDescent="0.25">
      <c r="A45" t="s">
        <v>97</v>
      </c>
      <c r="B45" s="18">
        <v>590029233</v>
      </c>
      <c r="C45" s="14">
        <v>78</v>
      </c>
      <c r="U45" t="s">
        <v>98</v>
      </c>
      <c r="V45">
        <v>25010104996</v>
      </c>
    </row>
    <row r="46" spans="1:22" x14ac:dyDescent="0.25">
      <c r="A46" t="s">
        <v>99</v>
      </c>
      <c r="B46" s="18">
        <v>590029328</v>
      </c>
      <c r="C46" s="14">
        <v>78</v>
      </c>
      <c r="U46" t="s">
        <v>100</v>
      </c>
      <c r="V46">
        <v>25010105010</v>
      </c>
    </row>
    <row r="47" spans="1:22" x14ac:dyDescent="0.25">
      <c r="A47" t="s">
        <v>101</v>
      </c>
      <c r="B47" s="18">
        <v>590028608</v>
      </c>
      <c r="C47" s="14">
        <v>78</v>
      </c>
      <c r="U47" t="s">
        <v>102</v>
      </c>
      <c r="V47">
        <v>25010104999</v>
      </c>
    </row>
    <row r="48" spans="1:22" x14ac:dyDescent="0.25">
      <c r="A48" t="s">
        <v>103</v>
      </c>
      <c r="B48" s="18">
        <v>590028605</v>
      </c>
      <c r="C48" s="14">
        <v>78</v>
      </c>
      <c r="U48" t="s">
        <v>104</v>
      </c>
      <c r="V48">
        <v>25010104326</v>
      </c>
    </row>
    <row r="49" spans="1:22" x14ac:dyDescent="0.25">
      <c r="A49" t="s">
        <v>105</v>
      </c>
      <c r="B49" s="18">
        <v>590026626</v>
      </c>
      <c r="C49" s="14">
        <v>78</v>
      </c>
      <c r="U49" t="s">
        <v>106</v>
      </c>
      <c r="V49">
        <v>25010104601</v>
      </c>
    </row>
    <row r="50" spans="1:22" x14ac:dyDescent="0.25">
      <c r="A50" t="s">
        <v>107</v>
      </c>
      <c r="B50" s="18">
        <v>590029310</v>
      </c>
      <c r="C50" s="14">
        <v>78</v>
      </c>
      <c r="U50" t="s">
        <v>108</v>
      </c>
      <c r="V50">
        <v>25010104970</v>
      </c>
    </row>
    <row r="51" spans="1:22" x14ac:dyDescent="0.25">
      <c r="A51" t="s">
        <v>109</v>
      </c>
      <c r="B51" s="18">
        <v>590029319</v>
      </c>
      <c r="C51" s="14">
        <v>78</v>
      </c>
      <c r="U51" t="s">
        <v>110</v>
      </c>
      <c r="V51">
        <v>25010105008</v>
      </c>
    </row>
    <row r="52" spans="1:22" x14ac:dyDescent="0.25">
      <c r="A52" t="s">
        <v>111</v>
      </c>
      <c r="B52" s="18">
        <v>590029339</v>
      </c>
      <c r="C52" s="14">
        <v>78</v>
      </c>
      <c r="U52" t="s">
        <v>112</v>
      </c>
      <c r="V52">
        <v>25010105011</v>
      </c>
    </row>
    <row r="53" spans="1:22" x14ac:dyDescent="0.25">
      <c r="A53" t="s">
        <v>113</v>
      </c>
      <c r="B53" s="18">
        <v>590029148</v>
      </c>
      <c r="C53" s="14">
        <v>78</v>
      </c>
      <c r="U53" t="s">
        <v>114</v>
      </c>
      <c r="V53">
        <v>25010104992</v>
      </c>
    </row>
    <row r="54" spans="1:22" x14ac:dyDescent="0.25">
      <c r="A54" t="s">
        <v>115</v>
      </c>
      <c r="B54" s="18">
        <v>590029309</v>
      </c>
      <c r="C54" s="14">
        <v>78</v>
      </c>
      <c r="U54" t="s">
        <v>116</v>
      </c>
      <c r="V54">
        <v>25010104979</v>
      </c>
    </row>
    <row r="55" spans="1:22" x14ac:dyDescent="0.25">
      <c r="A55" t="s">
        <v>117</v>
      </c>
      <c r="B55" s="18">
        <v>590028838</v>
      </c>
      <c r="C55" s="14">
        <v>78</v>
      </c>
      <c r="U55" t="s">
        <v>118</v>
      </c>
      <c r="V55">
        <v>25010104945</v>
      </c>
    </row>
    <row r="56" spans="1:22" x14ac:dyDescent="0.25">
      <c r="A56" t="s">
        <v>119</v>
      </c>
      <c r="B56" s="18">
        <v>590029107</v>
      </c>
      <c r="C56" s="14">
        <v>78</v>
      </c>
      <c r="U56" t="s">
        <v>120</v>
      </c>
      <c r="V56">
        <v>25010104988</v>
      </c>
    </row>
    <row r="57" spans="1:22" x14ac:dyDescent="0.25">
      <c r="A57" t="s">
        <v>121</v>
      </c>
      <c r="B57" s="18">
        <v>590029266</v>
      </c>
      <c r="C57" s="14">
        <v>78</v>
      </c>
      <c r="U57" t="s">
        <v>122</v>
      </c>
      <c r="V57">
        <v>25010104958</v>
      </c>
    </row>
    <row r="58" spans="1:22" x14ac:dyDescent="0.25">
      <c r="A58" t="s">
        <v>123</v>
      </c>
      <c r="B58" s="18">
        <v>590029354</v>
      </c>
      <c r="C58" s="14">
        <v>78</v>
      </c>
      <c r="U58" t="s">
        <v>124</v>
      </c>
      <c r="V58">
        <v>25010105018</v>
      </c>
    </row>
    <row r="59" spans="1:22" x14ac:dyDescent="0.25">
      <c r="A59" t="s">
        <v>125</v>
      </c>
      <c r="B59" s="18">
        <v>590029349</v>
      </c>
      <c r="C59" s="14">
        <v>78</v>
      </c>
      <c r="U59" t="s">
        <v>126</v>
      </c>
      <c r="V59">
        <v>25010105017</v>
      </c>
    </row>
    <row r="60" spans="1:22" x14ac:dyDescent="0.25">
      <c r="A60" t="s">
        <v>127</v>
      </c>
      <c r="B60" s="18">
        <v>590029302</v>
      </c>
      <c r="C60" s="14">
        <v>78</v>
      </c>
      <c r="U60" t="s">
        <v>128</v>
      </c>
      <c r="V60">
        <v>25010104954</v>
      </c>
    </row>
    <row r="61" spans="1:22" x14ac:dyDescent="0.25">
      <c r="A61" t="s">
        <v>129</v>
      </c>
      <c r="B61" s="18">
        <v>590029262</v>
      </c>
      <c r="C61" s="14">
        <v>78</v>
      </c>
      <c r="U61" t="s">
        <v>130</v>
      </c>
      <c r="V61">
        <v>25010104987</v>
      </c>
    </row>
    <row r="62" spans="1:22" x14ac:dyDescent="0.25">
      <c r="A62" t="s">
        <v>131</v>
      </c>
      <c r="B62" s="18">
        <v>590029285</v>
      </c>
      <c r="C62" s="14">
        <v>78</v>
      </c>
      <c r="U62" t="s">
        <v>132</v>
      </c>
      <c r="V62">
        <v>25010104949</v>
      </c>
    </row>
    <row r="63" spans="1:22" x14ac:dyDescent="0.25">
      <c r="A63" t="s">
        <v>133</v>
      </c>
      <c r="B63" s="18">
        <v>590029353</v>
      </c>
      <c r="C63" s="14">
        <v>78</v>
      </c>
      <c r="U63" t="s">
        <v>134</v>
      </c>
      <c r="V63">
        <v>122514758</v>
      </c>
    </row>
  </sheetData>
  <mergeCells count="2">
    <mergeCell ref="A1:S1"/>
    <mergeCell ref="A2:S2"/>
  </mergeCells>
  <conditionalFormatting sqref="R5:R20">
    <cfRule type="colorScale" priority="1">
      <colorScale>
        <cfvo type="num" val="34"/>
        <cfvo type="num" val="35"/>
        <color rgb="FFFF7128"/>
        <color rgb="FF92D050"/>
      </colorScale>
    </cfRule>
  </conditionalFormatting>
  <printOptions gridLines="1"/>
  <pageMargins left="0.7" right="0.7" top="0.75" bottom="0.75" header="0.3" footer="0.3"/>
  <pageSetup paperSize="9" scale="8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U65"/>
  <sheetViews>
    <sheetView topLeftCell="B1" zoomScale="130" zoomScaleNormal="130" workbookViewId="0">
      <selection activeCell="S3" sqref="S3:U5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16" customWidth="1"/>
  </cols>
  <sheetData>
    <row r="1" spans="1:21" ht="24.75" x14ac:dyDescent="0.4">
      <c r="A1" s="47" t="s">
        <v>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1" ht="24.75" x14ac:dyDescent="0.4">
      <c r="A2" s="47" t="str">
        <f>Marksheet!A2</f>
        <v xml:space="preserve">Computatioal Astrophysics (PHYS 8202)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1" x14ac:dyDescent="0.25">
      <c r="A3" s="2"/>
      <c r="B3" s="2"/>
      <c r="C3" s="2"/>
      <c r="D3" s="3" t="s">
        <v>136</v>
      </c>
      <c r="E3" s="3" t="s">
        <v>136</v>
      </c>
      <c r="F3" s="3" t="s">
        <v>136</v>
      </c>
      <c r="G3" s="3" t="s">
        <v>136</v>
      </c>
      <c r="H3" s="3" t="s">
        <v>137</v>
      </c>
      <c r="I3" s="3" t="s">
        <v>137</v>
      </c>
      <c r="J3" s="3" t="s">
        <v>137</v>
      </c>
      <c r="K3" s="3" t="s">
        <v>136</v>
      </c>
      <c r="L3" s="3" t="s">
        <v>137</v>
      </c>
      <c r="M3" s="3" t="s">
        <v>136</v>
      </c>
      <c r="N3" s="3"/>
      <c r="O3" s="2"/>
      <c r="P3" s="2"/>
      <c r="S3" s="3" t="s">
        <v>136</v>
      </c>
      <c r="T3" s="3" t="s">
        <v>137</v>
      </c>
    </row>
    <row r="4" spans="1:21" x14ac:dyDescent="0.25">
      <c r="A4" s="4" t="s">
        <v>154</v>
      </c>
      <c r="B4" s="4" t="s">
        <v>139</v>
      </c>
      <c r="C4" s="4"/>
      <c r="D4" s="4" t="s">
        <v>141</v>
      </c>
      <c r="E4" s="4" t="s">
        <v>142</v>
      </c>
      <c r="F4" s="4" t="s">
        <v>143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 t="s">
        <v>149</v>
      </c>
      <c r="M4" s="4" t="s">
        <v>150</v>
      </c>
      <c r="N4" s="4" t="s">
        <v>151</v>
      </c>
      <c r="O4" s="4" t="s">
        <v>12</v>
      </c>
      <c r="P4" s="15" t="s">
        <v>13</v>
      </c>
      <c r="S4" s="4"/>
      <c r="T4" s="4"/>
      <c r="U4" s="4" t="s">
        <v>12</v>
      </c>
    </row>
    <row r="5" spans="1:21" x14ac:dyDescent="0.25">
      <c r="A5" s="6"/>
      <c r="B5" s="6" t="s">
        <v>16</v>
      </c>
      <c r="C5" s="6" t="s">
        <v>168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6">
        <v>1</v>
      </c>
      <c r="K5" s="6">
        <v>2.5</v>
      </c>
      <c r="L5" s="6">
        <v>2.5</v>
      </c>
      <c r="M5" s="6">
        <v>3</v>
      </c>
      <c r="N5" s="6"/>
      <c r="O5" s="6">
        <f>SUM(D5:N5)</f>
        <v>15</v>
      </c>
      <c r="P5" s="6"/>
      <c r="S5" s="6">
        <f>SUM(D5:G5,K5,M5)</f>
        <v>9.5</v>
      </c>
      <c r="T5" s="6">
        <f>SUM(H5,I5,J5,L5)</f>
        <v>5.5</v>
      </c>
      <c r="U5" s="6">
        <f>SUM(S5:T5)</f>
        <v>15</v>
      </c>
    </row>
    <row r="6" spans="1:21" x14ac:dyDescent="0.25">
      <c r="A6" s="5">
        <f>'Mid Sem'!B6</f>
        <v>590029213</v>
      </c>
      <c r="B6" s="5" t="str">
        <f>'Mid Sem'!A6</f>
        <v>Aadya Dubey</v>
      </c>
      <c r="C6" s="50" t="b">
        <v>1</v>
      </c>
      <c r="D6" s="2">
        <v>0.5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2.5</v>
      </c>
      <c r="L6" s="2">
        <v>2.5</v>
      </c>
      <c r="M6" s="2">
        <v>3</v>
      </c>
      <c r="N6" s="2"/>
      <c r="O6" s="49">
        <f>SUM(D6:N6)</f>
        <v>14.5</v>
      </c>
      <c r="P6" s="2"/>
      <c r="S6" s="49">
        <f>SUM(D6:G6,K6,M6)</f>
        <v>9</v>
      </c>
      <c r="T6" s="49">
        <f>SUM(H6,I6,J6,L6)</f>
        <v>5.5</v>
      </c>
      <c r="U6" s="49">
        <f>SUM(S6:T6)</f>
        <v>14.5</v>
      </c>
    </row>
    <row r="7" spans="1:21" x14ac:dyDescent="0.25">
      <c r="A7" s="5">
        <f>'Mid Sem'!B7</f>
        <v>590029270</v>
      </c>
      <c r="B7" s="5" t="str">
        <f>'Mid Sem'!A7</f>
        <v>Aditya Vishwakarma</v>
      </c>
      <c r="C7" s="50" t="b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2.5</v>
      </c>
      <c r="L7" s="2">
        <v>2.5</v>
      </c>
      <c r="M7" s="2">
        <v>3</v>
      </c>
      <c r="N7" s="2"/>
      <c r="O7" s="49">
        <f t="shared" ref="O7:O64" si="0">SUM(D7:N7)</f>
        <v>15</v>
      </c>
      <c r="P7" s="2"/>
      <c r="S7" s="49">
        <f t="shared" ref="S7:S64" si="1">SUM(D7:G7,K7,M7)</f>
        <v>9.5</v>
      </c>
      <c r="T7" s="49">
        <f t="shared" ref="T7:T64" si="2">SUM(H7,I7,J7,L7)</f>
        <v>5.5</v>
      </c>
      <c r="U7" s="49">
        <f t="shared" ref="U7:U64" si="3">SUM(S7:T7)</f>
        <v>15</v>
      </c>
    </row>
    <row r="8" spans="1:21" x14ac:dyDescent="0.25">
      <c r="A8" s="5">
        <f>'Mid Sem'!B8</f>
        <v>590029204</v>
      </c>
      <c r="B8" s="5" t="str">
        <f>'Mid Sem'!A8</f>
        <v>Arjun</v>
      </c>
      <c r="C8" s="50" t="b">
        <v>1</v>
      </c>
      <c r="D8" s="2">
        <v>0</v>
      </c>
      <c r="E8" s="2">
        <v>1</v>
      </c>
      <c r="F8" s="2">
        <v>1</v>
      </c>
      <c r="G8" s="2">
        <v>0</v>
      </c>
      <c r="H8" s="2">
        <v>1</v>
      </c>
      <c r="I8" s="2">
        <v>1</v>
      </c>
      <c r="J8" s="2">
        <v>1</v>
      </c>
      <c r="K8" s="2">
        <v>0</v>
      </c>
      <c r="L8" s="2">
        <v>1</v>
      </c>
      <c r="M8" s="2">
        <v>2</v>
      </c>
      <c r="N8" s="2"/>
      <c r="O8" s="49">
        <f t="shared" si="0"/>
        <v>8</v>
      </c>
      <c r="P8" s="2"/>
      <c r="S8" s="49">
        <f t="shared" si="1"/>
        <v>4</v>
      </c>
      <c r="T8" s="49">
        <f t="shared" si="2"/>
        <v>4</v>
      </c>
      <c r="U8" s="49">
        <f t="shared" si="3"/>
        <v>8</v>
      </c>
    </row>
    <row r="9" spans="1:21" x14ac:dyDescent="0.25">
      <c r="A9" s="5">
        <f>'Mid Sem'!B9</f>
        <v>590029109</v>
      </c>
      <c r="B9" s="5" t="str">
        <f>'Mid Sem'!A9</f>
        <v>Aryan Yadav</v>
      </c>
      <c r="C9" s="50" t="b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1.5</v>
      </c>
      <c r="L9" s="2">
        <v>2.5</v>
      </c>
      <c r="M9" s="2">
        <v>0</v>
      </c>
      <c r="N9" s="2"/>
      <c r="O9" s="49">
        <f t="shared" si="0"/>
        <v>11</v>
      </c>
      <c r="P9" s="2"/>
      <c r="S9" s="49">
        <f t="shared" si="1"/>
        <v>5.5</v>
      </c>
      <c r="T9" s="49">
        <f t="shared" si="2"/>
        <v>5.5</v>
      </c>
      <c r="U9" s="49">
        <f t="shared" si="3"/>
        <v>11</v>
      </c>
    </row>
    <row r="10" spans="1:21" x14ac:dyDescent="0.25">
      <c r="A10" s="5">
        <f>'Mid Sem'!B10</f>
        <v>590029070</v>
      </c>
      <c r="B10" s="5" t="str">
        <f>'Mid Sem'!A10</f>
        <v>Astik Patel</v>
      </c>
      <c r="C10" s="50" t="b">
        <v>1</v>
      </c>
      <c r="D10" s="2">
        <v>1</v>
      </c>
      <c r="E10" s="2">
        <v>1</v>
      </c>
      <c r="F10" s="2">
        <v>0</v>
      </c>
      <c r="G10" s="2">
        <v>1</v>
      </c>
      <c r="H10" s="2">
        <v>1</v>
      </c>
      <c r="I10" s="2">
        <v>1</v>
      </c>
      <c r="J10" s="2">
        <v>1</v>
      </c>
      <c r="K10" s="2">
        <v>2.5</v>
      </c>
      <c r="L10" s="2">
        <v>2.5</v>
      </c>
      <c r="M10" s="2">
        <v>0</v>
      </c>
      <c r="N10" s="2"/>
      <c r="O10" s="49">
        <f t="shared" si="0"/>
        <v>11</v>
      </c>
      <c r="P10" s="2"/>
      <c r="S10" s="49">
        <f t="shared" si="1"/>
        <v>5.5</v>
      </c>
      <c r="T10" s="49">
        <f t="shared" si="2"/>
        <v>5.5</v>
      </c>
      <c r="U10" s="49">
        <f t="shared" si="3"/>
        <v>11</v>
      </c>
    </row>
    <row r="11" spans="1:21" x14ac:dyDescent="0.25">
      <c r="A11" s="5">
        <f>'Mid Sem'!B11</f>
        <v>590029157</v>
      </c>
      <c r="B11" s="5" t="str">
        <f>'Mid Sem'!A11</f>
        <v>Ayush Mohan</v>
      </c>
      <c r="C11" s="50" t="b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2.5</v>
      </c>
      <c r="L11" s="2">
        <v>2.5</v>
      </c>
      <c r="M11" s="2">
        <v>3</v>
      </c>
      <c r="N11" s="2"/>
      <c r="O11" s="49">
        <f t="shared" si="0"/>
        <v>15</v>
      </c>
      <c r="P11" s="2"/>
      <c r="S11" s="49">
        <f t="shared" si="1"/>
        <v>9.5</v>
      </c>
      <c r="T11" s="49">
        <f t="shared" si="2"/>
        <v>5.5</v>
      </c>
      <c r="U11" s="49">
        <f t="shared" si="3"/>
        <v>15</v>
      </c>
    </row>
    <row r="12" spans="1:21" x14ac:dyDescent="0.25">
      <c r="A12" s="5">
        <f>'Mid Sem'!B12</f>
        <v>590027157</v>
      </c>
      <c r="B12" s="5" t="str">
        <f>'Mid Sem'!A12</f>
        <v>Bhanu Purohit</v>
      </c>
      <c r="C12" s="50" t="b">
        <v>1</v>
      </c>
      <c r="D12" s="2">
        <v>1</v>
      </c>
      <c r="E12" s="2">
        <v>1</v>
      </c>
      <c r="F12" s="2">
        <v>1</v>
      </c>
      <c r="G12" s="2">
        <v>0</v>
      </c>
      <c r="H12" s="2">
        <v>1</v>
      </c>
      <c r="I12" s="2">
        <v>1</v>
      </c>
      <c r="J12" s="2">
        <v>1</v>
      </c>
      <c r="K12" s="2">
        <v>0.5</v>
      </c>
      <c r="L12" s="2">
        <v>0</v>
      </c>
      <c r="M12" s="2">
        <v>2</v>
      </c>
      <c r="N12" s="2"/>
      <c r="O12" s="49">
        <f t="shared" si="0"/>
        <v>8.5</v>
      </c>
      <c r="P12" s="2"/>
      <c r="S12" s="49">
        <f t="shared" si="1"/>
        <v>5.5</v>
      </c>
      <c r="T12" s="49">
        <f t="shared" si="2"/>
        <v>3</v>
      </c>
      <c r="U12" s="49">
        <f t="shared" si="3"/>
        <v>8.5</v>
      </c>
    </row>
    <row r="13" spans="1:21" x14ac:dyDescent="0.25">
      <c r="A13" s="5">
        <f>'Mid Sem'!B13</f>
        <v>590029274</v>
      </c>
      <c r="B13" s="5" t="str">
        <f>'Mid Sem'!A13</f>
        <v>Biswabandya Mohanty</v>
      </c>
      <c r="C13" s="50" t="b">
        <v>1</v>
      </c>
      <c r="D13" s="2">
        <v>1</v>
      </c>
      <c r="E13" s="2">
        <v>1</v>
      </c>
      <c r="F13" s="2">
        <v>1</v>
      </c>
      <c r="G13" s="2">
        <v>1</v>
      </c>
      <c r="H13" s="2">
        <v>0</v>
      </c>
      <c r="I13" s="2">
        <v>1</v>
      </c>
      <c r="J13" s="2">
        <v>1</v>
      </c>
      <c r="K13" s="2">
        <v>0</v>
      </c>
      <c r="L13" s="2">
        <v>2.5</v>
      </c>
      <c r="M13" s="2">
        <v>0</v>
      </c>
      <c r="N13" s="2"/>
      <c r="O13" s="49">
        <f t="shared" si="0"/>
        <v>8.5</v>
      </c>
      <c r="P13" s="2"/>
      <c r="S13" s="49">
        <f t="shared" si="1"/>
        <v>4</v>
      </c>
      <c r="T13" s="49">
        <f t="shared" si="2"/>
        <v>4.5</v>
      </c>
      <c r="U13" s="49">
        <f t="shared" si="3"/>
        <v>8.5</v>
      </c>
    </row>
    <row r="14" spans="1:21" x14ac:dyDescent="0.25">
      <c r="A14" s="5">
        <f>'Mid Sem'!B14</f>
        <v>590028572</v>
      </c>
      <c r="B14" s="5" t="str">
        <f>'Mid Sem'!A14</f>
        <v>Eashan Vashisht</v>
      </c>
      <c r="C14" s="50" t="b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2.5</v>
      </c>
      <c r="L14" s="2">
        <v>2.5</v>
      </c>
      <c r="M14" s="2">
        <v>0</v>
      </c>
      <c r="N14" s="2"/>
      <c r="O14" s="49">
        <f t="shared" si="0"/>
        <v>12</v>
      </c>
      <c r="P14" s="2"/>
      <c r="S14" s="49">
        <f t="shared" si="1"/>
        <v>6.5</v>
      </c>
      <c r="T14" s="49">
        <f t="shared" si="2"/>
        <v>5.5</v>
      </c>
      <c r="U14" s="49">
        <f t="shared" si="3"/>
        <v>12</v>
      </c>
    </row>
    <row r="15" spans="1:21" x14ac:dyDescent="0.25">
      <c r="A15" s="5">
        <f>'Mid Sem'!B15</f>
        <v>590029230</v>
      </c>
      <c r="B15" s="5" t="str">
        <f>'Mid Sem'!A15</f>
        <v>Hardik Joshi</v>
      </c>
      <c r="C15" s="50" t="b"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49"/>
      <c r="P15" s="2"/>
      <c r="S15" s="49">
        <f t="shared" si="1"/>
        <v>0</v>
      </c>
      <c r="T15" s="49">
        <f t="shared" si="2"/>
        <v>0</v>
      </c>
      <c r="U15" s="49">
        <f t="shared" si="3"/>
        <v>0</v>
      </c>
    </row>
    <row r="16" spans="1:21" x14ac:dyDescent="0.25">
      <c r="A16" s="5">
        <f>'Mid Sem'!B16</f>
        <v>590029169</v>
      </c>
      <c r="B16" s="5" t="str">
        <f>'Mid Sem'!A16</f>
        <v>Hrithvik Bhardwaj</v>
      </c>
      <c r="C16" s="50" t="b">
        <v>1</v>
      </c>
      <c r="D16" s="2">
        <v>1</v>
      </c>
      <c r="E16" s="2">
        <v>0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2.5</v>
      </c>
      <c r="N16" s="2"/>
      <c r="O16" s="49">
        <f t="shared" si="0"/>
        <v>10.5</v>
      </c>
      <c r="P16" s="2"/>
      <c r="S16" s="49">
        <f t="shared" si="1"/>
        <v>6.5</v>
      </c>
      <c r="T16" s="49">
        <f t="shared" si="2"/>
        <v>4</v>
      </c>
      <c r="U16" s="49">
        <f t="shared" si="3"/>
        <v>10.5</v>
      </c>
    </row>
    <row r="17" spans="1:21" x14ac:dyDescent="0.25">
      <c r="A17" s="5">
        <f>'Mid Sem'!B17</f>
        <v>590029112</v>
      </c>
      <c r="B17" s="5" t="str">
        <f>'Mid Sem'!A17</f>
        <v>Nitish Kumar</v>
      </c>
      <c r="C17" s="50" t="b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0.5</v>
      </c>
      <c r="L17" s="2">
        <v>1.5</v>
      </c>
      <c r="M17" s="2">
        <v>3</v>
      </c>
      <c r="N17" s="2"/>
      <c r="O17" s="49">
        <f t="shared" si="0"/>
        <v>12</v>
      </c>
      <c r="P17" s="2"/>
      <c r="S17" s="49">
        <f t="shared" si="1"/>
        <v>7.5</v>
      </c>
      <c r="T17" s="49">
        <f t="shared" si="2"/>
        <v>4.5</v>
      </c>
      <c r="U17" s="49">
        <f t="shared" si="3"/>
        <v>12</v>
      </c>
    </row>
    <row r="18" spans="1:21" x14ac:dyDescent="0.25">
      <c r="A18" s="5">
        <f>'Mid Sem'!B18</f>
        <v>590025556</v>
      </c>
      <c r="B18" s="5" t="str">
        <f>'Mid Sem'!A18</f>
        <v>Omkareshwar Chaubey</v>
      </c>
      <c r="C18" s="50" t="b"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49"/>
      <c r="P18" s="2"/>
      <c r="S18" s="49">
        <f t="shared" si="1"/>
        <v>0</v>
      </c>
      <c r="T18" s="49">
        <f t="shared" si="2"/>
        <v>0</v>
      </c>
      <c r="U18" s="49">
        <f t="shared" si="3"/>
        <v>0</v>
      </c>
    </row>
    <row r="19" spans="1:21" x14ac:dyDescent="0.25">
      <c r="A19" s="5">
        <f>'Mid Sem'!B19</f>
        <v>590027830</v>
      </c>
      <c r="B19" s="5" t="str">
        <f>'Mid Sem'!A19</f>
        <v>Pavani Jain</v>
      </c>
      <c r="C19" s="50" t="b"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49"/>
      <c r="P19" s="2"/>
      <c r="S19" s="49">
        <f t="shared" si="1"/>
        <v>0</v>
      </c>
      <c r="T19" s="49">
        <f t="shared" si="2"/>
        <v>0</v>
      </c>
      <c r="U19" s="49">
        <f t="shared" si="3"/>
        <v>0</v>
      </c>
    </row>
    <row r="20" spans="1:21" x14ac:dyDescent="0.25">
      <c r="A20" s="5">
        <f>'Mid Sem'!B20</f>
        <v>590028360</v>
      </c>
      <c r="B20" s="5" t="str">
        <f>'Mid Sem'!A20</f>
        <v>Prapti Uniyal</v>
      </c>
      <c r="C20" s="50" t="b">
        <v>1</v>
      </c>
      <c r="D20" s="2">
        <v>1</v>
      </c>
      <c r="E20" s="2">
        <v>1</v>
      </c>
      <c r="F20" s="2">
        <v>1</v>
      </c>
      <c r="G20" s="2">
        <v>1</v>
      </c>
      <c r="H20" s="2">
        <v>0</v>
      </c>
      <c r="I20" s="2">
        <v>1</v>
      </c>
      <c r="J20" s="2">
        <v>0</v>
      </c>
      <c r="K20" s="2">
        <v>1.5</v>
      </c>
      <c r="L20" s="2">
        <v>2.5</v>
      </c>
      <c r="M20" s="2">
        <v>1</v>
      </c>
      <c r="N20" s="2"/>
      <c r="O20" s="49">
        <f t="shared" si="0"/>
        <v>10</v>
      </c>
      <c r="P20" s="2"/>
      <c r="S20" s="49">
        <f t="shared" si="1"/>
        <v>6.5</v>
      </c>
      <c r="T20" s="49">
        <f t="shared" si="2"/>
        <v>3.5</v>
      </c>
      <c r="U20" s="49">
        <f t="shared" si="3"/>
        <v>10</v>
      </c>
    </row>
    <row r="21" spans="1:21" x14ac:dyDescent="0.25">
      <c r="A21" s="5">
        <f>'Mid Sem'!B21</f>
        <v>590029237</v>
      </c>
      <c r="B21" s="5" t="str">
        <f>'Mid Sem'!A21</f>
        <v>Priyadarshi Prabhakar</v>
      </c>
      <c r="C21" s="50" t="b">
        <v>1</v>
      </c>
      <c r="D21" s="2">
        <v>1</v>
      </c>
      <c r="E21" s="2">
        <v>0</v>
      </c>
      <c r="F21" s="2">
        <v>1</v>
      </c>
      <c r="G21" s="2">
        <v>1</v>
      </c>
      <c r="H21" s="2">
        <v>1</v>
      </c>
      <c r="I21" s="2">
        <v>1</v>
      </c>
      <c r="J21" s="2">
        <v>1</v>
      </c>
      <c r="K21" s="2">
        <v>0</v>
      </c>
      <c r="L21" s="2">
        <v>1</v>
      </c>
      <c r="M21" s="2">
        <v>1</v>
      </c>
      <c r="N21" s="2"/>
      <c r="O21" s="49">
        <f t="shared" si="0"/>
        <v>8</v>
      </c>
      <c r="P21" s="2"/>
      <c r="S21" s="49">
        <f t="shared" si="1"/>
        <v>4</v>
      </c>
      <c r="T21" s="49">
        <f t="shared" si="2"/>
        <v>4</v>
      </c>
      <c r="U21" s="49">
        <f t="shared" si="3"/>
        <v>8</v>
      </c>
    </row>
    <row r="22" spans="1:21" x14ac:dyDescent="0.25">
      <c r="A22" s="5">
        <f>'Mid Sem'!B22</f>
        <v>590029079</v>
      </c>
      <c r="B22" s="5" t="str">
        <f>'Mid Sem'!A22</f>
        <v>Radhe Patel</v>
      </c>
      <c r="C22" s="50" t="b">
        <v>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49"/>
      <c r="P22" s="2"/>
      <c r="S22" s="49">
        <f t="shared" si="1"/>
        <v>0</v>
      </c>
      <c r="T22" s="49">
        <f t="shared" si="2"/>
        <v>0</v>
      </c>
      <c r="U22" s="49">
        <f t="shared" si="3"/>
        <v>0</v>
      </c>
    </row>
    <row r="23" spans="1:21" x14ac:dyDescent="0.25">
      <c r="A23" s="5">
        <f>'Mid Sem'!B23</f>
        <v>590029145</v>
      </c>
      <c r="B23" s="5" t="str">
        <f>'Mid Sem'!A23</f>
        <v>Rishika Purushotham</v>
      </c>
      <c r="C23" s="50" t="b">
        <v>1</v>
      </c>
      <c r="D23" s="2">
        <v>1</v>
      </c>
      <c r="E23" s="2">
        <v>1</v>
      </c>
      <c r="F23" s="2">
        <v>1</v>
      </c>
      <c r="G23" s="2">
        <v>1</v>
      </c>
      <c r="H23" s="2">
        <v>1</v>
      </c>
      <c r="I23" s="2">
        <v>1</v>
      </c>
      <c r="J23" s="2">
        <v>1</v>
      </c>
      <c r="K23" s="2">
        <v>2.5</v>
      </c>
      <c r="L23" s="2">
        <v>2.5</v>
      </c>
      <c r="M23" s="2">
        <v>3</v>
      </c>
      <c r="N23" s="2"/>
      <c r="O23" s="49">
        <f t="shared" si="0"/>
        <v>15</v>
      </c>
      <c r="P23" s="2"/>
      <c r="S23" s="49">
        <f t="shared" si="1"/>
        <v>9.5</v>
      </c>
      <c r="T23" s="49">
        <f t="shared" si="2"/>
        <v>5.5</v>
      </c>
      <c r="U23" s="49">
        <f t="shared" si="3"/>
        <v>15</v>
      </c>
    </row>
    <row r="24" spans="1:21" x14ac:dyDescent="0.25">
      <c r="A24" s="5">
        <f>'Mid Sem'!B24</f>
        <v>590029209</v>
      </c>
      <c r="B24" s="5" t="str">
        <f>'Mid Sem'!A24</f>
        <v>Rishiv Kumar</v>
      </c>
      <c r="C24" s="50" t="b">
        <v>1</v>
      </c>
      <c r="D24" s="2">
        <v>1</v>
      </c>
      <c r="E24" s="2">
        <v>0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3</v>
      </c>
      <c r="N24" s="2"/>
      <c r="O24" s="49">
        <f t="shared" si="0"/>
        <v>11</v>
      </c>
      <c r="P24" s="2"/>
      <c r="S24" s="49">
        <f t="shared" si="1"/>
        <v>7</v>
      </c>
      <c r="T24" s="49">
        <f t="shared" si="2"/>
        <v>4</v>
      </c>
      <c r="U24" s="49">
        <f t="shared" si="3"/>
        <v>11</v>
      </c>
    </row>
    <row r="25" spans="1:21" x14ac:dyDescent="0.25">
      <c r="A25" s="5">
        <f>'Mid Sem'!B25</f>
        <v>590027268</v>
      </c>
      <c r="B25" s="5" t="str">
        <f>'Mid Sem'!A25</f>
        <v>Sankalp Sunil Ronge</v>
      </c>
      <c r="C25" s="50" t="b">
        <v>1</v>
      </c>
      <c r="D25" s="2">
        <v>1</v>
      </c>
      <c r="E25" s="2">
        <v>1</v>
      </c>
      <c r="F25" s="2">
        <v>1</v>
      </c>
      <c r="G25" s="2">
        <v>1</v>
      </c>
      <c r="H25" s="2">
        <v>1</v>
      </c>
      <c r="I25" s="2">
        <v>1</v>
      </c>
      <c r="J25" s="2">
        <v>1</v>
      </c>
      <c r="K25" s="2">
        <v>1.5</v>
      </c>
      <c r="L25" s="2">
        <v>2.5</v>
      </c>
      <c r="M25" s="2">
        <v>0</v>
      </c>
      <c r="N25" s="2"/>
      <c r="O25" s="49">
        <f t="shared" si="0"/>
        <v>11</v>
      </c>
      <c r="P25" s="2"/>
      <c r="S25" s="49">
        <f t="shared" si="1"/>
        <v>5.5</v>
      </c>
      <c r="T25" s="49">
        <f t="shared" si="2"/>
        <v>5.5</v>
      </c>
      <c r="U25" s="49">
        <f t="shared" si="3"/>
        <v>11</v>
      </c>
    </row>
    <row r="26" spans="1:21" x14ac:dyDescent="0.25">
      <c r="A26" s="5">
        <f>'Mid Sem'!B26</f>
        <v>590029227</v>
      </c>
      <c r="B26" s="5" t="str">
        <f>'Mid Sem'!A26</f>
        <v>Sartaj Singh</v>
      </c>
      <c r="C26" s="50" t="b">
        <v>1</v>
      </c>
      <c r="D26" s="2">
        <v>1</v>
      </c>
      <c r="E26" s="2">
        <v>1</v>
      </c>
      <c r="F26" s="2">
        <v>1</v>
      </c>
      <c r="G26" s="2">
        <v>1</v>
      </c>
      <c r="H26" s="2">
        <v>1</v>
      </c>
      <c r="I26" s="2">
        <v>1</v>
      </c>
      <c r="J26" s="2">
        <v>1</v>
      </c>
      <c r="K26" s="2">
        <v>2.5</v>
      </c>
      <c r="L26" s="2">
        <v>2.5</v>
      </c>
      <c r="M26" s="2">
        <v>3</v>
      </c>
      <c r="N26" s="2"/>
      <c r="O26" s="49">
        <f t="shared" si="0"/>
        <v>15</v>
      </c>
      <c r="P26" s="2"/>
      <c r="S26" s="49">
        <f t="shared" si="1"/>
        <v>9.5</v>
      </c>
      <c r="T26" s="49">
        <f t="shared" si="2"/>
        <v>5.5</v>
      </c>
      <c r="U26" s="49">
        <f t="shared" si="3"/>
        <v>15</v>
      </c>
    </row>
    <row r="27" spans="1:21" x14ac:dyDescent="0.25">
      <c r="A27" s="5">
        <f>'Mid Sem'!B27</f>
        <v>590029241</v>
      </c>
      <c r="B27" s="5" t="str">
        <f>'Mid Sem'!A27</f>
        <v>Satakshi Gupta</v>
      </c>
      <c r="C27" s="50" t="b">
        <v>1</v>
      </c>
      <c r="D27" s="2">
        <v>1</v>
      </c>
      <c r="E27" s="2">
        <v>1</v>
      </c>
      <c r="F27" s="2">
        <v>1</v>
      </c>
      <c r="G27" s="2">
        <v>1</v>
      </c>
      <c r="H27" s="2">
        <v>1</v>
      </c>
      <c r="I27" s="2">
        <v>1</v>
      </c>
      <c r="J27" s="2">
        <v>1</v>
      </c>
      <c r="K27" s="2">
        <v>2</v>
      </c>
      <c r="L27" s="2">
        <v>2.5</v>
      </c>
      <c r="M27" s="2">
        <v>3</v>
      </c>
      <c r="N27" s="2"/>
      <c r="O27" s="49">
        <f t="shared" si="0"/>
        <v>14.5</v>
      </c>
      <c r="P27" s="2"/>
      <c r="S27" s="49">
        <f t="shared" si="1"/>
        <v>9</v>
      </c>
      <c r="T27" s="49">
        <f t="shared" si="2"/>
        <v>5.5</v>
      </c>
      <c r="U27" s="49">
        <f t="shared" si="3"/>
        <v>14.5</v>
      </c>
    </row>
    <row r="28" spans="1:21" x14ac:dyDescent="0.25">
      <c r="A28" s="5">
        <f>'Mid Sem'!B28</f>
        <v>590023855</v>
      </c>
      <c r="B28" s="5" t="str">
        <f>'Mid Sem'!A28</f>
        <v>Shaswat Shantanu</v>
      </c>
      <c r="C28" s="50" t="b">
        <v>1</v>
      </c>
      <c r="D28" s="2">
        <v>1</v>
      </c>
      <c r="E28" s="2">
        <v>1</v>
      </c>
      <c r="F28" s="2">
        <v>1</v>
      </c>
      <c r="G28" s="2">
        <v>1</v>
      </c>
      <c r="H28" s="2">
        <v>1</v>
      </c>
      <c r="I28" s="2">
        <v>1</v>
      </c>
      <c r="J28" s="2">
        <v>1</v>
      </c>
      <c r="K28" s="2">
        <v>1</v>
      </c>
      <c r="L28" s="2">
        <v>2.5</v>
      </c>
      <c r="M28" s="2">
        <v>1.5</v>
      </c>
      <c r="N28" s="2"/>
      <c r="O28" s="49">
        <f t="shared" si="0"/>
        <v>12</v>
      </c>
      <c r="P28" s="2"/>
      <c r="S28" s="49">
        <f t="shared" si="1"/>
        <v>6.5</v>
      </c>
      <c r="T28" s="49">
        <f t="shared" si="2"/>
        <v>5.5</v>
      </c>
      <c r="U28" s="49">
        <f t="shared" si="3"/>
        <v>12</v>
      </c>
    </row>
    <row r="29" spans="1:21" x14ac:dyDescent="0.25">
      <c r="A29" s="5">
        <f>'Mid Sem'!B29</f>
        <v>590029215</v>
      </c>
      <c r="B29" s="5" t="str">
        <f>'Mid Sem'!A29</f>
        <v>Siddhant Rai</v>
      </c>
      <c r="C29" s="50" t="b"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49"/>
      <c r="P29" s="2"/>
      <c r="S29" s="49">
        <f t="shared" si="1"/>
        <v>0</v>
      </c>
      <c r="T29" s="49">
        <f t="shared" si="2"/>
        <v>0</v>
      </c>
      <c r="U29" s="49">
        <f t="shared" si="3"/>
        <v>0</v>
      </c>
    </row>
    <row r="30" spans="1:21" x14ac:dyDescent="0.25">
      <c r="A30" s="5">
        <f>'Mid Sem'!B30</f>
        <v>590029111</v>
      </c>
      <c r="B30" s="5" t="str">
        <f>'Mid Sem'!A30</f>
        <v>Sidhaant Singh Jyrwa</v>
      </c>
      <c r="C30" s="50" t="b">
        <v>1</v>
      </c>
      <c r="D30" s="2">
        <v>0</v>
      </c>
      <c r="E30" s="2">
        <v>1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0</v>
      </c>
      <c r="L30" s="2">
        <v>2.5</v>
      </c>
      <c r="M30" s="2">
        <v>1</v>
      </c>
      <c r="N30" s="2"/>
      <c r="O30" s="49">
        <f t="shared" si="0"/>
        <v>8.5</v>
      </c>
      <c r="P30" s="2"/>
      <c r="S30" s="49">
        <f t="shared" si="1"/>
        <v>3</v>
      </c>
      <c r="T30" s="49">
        <f t="shared" si="2"/>
        <v>5.5</v>
      </c>
      <c r="U30" s="49">
        <f t="shared" si="3"/>
        <v>8.5</v>
      </c>
    </row>
    <row r="31" spans="1:21" x14ac:dyDescent="0.25">
      <c r="A31" s="5">
        <f>'Mid Sem'!B31</f>
        <v>590028683</v>
      </c>
      <c r="B31" s="5" t="str">
        <f>'Mid Sem'!A31</f>
        <v>Subrat Singh Jadaun</v>
      </c>
      <c r="C31" s="50" t="b">
        <v>1</v>
      </c>
      <c r="D31" s="2">
        <v>1</v>
      </c>
      <c r="E31" s="2">
        <v>1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2.5</v>
      </c>
      <c r="L31" s="2">
        <v>2.5</v>
      </c>
      <c r="M31" s="2">
        <v>0</v>
      </c>
      <c r="N31" s="2"/>
      <c r="O31" s="49">
        <f t="shared" si="0"/>
        <v>12</v>
      </c>
      <c r="P31" s="2"/>
      <c r="S31" s="49">
        <f t="shared" si="1"/>
        <v>6.5</v>
      </c>
      <c r="T31" s="49">
        <f t="shared" si="2"/>
        <v>5.5</v>
      </c>
      <c r="U31" s="49">
        <f t="shared" si="3"/>
        <v>12</v>
      </c>
    </row>
    <row r="32" spans="1:21" x14ac:dyDescent="0.25">
      <c r="A32" s="5">
        <f>'Mid Sem'!B32</f>
        <v>590029121</v>
      </c>
      <c r="B32" s="5" t="str">
        <f>'Mid Sem'!A32</f>
        <v>Tushita Sharma</v>
      </c>
      <c r="C32" s="50" t="b">
        <v>1</v>
      </c>
      <c r="D32" s="2">
        <v>0</v>
      </c>
      <c r="E32" s="2">
        <v>1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0</v>
      </c>
      <c r="L32" s="2">
        <v>2.5</v>
      </c>
      <c r="M32" s="2">
        <v>1</v>
      </c>
      <c r="N32" s="2"/>
      <c r="O32" s="49">
        <f t="shared" si="0"/>
        <v>8.5</v>
      </c>
      <c r="P32" s="2"/>
      <c r="S32" s="49">
        <f t="shared" si="1"/>
        <v>3</v>
      </c>
      <c r="T32" s="49">
        <f t="shared" si="2"/>
        <v>5.5</v>
      </c>
      <c r="U32" s="49">
        <f t="shared" si="3"/>
        <v>8.5</v>
      </c>
    </row>
    <row r="33" spans="1:21" x14ac:dyDescent="0.25">
      <c r="A33" s="5">
        <f>'Mid Sem'!B33</f>
        <v>590029048</v>
      </c>
      <c r="B33" s="5" t="str">
        <f>'Mid Sem'!A33</f>
        <v>Vaishnavi Kumari</v>
      </c>
      <c r="C33" s="50" t="b">
        <v>1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0</v>
      </c>
      <c r="J33" s="2">
        <v>1</v>
      </c>
      <c r="K33" s="2">
        <v>1</v>
      </c>
      <c r="L33" s="2">
        <v>1</v>
      </c>
      <c r="M33" s="2">
        <v>3</v>
      </c>
      <c r="N33" s="2"/>
      <c r="O33" s="49">
        <f t="shared" si="0"/>
        <v>11</v>
      </c>
      <c r="P33" s="2"/>
      <c r="S33" s="49">
        <f t="shared" si="1"/>
        <v>8</v>
      </c>
      <c r="T33" s="49">
        <f t="shared" si="2"/>
        <v>3</v>
      </c>
      <c r="U33" s="49">
        <f t="shared" si="3"/>
        <v>11</v>
      </c>
    </row>
    <row r="34" spans="1:21" x14ac:dyDescent="0.25">
      <c r="A34" s="5">
        <f>'Mid Sem'!B34</f>
        <v>590029184</v>
      </c>
      <c r="B34" s="5" t="str">
        <f>'Mid Sem'!A34</f>
        <v>Vivek Chauhan</v>
      </c>
      <c r="C34" s="50" t="b">
        <v>1</v>
      </c>
      <c r="D34" s="2">
        <v>1</v>
      </c>
      <c r="E34" s="2">
        <v>1</v>
      </c>
      <c r="F34" s="2">
        <v>1</v>
      </c>
      <c r="G34" s="2">
        <v>1</v>
      </c>
      <c r="H34" s="2">
        <v>1</v>
      </c>
      <c r="I34" s="2">
        <v>1</v>
      </c>
      <c r="J34" s="2">
        <v>1</v>
      </c>
      <c r="K34" s="2">
        <v>2.5</v>
      </c>
      <c r="L34" s="2">
        <v>2.5</v>
      </c>
      <c r="M34" s="2">
        <v>3</v>
      </c>
      <c r="N34" s="2"/>
      <c r="O34" s="49">
        <f t="shared" si="0"/>
        <v>15</v>
      </c>
      <c r="P34" s="2"/>
      <c r="S34" s="49">
        <f t="shared" si="1"/>
        <v>9.5</v>
      </c>
      <c r="T34" s="49">
        <f t="shared" si="2"/>
        <v>5.5</v>
      </c>
      <c r="U34" s="49">
        <f t="shared" si="3"/>
        <v>15</v>
      </c>
    </row>
    <row r="35" spans="1:21" x14ac:dyDescent="0.25">
      <c r="A35" s="5">
        <f>'Mid Sem'!B35</f>
        <v>590029330</v>
      </c>
      <c r="B35" s="5" t="str">
        <f>'Mid Sem'!A35</f>
        <v>Aadarshi Bisht</v>
      </c>
      <c r="C35" s="50" t="b">
        <v>1</v>
      </c>
      <c r="D35" s="2">
        <v>1</v>
      </c>
      <c r="E35" s="2">
        <v>1</v>
      </c>
      <c r="F35" s="2">
        <v>1</v>
      </c>
      <c r="G35" s="2">
        <v>1</v>
      </c>
      <c r="H35" s="2">
        <v>1</v>
      </c>
      <c r="I35" s="2">
        <v>1</v>
      </c>
      <c r="J35" s="2">
        <v>1</v>
      </c>
      <c r="K35" s="2">
        <v>2.5</v>
      </c>
      <c r="L35" s="2">
        <v>2.5</v>
      </c>
      <c r="M35" s="2">
        <v>0</v>
      </c>
      <c r="N35" s="2"/>
      <c r="O35" s="49">
        <f t="shared" si="0"/>
        <v>12</v>
      </c>
      <c r="P35" s="2"/>
      <c r="S35" s="49">
        <f t="shared" si="1"/>
        <v>6.5</v>
      </c>
      <c r="T35" s="49">
        <f t="shared" si="2"/>
        <v>5.5</v>
      </c>
      <c r="U35" s="49">
        <f t="shared" si="3"/>
        <v>12</v>
      </c>
    </row>
    <row r="36" spans="1:21" x14ac:dyDescent="0.25">
      <c r="A36" s="5">
        <f>'Mid Sem'!B36</f>
        <v>590027630</v>
      </c>
      <c r="B36" s="5" t="str">
        <f>'Mid Sem'!A36</f>
        <v>Aarush Prasad</v>
      </c>
      <c r="C36" s="50" t="b">
        <v>1</v>
      </c>
      <c r="D36" s="2">
        <v>1</v>
      </c>
      <c r="E36" s="2">
        <v>1</v>
      </c>
      <c r="F36" s="2">
        <v>1</v>
      </c>
      <c r="G36" s="2">
        <v>1</v>
      </c>
      <c r="H36" s="2">
        <v>1</v>
      </c>
      <c r="I36" s="2">
        <v>1</v>
      </c>
      <c r="J36" s="2">
        <v>1</v>
      </c>
      <c r="K36" s="2">
        <v>2.5</v>
      </c>
      <c r="L36" s="2">
        <v>2.5</v>
      </c>
      <c r="M36" s="2">
        <v>3</v>
      </c>
      <c r="N36" s="2"/>
      <c r="O36" s="49">
        <f t="shared" si="0"/>
        <v>15</v>
      </c>
      <c r="P36" s="2"/>
      <c r="S36" s="49">
        <f t="shared" si="1"/>
        <v>9.5</v>
      </c>
      <c r="T36" s="49">
        <f t="shared" si="2"/>
        <v>5.5</v>
      </c>
      <c r="U36" s="49">
        <f t="shared" si="3"/>
        <v>15</v>
      </c>
    </row>
    <row r="37" spans="1:21" x14ac:dyDescent="0.25">
      <c r="A37" s="5">
        <f>'Mid Sem'!B37</f>
        <v>590029219</v>
      </c>
      <c r="B37" s="5" t="str">
        <f>'Mid Sem'!A37</f>
        <v>Aditya Mishra</v>
      </c>
      <c r="C37" s="50" t="b">
        <v>1</v>
      </c>
      <c r="D37" s="2">
        <v>1</v>
      </c>
      <c r="E37" s="2">
        <v>1</v>
      </c>
      <c r="F37" s="2">
        <v>1</v>
      </c>
      <c r="G37" s="2">
        <v>1</v>
      </c>
      <c r="H37" s="2">
        <v>1</v>
      </c>
      <c r="I37" s="2">
        <v>1</v>
      </c>
      <c r="J37" s="2">
        <v>1</v>
      </c>
      <c r="K37" s="2">
        <v>0</v>
      </c>
      <c r="L37" s="2">
        <v>1</v>
      </c>
      <c r="M37" s="2">
        <v>0</v>
      </c>
      <c r="N37" s="2"/>
      <c r="O37" s="49">
        <f t="shared" si="0"/>
        <v>8</v>
      </c>
      <c r="P37" s="2"/>
      <c r="S37" s="49">
        <f t="shared" si="1"/>
        <v>4</v>
      </c>
      <c r="T37" s="49">
        <f t="shared" si="2"/>
        <v>4</v>
      </c>
      <c r="U37" s="49">
        <f t="shared" si="3"/>
        <v>8</v>
      </c>
    </row>
    <row r="38" spans="1:21" x14ac:dyDescent="0.25">
      <c r="A38" s="5">
        <f>'Mid Sem'!B38</f>
        <v>590028933</v>
      </c>
      <c r="B38" s="5" t="str">
        <f>'Mid Sem'!A38</f>
        <v>Aman Barnwal</v>
      </c>
      <c r="C38" s="50" t="b">
        <v>1</v>
      </c>
      <c r="D38" s="2">
        <v>1</v>
      </c>
      <c r="E38" s="2">
        <v>1</v>
      </c>
      <c r="F38" s="2">
        <v>1</v>
      </c>
      <c r="G38" s="2">
        <v>1</v>
      </c>
      <c r="H38" s="2">
        <v>1</v>
      </c>
      <c r="I38" s="2">
        <v>1</v>
      </c>
      <c r="J38" s="2">
        <v>1</v>
      </c>
      <c r="K38" s="2">
        <v>2.5</v>
      </c>
      <c r="L38" s="2">
        <v>2.5</v>
      </c>
      <c r="M38" s="2">
        <v>3</v>
      </c>
      <c r="N38" s="2"/>
      <c r="O38" s="49">
        <f t="shared" si="0"/>
        <v>15</v>
      </c>
      <c r="P38" s="2"/>
      <c r="S38" s="49">
        <f t="shared" si="1"/>
        <v>9.5</v>
      </c>
      <c r="T38" s="49">
        <f t="shared" si="2"/>
        <v>5.5</v>
      </c>
      <c r="U38" s="49">
        <f t="shared" si="3"/>
        <v>15</v>
      </c>
    </row>
    <row r="39" spans="1:21" x14ac:dyDescent="0.25">
      <c r="A39" s="5">
        <f>'Mid Sem'!B39</f>
        <v>590027859</v>
      </c>
      <c r="B39" s="5" t="str">
        <f>'Mid Sem'!A39</f>
        <v>Ashutosh Shrivastava</v>
      </c>
      <c r="C39" s="50" t="b">
        <v>1</v>
      </c>
      <c r="D39" s="2">
        <v>1</v>
      </c>
      <c r="E39" s="2">
        <v>1</v>
      </c>
      <c r="F39" s="2">
        <v>1</v>
      </c>
      <c r="G39" s="2">
        <v>1</v>
      </c>
      <c r="H39" s="2">
        <v>1</v>
      </c>
      <c r="I39" s="2">
        <v>1</v>
      </c>
      <c r="J39" s="2">
        <v>1</v>
      </c>
      <c r="K39" s="2">
        <v>1</v>
      </c>
      <c r="L39" s="2">
        <v>0</v>
      </c>
      <c r="M39" s="2">
        <v>0</v>
      </c>
      <c r="N39" s="2"/>
      <c r="O39" s="49">
        <f t="shared" si="0"/>
        <v>8</v>
      </c>
      <c r="P39" s="2"/>
      <c r="S39" s="49">
        <f t="shared" si="1"/>
        <v>5</v>
      </c>
      <c r="T39" s="49">
        <f t="shared" si="2"/>
        <v>3</v>
      </c>
      <c r="U39" s="49">
        <f t="shared" si="3"/>
        <v>8</v>
      </c>
    </row>
    <row r="40" spans="1:21" x14ac:dyDescent="0.25">
      <c r="A40" s="5">
        <f>'Mid Sem'!B40</f>
        <v>590028682</v>
      </c>
      <c r="B40" s="5" t="str">
        <f>'Mid Sem'!A40</f>
        <v>Ayan Pande</v>
      </c>
      <c r="C40" s="50" t="b">
        <v>1</v>
      </c>
      <c r="D40" s="2">
        <v>1</v>
      </c>
      <c r="E40" s="2">
        <v>1</v>
      </c>
      <c r="F40" s="2">
        <v>1</v>
      </c>
      <c r="G40" s="2">
        <v>1</v>
      </c>
      <c r="H40" s="2">
        <v>1</v>
      </c>
      <c r="I40" s="2">
        <v>1</v>
      </c>
      <c r="J40" s="2">
        <v>1</v>
      </c>
      <c r="K40" s="2">
        <v>0</v>
      </c>
      <c r="L40" s="2">
        <v>2.5</v>
      </c>
      <c r="M40" s="2">
        <v>3</v>
      </c>
      <c r="N40" s="2"/>
      <c r="O40" s="49">
        <f t="shared" si="0"/>
        <v>12.5</v>
      </c>
      <c r="P40" s="2"/>
      <c r="S40" s="49">
        <f t="shared" si="1"/>
        <v>7</v>
      </c>
      <c r="T40" s="49">
        <f t="shared" si="2"/>
        <v>5.5</v>
      </c>
      <c r="U40" s="49">
        <f t="shared" si="3"/>
        <v>12.5</v>
      </c>
    </row>
    <row r="41" spans="1:21" x14ac:dyDescent="0.25">
      <c r="A41" s="5">
        <f>'Mid Sem'!B41</f>
        <v>590023917</v>
      </c>
      <c r="B41" s="5" t="str">
        <f>'Mid Sem'!A41</f>
        <v>Ayush Pratap Singh</v>
      </c>
      <c r="C41" s="50" t="b"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49"/>
      <c r="P41" s="2"/>
      <c r="S41" s="49">
        <f t="shared" si="1"/>
        <v>0</v>
      </c>
      <c r="T41" s="49">
        <f t="shared" si="2"/>
        <v>0</v>
      </c>
      <c r="U41" s="49">
        <f t="shared" si="3"/>
        <v>0</v>
      </c>
    </row>
    <row r="42" spans="1:21" x14ac:dyDescent="0.25">
      <c r="A42" s="5">
        <f>'Mid Sem'!B42</f>
        <v>590023785</v>
      </c>
      <c r="B42" s="5" t="str">
        <f>'Mid Sem'!A42</f>
        <v>Gayatri Bhatt</v>
      </c>
      <c r="C42" s="50" t="b">
        <v>1</v>
      </c>
      <c r="D42" s="2">
        <v>1</v>
      </c>
      <c r="E42" s="2">
        <v>1</v>
      </c>
      <c r="F42" s="2">
        <v>1</v>
      </c>
      <c r="G42" s="2">
        <v>1</v>
      </c>
      <c r="H42" s="2">
        <v>1</v>
      </c>
      <c r="I42" s="2">
        <v>0</v>
      </c>
      <c r="J42" s="2">
        <v>1</v>
      </c>
      <c r="K42" s="2">
        <v>1</v>
      </c>
      <c r="L42" s="2">
        <v>1</v>
      </c>
      <c r="M42" s="2">
        <v>2</v>
      </c>
      <c r="N42" s="2"/>
      <c r="O42" s="49">
        <f t="shared" si="0"/>
        <v>10</v>
      </c>
      <c r="P42" s="2"/>
      <c r="S42" s="49">
        <f t="shared" si="1"/>
        <v>7</v>
      </c>
      <c r="T42" s="49">
        <f t="shared" si="2"/>
        <v>3</v>
      </c>
      <c r="U42" s="49">
        <f t="shared" si="3"/>
        <v>10</v>
      </c>
    </row>
    <row r="43" spans="1:21" x14ac:dyDescent="0.25">
      <c r="A43" s="5">
        <f>'Mid Sem'!B43</f>
        <v>590029264</v>
      </c>
      <c r="B43" s="5" t="str">
        <f>'Mid Sem'!A43</f>
        <v>Harsh Mudgal</v>
      </c>
      <c r="C43" s="50" t="b"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49"/>
      <c r="P43" s="2"/>
      <c r="S43" s="49">
        <f t="shared" si="1"/>
        <v>0</v>
      </c>
      <c r="T43" s="49">
        <f t="shared" si="2"/>
        <v>0</v>
      </c>
      <c r="U43" s="49">
        <f t="shared" si="3"/>
        <v>0</v>
      </c>
    </row>
    <row r="44" spans="1:21" x14ac:dyDescent="0.25">
      <c r="A44" s="5">
        <f>'Mid Sem'!B44</f>
        <v>590029042</v>
      </c>
      <c r="B44" s="5" t="str">
        <f>'Mid Sem'!A44</f>
        <v>Kanan Nidhania</v>
      </c>
      <c r="C44" s="50" t="b"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49"/>
      <c r="P44" s="2"/>
      <c r="S44" s="49">
        <f t="shared" si="1"/>
        <v>0</v>
      </c>
      <c r="T44" s="49">
        <f t="shared" si="2"/>
        <v>0</v>
      </c>
      <c r="U44" s="49">
        <f t="shared" si="3"/>
        <v>0</v>
      </c>
    </row>
    <row r="45" spans="1:21" x14ac:dyDescent="0.25">
      <c r="A45" s="5">
        <f>'Mid Sem'!B45</f>
        <v>590029336</v>
      </c>
      <c r="B45" s="5" t="str">
        <f>'Mid Sem'!A45</f>
        <v>Kanishka Diwakar</v>
      </c>
      <c r="C45" s="50" t="b">
        <v>1</v>
      </c>
      <c r="D45" s="2">
        <v>1</v>
      </c>
      <c r="E45" s="2">
        <v>1</v>
      </c>
      <c r="F45" s="2">
        <v>1</v>
      </c>
      <c r="G45" s="2">
        <v>1</v>
      </c>
      <c r="H45" s="2">
        <v>1</v>
      </c>
      <c r="I45" s="2">
        <v>1</v>
      </c>
      <c r="J45" s="2">
        <v>1</v>
      </c>
      <c r="K45" s="2">
        <v>2.5</v>
      </c>
      <c r="L45" s="2">
        <v>2</v>
      </c>
      <c r="M45" s="2">
        <v>2.5</v>
      </c>
      <c r="N45" s="2"/>
      <c r="O45" s="49">
        <f t="shared" si="0"/>
        <v>14</v>
      </c>
      <c r="P45" s="2"/>
      <c r="S45" s="49">
        <f t="shared" si="1"/>
        <v>9</v>
      </c>
      <c r="T45" s="49">
        <f t="shared" si="2"/>
        <v>5</v>
      </c>
      <c r="U45" s="49">
        <f t="shared" si="3"/>
        <v>14</v>
      </c>
    </row>
    <row r="46" spans="1:21" x14ac:dyDescent="0.25">
      <c r="A46" s="5">
        <f>'Mid Sem'!B46</f>
        <v>590029233</v>
      </c>
      <c r="B46" s="5" t="str">
        <f>'Mid Sem'!A46</f>
        <v>Keshav Chahda</v>
      </c>
      <c r="C46" s="50" t="b">
        <v>1</v>
      </c>
      <c r="D46" s="2">
        <v>0</v>
      </c>
      <c r="E46" s="2">
        <v>1</v>
      </c>
      <c r="F46" s="2">
        <v>1</v>
      </c>
      <c r="G46" s="2">
        <v>1</v>
      </c>
      <c r="H46" s="2">
        <v>0</v>
      </c>
      <c r="I46" s="2">
        <v>1</v>
      </c>
      <c r="J46" s="2">
        <v>0</v>
      </c>
      <c r="K46" s="2">
        <v>1</v>
      </c>
      <c r="L46" s="2">
        <v>2.5</v>
      </c>
      <c r="M46" s="2">
        <v>0</v>
      </c>
      <c r="N46" s="2"/>
      <c r="O46" s="49">
        <f t="shared" si="0"/>
        <v>7.5</v>
      </c>
      <c r="P46" s="2"/>
      <c r="S46" s="49">
        <f t="shared" si="1"/>
        <v>4</v>
      </c>
      <c r="T46" s="49">
        <f t="shared" si="2"/>
        <v>3.5</v>
      </c>
      <c r="U46" s="49">
        <f t="shared" si="3"/>
        <v>7.5</v>
      </c>
    </row>
    <row r="47" spans="1:21" x14ac:dyDescent="0.25">
      <c r="A47" s="5">
        <f>'Mid Sem'!B47</f>
        <v>590029328</v>
      </c>
      <c r="B47" s="5" t="str">
        <f>'Mid Sem'!A47</f>
        <v>Lakshay Dhanda</v>
      </c>
      <c r="C47" s="50" t="b">
        <v>1</v>
      </c>
      <c r="D47" s="2">
        <v>1</v>
      </c>
      <c r="E47" s="2">
        <v>1</v>
      </c>
      <c r="F47" s="2">
        <v>1</v>
      </c>
      <c r="G47" s="2">
        <v>1</v>
      </c>
      <c r="H47" s="2">
        <v>1</v>
      </c>
      <c r="I47" s="2">
        <v>1</v>
      </c>
      <c r="J47" s="2">
        <v>1</v>
      </c>
      <c r="K47" s="2">
        <v>2.5</v>
      </c>
      <c r="L47" s="2">
        <v>2</v>
      </c>
      <c r="M47" s="2">
        <v>2.5</v>
      </c>
      <c r="N47" s="2"/>
      <c r="O47" s="49">
        <f t="shared" si="0"/>
        <v>14</v>
      </c>
      <c r="P47" s="2"/>
      <c r="S47" s="49">
        <f t="shared" si="1"/>
        <v>9</v>
      </c>
      <c r="T47" s="49">
        <f t="shared" si="2"/>
        <v>5</v>
      </c>
      <c r="U47" s="49">
        <f t="shared" si="3"/>
        <v>14</v>
      </c>
    </row>
    <row r="48" spans="1:21" x14ac:dyDescent="0.25">
      <c r="A48" s="5">
        <f>'Mid Sem'!B48</f>
        <v>590028608</v>
      </c>
      <c r="B48" s="5" t="str">
        <f>'Mid Sem'!A48</f>
        <v>Lakshya Singh</v>
      </c>
      <c r="C48" s="50" t="b">
        <v>1</v>
      </c>
      <c r="D48" s="2">
        <v>0</v>
      </c>
      <c r="E48" s="2">
        <v>1</v>
      </c>
      <c r="F48" s="2">
        <v>1</v>
      </c>
      <c r="G48" s="2">
        <v>1</v>
      </c>
      <c r="H48" s="2">
        <v>0</v>
      </c>
      <c r="I48" s="2">
        <v>1</v>
      </c>
      <c r="J48" s="2">
        <v>0</v>
      </c>
      <c r="K48" s="2">
        <v>0</v>
      </c>
      <c r="L48" s="2">
        <v>2.5</v>
      </c>
      <c r="M48" s="2">
        <v>0</v>
      </c>
      <c r="N48" s="2"/>
      <c r="O48" s="49">
        <f t="shared" si="0"/>
        <v>6.5</v>
      </c>
      <c r="P48" s="2"/>
      <c r="S48" s="49">
        <f t="shared" si="1"/>
        <v>3</v>
      </c>
      <c r="T48" s="49">
        <f t="shared" si="2"/>
        <v>3.5</v>
      </c>
      <c r="U48" s="49">
        <f t="shared" si="3"/>
        <v>6.5</v>
      </c>
    </row>
    <row r="49" spans="1:21" x14ac:dyDescent="0.25">
      <c r="A49" s="5">
        <f>'Mid Sem'!B49</f>
        <v>590028605</v>
      </c>
      <c r="B49" s="5" t="str">
        <f>'Mid Sem'!A49</f>
        <v>Mayank Chand Ramola</v>
      </c>
      <c r="C49" s="50" t="b">
        <v>1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1</v>
      </c>
      <c r="J49" s="2">
        <v>1</v>
      </c>
      <c r="K49" s="2">
        <v>0</v>
      </c>
      <c r="L49" s="2">
        <v>1</v>
      </c>
      <c r="M49" s="2">
        <v>0</v>
      </c>
      <c r="N49" s="2"/>
      <c r="O49" s="49">
        <f t="shared" si="0"/>
        <v>8</v>
      </c>
      <c r="P49" s="2"/>
      <c r="S49" s="49">
        <f t="shared" si="1"/>
        <v>4</v>
      </c>
      <c r="T49" s="49">
        <f t="shared" si="2"/>
        <v>4</v>
      </c>
      <c r="U49" s="49">
        <f t="shared" si="3"/>
        <v>8</v>
      </c>
    </row>
    <row r="50" spans="1:21" x14ac:dyDescent="0.25">
      <c r="A50" s="5">
        <f>'Mid Sem'!B50</f>
        <v>590026626</v>
      </c>
      <c r="B50" s="5" t="str">
        <f>'Mid Sem'!A50</f>
        <v>Mukesh Patel</v>
      </c>
      <c r="C50" s="50" t="b"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49"/>
      <c r="P50" s="2"/>
      <c r="S50" s="49">
        <f t="shared" si="1"/>
        <v>0</v>
      </c>
      <c r="T50" s="49">
        <f t="shared" si="2"/>
        <v>0</v>
      </c>
      <c r="U50" s="49">
        <f t="shared" si="3"/>
        <v>0</v>
      </c>
    </row>
    <row r="51" spans="1:21" x14ac:dyDescent="0.25">
      <c r="A51" s="5">
        <f>'Mid Sem'!B51</f>
        <v>590029310</v>
      </c>
      <c r="B51" s="5" t="str">
        <f>'Mid Sem'!A51</f>
        <v>Nipun Singh</v>
      </c>
      <c r="C51" s="50" t="b">
        <v>1</v>
      </c>
      <c r="D51" s="2">
        <v>1</v>
      </c>
      <c r="E51" s="2">
        <v>0</v>
      </c>
      <c r="F51" s="2">
        <v>0</v>
      </c>
      <c r="G51" s="2">
        <v>0</v>
      </c>
      <c r="H51" s="2">
        <v>1</v>
      </c>
      <c r="I51" s="2">
        <v>0</v>
      </c>
      <c r="J51" s="2">
        <v>0</v>
      </c>
      <c r="K51" s="2">
        <v>1</v>
      </c>
      <c r="L51" s="2">
        <v>1</v>
      </c>
      <c r="M51" s="2">
        <v>1</v>
      </c>
      <c r="N51" s="2"/>
      <c r="O51" s="49">
        <f t="shared" si="0"/>
        <v>5</v>
      </c>
      <c r="P51" s="2"/>
      <c r="S51" s="49">
        <f t="shared" si="1"/>
        <v>3</v>
      </c>
      <c r="T51" s="49">
        <f t="shared" si="2"/>
        <v>2</v>
      </c>
      <c r="U51" s="49">
        <f t="shared" si="3"/>
        <v>5</v>
      </c>
    </row>
    <row r="52" spans="1:21" x14ac:dyDescent="0.25">
      <c r="A52" s="5">
        <f>'Mid Sem'!B52</f>
        <v>590029319</v>
      </c>
      <c r="B52" s="5" t="str">
        <f>'Mid Sem'!A52</f>
        <v>Paras Bhall</v>
      </c>
      <c r="C52" s="50" t="b">
        <v>1</v>
      </c>
      <c r="D52" s="2">
        <v>1</v>
      </c>
      <c r="E52" s="2">
        <v>1</v>
      </c>
      <c r="F52" s="2">
        <v>1</v>
      </c>
      <c r="G52" s="2">
        <v>1</v>
      </c>
      <c r="H52" s="2">
        <v>1</v>
      </c>
      <c r="I52" s="2">
        <v>1</v>
      </c>
      <c r="J52" s="2">
        <v>1</v>
      </c>
      <c r="K52" s="2">
        <v>2.5</v>
      </c>
      <c r="L52" s="2">
        <v>2.5</v>
      </c>
      <c r="M52" s="2">
        <v>3</v>
      </c>
      <c r="N52" s="2"/>
      <c r="O52" s="49">
        <f t="shared" si="0"/>
        <v>15</v>
      </c>
      <c r="P52" s="2"/>
      <c r="S52" s="49">
        <f t="shared" si="1"/>
        <v>9.5</v>
      </c>
      <c r="T52" s="49">
        <f t="shared" si="2"/>
        <v>5.5</v>
      </c>
      <c r="U52" s="49">
        <f t="shared" si="3"/>
        <v>15</v>
      </c>
    </row>
    <row r="53" spans="1:21" x14ac:dyDescent="0.25">
      <c r="A53" s="5">
        <f>'Mid Sem'!B53</f>
        <v>590029339</v>
      </c>
      <c r="B53" s="5" t="str">
        <f>'Mid Sem'!A53</f>
        <v>Raghav Kumar Goyal</v>
      </c>
      <c r="C53" s="50" t="b">
        <v>1</v>
      </c>
      <c r="D53" s="2">
        <v>1</v>
      </c>
      <c r="E53" s="2">
        <v>1</v>
      </c>
      <c r="F53" s="2">
        <v>1</v>
      </c>
      <c r="G53" s="2">
        <v>1</v>
      </c>
      <c r="H53" s="2">
        <v>1</v>
      </c>
      <c r="I53" s="2">
        <v>1</v>
      </c>
      <c r="J53" s="2">
        <v>1</v>
      </c>
      <c r="K53" s="2">
        <v>0</v>
      </c>
      <c r="L53" s="2">
        <v>0</v>
      </c>
      <c r="M53" s="2">
        <v>0</v>
      </c>
      <c r="N53" s="2"/>
      <c r="O53" s="49">
        <f t="shared" si="0"/>
        <v>7</v>
      </c>
      <c r="P53" s="2"/>
      <c r="S53" s="49">
        <f t="shared" si="1"/>
        <v>4</v>
      </c>
      <c r="T53" s="49">
        <f t="shared" si="2"/>
        <v>3</v>
      </c>
      <c r="U53" s="49">
        <f t="shared" si="3"/>
        <v>7</v>
      </c>
    </row>
    <row r="54" spans="1:21" x14ac:dyDescent="0.25">
      <c r="A54" s="5">
        <f>'Mid Sem'!B54</f>
        <v>590029148</v>
      </c>
      <c r="B54" s="5" t="str">
        <f>'Mid Sem'!A54</f>
        <v>Rahul</v>
      </c>
      <c r="C54" s="50" t="b">
        <v>1</v>
      </c>
      <c r="D54" s="2">
        <v>1</v>
      </c>
      <c r="E54" s="2">
        <v>1</v>
      </c>
      <c r="F54" s="2">
        <v>1</v>
      </c>
      <c r="G54" s="2">
        <v>1</v>
      </c>
      <c r="H54" s="2">
        <v>1</v>
      </c>
      <c r="I54" s="2">
        <v>1</v>
      </c>
      <c r="J54" s="2">
        <v>1</v>
      </c>
      <c r="K54" s="2">
        <v>2.5</v>
      </c>
      <c r="L54" s="2">
        <v>0</v>
      </c>
      <c r="M54" s="2">
        <v>3</v>
      </c>
      <c r="N54" s="2"/>
      <c r="O54" s="49">
        <f t="shared" si="0"/>
        <v>12.5</v>
      </c>
      <c r="P54" s="2"/>
      <c r="S54" s="49">
        <f t="shared" si="1"/>
        <v>9.5</v>
      </c>
      <c r="T54" s="49">
        <f t="shared" si="2"/>
        <v>3</v>
      </c>
      <c r="U54" s="49">
        <f t="shared" si="3"/>
        <v>12.5</v>
      </c>
    </row>
    <row r="55" spans="1:21" x14ac:dyDescent="0.25">
      <c r="A55" s="5">
        <f>'Mid Sem'!B55</f>
        <v>590029309</v>
      </c>
      <c r="B55" s="5" t="str">
        <f>'Mid Sem'!A55</f>
        <v>Rahul Singh</v>
      </c>
      <c r="C55" s="50" t="b">
        <v>1</v>
      </c>
      <c r="D55" s="2">
        <v>1</v>
      </c>
      <c r="E55" s="2">
        <v>1</v>
      </c>
      <c r="F55" s="2">
        <v>1</v>
      </c>
      <c r="G55" s="2">
        <v>1</v>
      </c>
      <c r="H55" s="2">
        <v>1</v>
      </c>
      <c r="I55" s="2">
        <v>1</v>
      </c>
      <c r="J55" s="2">
        <v>1</v>
      </c>
      <c r="K55" s="2">
        <v>2.5</v>
      </c>
      <c r="L55" s="2">
        <v>2.5</v>
      </c>
      <c r="M55" s="2">
        <v>2</v>
      </c>
      <c r="N55" s="2"/>
      <c r="O55" s="49">
        <f t="shared" si="0"/>
        <v>14</v>
      </c>
      <c r="P55" s="2"/>
      <c r="S55" s="49">
        <f t="shared" si="1"/>
        <v>8.5</v>
      </c>
      <c r="T55" s="49">
        <f t="shared" si="2"/>
        <v>5.5</v>
      </c>
      <c r="U55" s="49">
        <f t="shared" si="3"/>
        <v>14</v>
      </c>
    </row>
    <row r="56" spans="1:21" x14ac:dyDescent="0.25">
      <c r="A56" s="5">
        <f>'Mid Sem'!B56</f>
        <v>590028838</v>
      </c>
      <c r="B56" s="5" t="str">
        <f>'Mid Sem'!A56</f>
        <v>Satyam Singh</v>
      </c>
      <c r="C56" s="50" t="b">
        <v>1</v>
      </c>
      <c r="D56" s="2">
        <v>1</v>
      </c>
      <c r="E56" s="2">
        <v>1</v>
      </c>
      <c r="F56" s="2">
        <v>1</v>
      </c>
      <c r="G56" s="2">
        <v>1</v>
      </c>
      <c r="H56" s="2">
        <v>1</v>
      </c>
      <c r="I56" s="2">
        <v>1</v>
      </c>
      <c r="J56" s="2">
        <v>1</v>
      </c>
      <c r="K56" s="2">
        <v>2.5</v>
      </c>
      <c r="L56" s="2">
        <v>2.5</v>
      </c>
      <c r="M56" s="2">
        <v>3</v>
      </c>
      <c r="N56" s="2"/>
      <c r="O56" s="49">
        <f t="shared" si="0"/>
        <v>15</v>
      </c>
      <c r="P56" s="2"/>
      <c r="S56" s="49">
        <f t="shared" si="1"/>
        <v>9.5</v>
      </c>
      <c r="T56" s="49">
        <f t="shared" si="2"/>
        <v>5.5</v>
      </c>
      <c r="U56" s="49">
        <f t="shared" si="3"/>
        <v>15</v>
      </c>
    </row>
    <row r="57" spans="1:21" x14ac:dyDescent="0.25">
      <c r="A57" s="5">
        <f>'Mid Sem'!B57</f>
        <v>590029107</v>
      </c>
      <c r="B57" s="5" t="str">
        <f>'Mid Sem'!A57</f>
        <v>Shashwat Agrawal</v>
      </c>
      <c r="C57" s="50" t="b">
        <v>1</v>
      </c>
      <c r="D57" s="2">
        <v>1</v>
      </c>
      <c r="E57" s="2">
        <v>1</v>
      </c>
      <c r="F57" s="2">
        <v>1</v>
      </c>
      <c r="G57" s="2">
        <v>1</v>
      </c>
      <c r="H57" s="2">
        <v>1</v>
      </c>
      <c r="I57" s="2">
        <v>1</v>
      </c>
      <c r="J57" s="2">
        <v>1</v>
      </c>
      <c r="K57" s="2">
        <v>2.5</v>
      </c>
      <c r="L57" s="2">
        <v>2.5</v>
      </c>
      <c r="M57" s="2">
        <v>3</v>
      </c>
      <c r="N57" s="2"/>
      <c r="O57" s="49">
        <f t="shared" si="0"/>
        <v>15</v>
      </c>
      <c r="P57" s="2"/>
      <c r="S57" s="49">
        <f t="shared" si="1"/>
        <v>9.5</v>
      </c>
      <c r="T57" s="49">
        <f t="shared" si="2"/>
        <v>5.5</v>
      </c>
      <c r="U57" s="49">
        <f t="shared" si="3"/>
        <v>15</v>
      </c>
    </row>
    <row r="58" spans="1:21" x14ac:dyDescent="0.25">
      <c r="A58" s="5">
        <f>'Mid Sem'!B58</f>
        <v>590029266</v>
      </c>
      <c r="B58" s="5" t="str">
        <f>'Mid Sem'!A58</f>
        <v>Siddhant Gurung</v>
      </c>
      <c r="C58" s="50" t="b">
        <v>1</v>
      </c>
      <c r="D58" s="2">
        <v>1</v>
      </c>
      <c r="E58" s="2">
        <v>1</v>
      </c>
      <c r="F58" s="2">
        <v>1</v>
      </c>
      <c r="G58" s="2">
        <v>1</v>
      </c>
      <c r="H58" s="2">
        <v>1</v>
      </c>
      <c r="I58" s="2">
        <v>1</v>
      </c>
      <c r="J58" s="2">
        <v>1</v>
      </c>
      <c r="K58" s="2">
        <v>1.5</v>
      </c>
      <c r="L58" s="2">
        <v>1</v>
      </c>
      <c r="M58" s="2">
        <v>2.5</v>
      </c>
      <c r="N58" s="2"/>
      <c r="O58" s="49">
        <f t="shared" si="0"/>
        <v>12</v>
      </c>
      <c r="P58" s="2"/>
      <c r="S58" s="49">
        <f t="shared" si="1"/>
        <v>8</v>
      </c>
      <c r="T58" s="49">
        <f t="shared" si="2"/>
        <v>4</v>
      </c>
      <c r="U58" s="49">
        <f t="shared" si="3"/>
        <v>12</v>
      </c>
    </row>
    <row r="59" spans="1:21" x14ac:dyDescent="0.25">
      <c r="A59" s="5">
        <f>'Mid Sem'!B59</f>
        <v>590029354</v>
      </c>
      <c r="B59" s="5" t="str">
        <f>'Mid Sem'!A59</f>
        <v>Simarjot Kaur Gill</v>
      </c>
      <c r="C59" s="50" t="b">
        <v>1</v>
      </c>
      <c r="D59" s="2">
        <v>1</v>
      </c>
      <c r="E59" s="2">
        <v>1</v>
      </c>
      <c r="F59" s="2">
        <v>1</v>
      </c>
      <c r="G59" s="2">
        <v>1</v>
      </c>
      <c r="H59" s="2">
        <v>1</v>
      </c>
      <c r="I59" s="2">
        <v>1</v>
      </c>
      <c r="J59" s="2">
        <v>1</v>
      </c>
      <c r="K59" s="2">
        <v>2.5</v>
      </c>
      <c r="L59" s="2">
        <v>2.5</v>
      </c>
      <c r="M59" s="2">
        <v>1</v>
      </c>
      <c r="N59" s="2"/>
      <c r="O59" s="49">
        <f t="shared" si="0"/>
        <v>13</v>
      </c>
      <c r="P59" s="2"/>
      <c r="S59" s="49">
        <f t="shared" si="1"/>
        <v>7.5</v>
      </c>
      <c r="T59" s="49">
        <f t="shared" si="2"/>
        <v>5.5</v>
      </c>
      <c r="U59" s="49">
        <f t="shared" si="3"/>
        <v>13</v>
      </c>
    </row>
    <row r="60" spans="1:21" x14ac:dyDescent="0.25">
      <c r="A60" s="5">
        <f>'Mid Sem'!B60</f>
        <v>590029349</v>
      </c>
      <c r="B60" s="5" t="str">
        <f>'Mid Sem'!A60</f>
        <v>Tanishq Bansal</v>
      </c>
      <c r="C60" s="50" t="b">
        <v>1</v>
      </c>
      <c r="D60" s="2">
        <v>1</v>
      </c>
      <c r="E60" s="2">
        <v>1</v>
      </c>
      <c r="F60" s="2">
        <v>1</v>
      </c>
      <c r="G60" s="2">
        <v>1</v>
      </c>
      <c r="H60" s="2">
        <v>1</v>
      </c>
      <c r="I60" s="2">
        <v>1</v>
      </c>
      <c r="J60" s="2">
        <v>1</v>
      </c>
      <c r="K60" s="2">
        <v>2.5</v>
      </c>
      <c r="L60" s="2">
        <v>2.5</v>
      </c>
      <c r="M60" s="2">
        <v>3</v>
      </c>
      <c r="N60" s="2"/>
      <c r="O60" s="49">
        <f t="shared" si="0"/>
        <v>15</v>
      </c>
      <c r="P60" s="2"/>
      <c r="S60" s="49">
        <f t="shared" si="1"/>
        <v>9.5</v>
      </c>
      <c r="T60" s="49">
        <f t="shared" si="2"/>
        <v>5.5</v>
      </c>
      <c r="U60" s="49">
        <f t="shared" si="3"/>
        <v>15</v>
      </c>
    </row>
    <row r="61" spans="1:21" x14ac:dyDescent="0.25">
      <c r="A61" s="5">
        <f>'Mid Sem'!B61</f>
        <v>590029302</v>
      </c>
      <c r="B61" s="5" t="str">
        <f>'Mid Sem'!A61</f>
        <v>Tanmay Amit Verma</v>
      </c>
      <c r="C61" s="50" t="b">
        <v>1</v>
      </c>
      <c r="D61" s="2">
        <v>1</v>
      </c>
      <c r="E61" s="2">
        <v>1</v>
      </c>
      <c r="F61" s="2">
        <v>1</v>
      </c>
      <c r="G61" s="2">
        <v>1</v>
      </c>
      <c r="H61" s="2">
        <v>1</v>
      </c>
      <c r="I61" s="2">
        <v>1</v>
      </c>
      <c r="J61" s="2">
        <v>1</v>
      </c>
      <c r="K61" s="2">
        <v>2</v>
      </c>
      <c r="L61" s="2">
        <v>1</v>
      </c>
      <c r="M61" s="2">
        <v>2</v>
      </c>
      <c r="N61" s="2"/>
      <c r="O61" s="49">
        <f t="shared" si="0"/>
        <v>12</v>
      </c>
      <c r="P61" s="2"/>
      <c r="S61" s="49">
        <f t="shared" si="1"/>
        <v>8</v>
      </c>
      <c r="T61" s="49">
        <f t="shared" si="2"/>
        <v>4</v>
      </c>
      <c r="U61" s="49">
        <f t="shared" si="3"/>
        <v>12</v>
      </c>
    </row>
    <row r="62" spans="1:21" x14ac:dyDescent="0.25">
      <c r="A62" s="5">
        <f>'Mid Sem'!B62</f>
        <v>590029262</v>
      </c>
      <c r="B62" s="5" t="str">
        <f>'Mid Sem'!A62</f>
        <v>Vandana Yadav</v>
      </c>
      <c r="C62" s="50" t="b">
        <v>1</v>
      </c>
      <c r="D62" s="2">
        <v>0</v>
      </c>
      <c r="E62" s="2">
        <v>1</v>
      </c>
      <c r="F62" s="2">
        <v>1</v>
      </c>
      <c r="G62" s="2">
        <v>0</v>
      </c>
      <c r="H62" s="2">
        <v>1</v>
      </c>
      <c r="I62" s="2">
        <v>1</v>
      </c>
      <c r="J62" s="2">
        <v>1</v>
      </c>
      <c r="K62" s="2">
        <v>2.5</v>
      </c>
      <c r="L62" s="2">
        <v>2</v>
      </c>
      <c r="M62" s="2">
        <v>2.5</v>
      </c>
      <c r="N62" s="2"/>
      <c r="O62" s="49">
        <f t="shared" si="0"/>
        <v>12</v>
      </c>
      <c r="P62" s="2"/>
      <c r="S62" s="49">
        <f t="shared" si="1"/>
        <v>7</v>
      </c>
      <c r="T62" s="49">
        <f t="shared" si="2"/>
        <v>5</v>
      </c>
      <c r="U62" s="49">
        <f t="shared" si="3"/>
        <v>12</v>
      </c>
    </row>
    <row r="63" spans="1:21" x14ac:dyDescent="0.25">
      <c r="A63" s="5">
        <f>'Mid Sem'!B63</f>
        <v>590029285</v>
      </c>
      <c r="B63" s="5" t="str">
        <f>'Mid Sem'!A63</f>
        <v>Vidit Ahuja</v>
      </c>
      <c r="C63" s="50" t="b">
        <v>1</v>
      </c>
      <c r="D63" s="2">
        <v>1</v>
      </c>
      <c r="E63" s="2">
        <v>1</v>
      </c>
      <c r="F63" s="2">
        <v>0</v>
      </c>
      <c r="G63" s="2">
        <v>1</v>
      </c>
      <c r="H63" s="2">
        <v>1</v>
      </c>
      <c r="I63" s="2">
        <v>1</v>
      </c>
      <c r="J63" s="2">
        <v>1</v>
      </c>
      <c r="K63" s="2">
        <v>2</v>
      </c>
      <c r="L63" s="2">
        <v>2.5</v>
      </c>
      <c r="M63" s="2">
        <v>0</v>
      </c>
      <c r="N63" s="2"/>
      <c r="O63" s="49">
        <f t="shared" si="0"/>
        <v>10.5</v>
      </c>
      <c r="P63" s="2"/>
      <c r="S63" s="49">
        <f t="shared" si="1"/>
        <v>5</v>
      </c>
      <c r="T63" s="49">
        <f t="shared" si="2"/>
        <v>5.5</v>
      </c>
      <c r="U63" s="49">
        <f t="shared" si="3"/>
        <v>10.5</v>
      </c>
    </row>
    <row r="64" spans="1:21" x14ac:dyDescent="0.25">
      <c r="A64" s="5">
        <f>'Mid Sem'!B64</f>
        <v>590029353</v>
      </c>
      <c r="B64" s="5" t="str">
        <f>'Mid Sem'!A64</f>
        <v>Vinit Kumar</v>
      </c>
      <c r="C64" s="50" t="b">
        <v>1</v>
      </c>
      <c r="D64" s="2">
        <v>1</v>
      </c>
      <c r="E64" s="2">
        <v>1</v>
      </c>
      <c r="F64" s="2">
        <v>1</v>
      </c>
      <c r="G64" s="2">
        <v>1</v>
      </c>
      <c r="H64" s="2">
        <v>1</v>
      </c>
      <c r="I64" s="2">
        <v>1</v>
      </c>
      <c r="J64" s="2">
        <v>1</v>
      </c>
      <c r="K64" s="2">
        <v>2.5</v>
      </c>
      <c r="L64" s="2">
        <v>1.5</v>
      </c>
      <c r="M64" s="2">
        <v>3</v>
      </c>
      <c r="N64" s="2"/>
      <c r="O64" s="49">
        <f t="shared" si="0"/>
        <v>14</v>
      </c>
      <c r="P64" s="2"/>
      <c r="S64" s="49">
        <f t="shared" si="1"/>
        <v>9.5</v>
      </c>
      <c r="T64" s="49">
        <f t="shared" si="2"/>
        <v>4.5</v>
      </c>
      <c r="U64" s="49">
        <f t="shared" si="3"/>
        <v>14</v>
      </c>
    </row>
    <row r="65" spans="1:21" x14ac:dyDescent="0.25">
      <c r="A65" s="5"/>
      <c r="B65" s="5"/>
      <c r="C65" s="5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S65" s="2"/>
      <c r="T65" s="2"/>
      <c r="U65" s="2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U65"/>
  <sheetViews>
    <sheetView tabSelected="1" workbookViewId="0">
      <selection activeCell="I10" sqref="I10"/>
    </sheetView>
  </sheetViews>
  <sheetFormatPr defaultRowHeight="15" x14ac:dyDescent="0.25"/>
  <cols>
    <col min="1" max="1" width="18.7109375" customWidth="1"/>
    <col min="2" max="2" width="24.28515625" bestFit="1" customWidth="1"/>
    <col min="3" max="13" width="4.5703125" bestFit="1" customWidth="1"/>
    <col min="14" max="14" width="4.5703125" customWidth="1"/>
    <col min="15" max="15" width="5.42578125" bestFit="1" customWidth="1"/>
    <col min="16" max="16" width="15.28515625" customWidth="1"/>
  </cols>
  <sheetData>
    <row r="1" spans="1:21" ht="24.75" x14ac:dyDescent="0.4">
      <c r="A1" s="47" t="s">
        <v>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1" ht="24.75" x14ac:dyDescent="0.4">
      <c r="A2" s="47" t="str">
        <f>Marksheet!A2</f>
        <v xml:space="preserve">Computatioal Astrophysics (PHYS 8202)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1" x14ac:dyDescent="0.25">
      <c r="A3" s="2"/>
      <c r="B3" s="2"/>
      <c r="C3" s="3" t="s">
        <v>136</v>
      </c>
      <c r="D3" s="3" t="s">
        <v>136</v>
      </c>
      <c r="E3" s="3" t="s">
        <v>136</v>
      </c>
      <c r="F3" s="3" t="s">
        <v>137</v>
      </c>
      <c r="G3" s="3" t="s">
        <v>136</v>
      </c>
      <c r="H3" s="3" t="s">
        <v>137</v>
      </c>
      <c r="I3" s="3"/>
      <c r="J3" s="3"/>
      <c r="K3" s="3"/>
      <c r="L3" s="3"/>
      <c r="M3" s="3"/>
      <c r="N3" s="3"/>
      <c r="O3" s="2"/>
      <c r="P3" s="2"/>
      <c r="S3" s="3" t="s">
        <v>136</v>
      </c>
      <c r="T3" s="3" t="s">
        <v>137</v>
      </c>
    </row>
    <row r="4" spans="1:21" x14ac:dyDescent="0.2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/>
      <c r="J4" s="4"/>
      <c r="K4" s="4"/>
      <c r="L4" s="4"/>
      <c r="M4" s="4"/>
      <c r="N4" s="4"/>
      <c r="O4" s="4" t="s">
        <v>12</v>
      </c>
      <c r="P4" s="4" t="s">
        <v>13</v>
      </c>
      <c r="S4" s="4"/>
      <c r="T4" s="4"/>
      <c r="U4" s="4" t="s">
        <v>12</v>
      </c>
    </row>
    <row r="5" spans="1:21" x14ac:dyDescent="0.25">
      <c r="A5" s="6"/>
      <c r="B5" s="6" t="s">
        <v>16</v>
      </c>
      <c r="C5" s="6">
        <v>2</v>
      </c>
      <c r="D5" s="6">
        <v>2</v>
      </c>
      <c r="E5" s="6">
        <v>2</v>
      </c>
      <c r="F5" s="6">
        <v>2</v>
      </c>
      <c r="G5" s="6">
        <v>6</v>
      </c>
      <c r="H5" s="6">
        <v>6</v>
      </c>
      <c r="I5" s="6"/>
      <c r="J5" s="6"/>
      <c r="K5" s="6"/>
      <c r="L5" s="6"/>
      <c r="M5" s="6"/>
      <c r="N5" s="6"/>
      <c r="O5" s="6">
        <f>SUM(C5:L5)</f>
        <v>20</v>
      </c>
      <c r="P5" s="6"/>
      <c r="S5" s="6">
        <f>SUM(C5,D5,E5,G5)</f>
        <v>12</v>
      </c>
      <c r="T5" s="6">
        <f>SUM(F5,H5)</f>
        <v>8</v>
      </c>
      <c r="U5" s="6">
        <f>SUM(S5:T5)</f>
        <v>20</v>
      </c>
    </row>
    <row r="6" spans="1:21" x14ac:dyDescent="0.25">
      <c r="A6" s="5">
        <f>Marksheet!B5</f>
        <v>590029213</v>
      </c>
      <c r="B6" s="5" t="str">
        <f>Marksheet!A5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21" x14ac:dyDescent="0.25">
      <c r="A7" s="5">
        <f>Marksheet!B6</f>
        <v>590029270</v>
      </c>
      <c r="B7" s="5" t="str">
        <f>Marksheet!A6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21" x14ac:dyDescent="0.25">
      <c r="A8" s="5">
        <f>Marksheet!B7</f>
        <v>590029204</v>
      </c>
      <c r="B8" s="5" t="str">
        <f>Marksheet!A7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21" x14ac:dyDescent="0.25">
      <c r="A9" s="5">
        <f>Marksheet!B8</f>
        <v>590029109</v>
      </c>
      <c r="B9" s="5" t="str">
        <f>Marksheet!A8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21" x14ac:dyDescent="0.25">
      <c r="A10" s="5">
        <f>Marksheet!B9</f>
        <v>590029070</v>
      </c>
      <c r="B10" s="5" t="str">
        <f>Marksheet!A9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21" x14ac:dyDescent="0.25">
      <c r="A11" s="5">
        <f>Marksheet!B10</f>
        <v>590029157</v>
      </c>
      <c r="B11" s="5" t="str">
        <f>Marksheet!A10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21" x14ac:dyDescent="0.25">
      <c r="A12" s="5">
        <f>Marksheet!B11</f>
        <v>590027157</v>
      </c>
      <c r="B12" s="5" t="str">
        <f>Marksheet!A11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21" x14ac:dyDescent="0.25">
      <c r="A13" s="5">
        <f>Marksheet!B12</f>
        <v>590029274</v>
      </c>
      <c r="B13" s="5" t="str">
        <f>Marksheet!A12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21" x14ac:dyDescent="0.25">
      <c r="A14" s="5">
        <f>Marksheet!B13</f>
        <v>590028572</v>
      </c>
      <c r="B14" s="5" t="str">
        <f>Marksheet!A13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21" x14ac:dyDescent="0.25">
      <c r="A15" s="5">
        <f>Marksheet!B14</f>
        <v>590029230</v>
      </c>
      <c r="B15" s="5" t="str">
        <f>Marksheet!A14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21" x14ac:dyDescent="0.25">
      <c r="A16" s="5">
        <f>Marksheet!B15</f>
        <v>590029169</v>
      </c>
      <c r="B16" s="5" t="str">
        <f>Marksheet!A15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5">
        <f>Marksheet!B16</f>
        <v>590029112</v>
      </c>
      <c r="B17" s="5" t="str">
        <f>Marksheet!A16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5">
        <f>Marksheet!B17</f>
        <v>590025556</v>
      </c>
      <c r="B18" s="5" t="str">
        <f>Marksheet!A17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5">
        <f>Marksheet!B18</f>
        <v>590027830</v>
      </c>
      <c r="B19" s="5" t="str">
        <f>Marksheet!A18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5">
        <f>Marksheet!B19</f>
        <v>590028360</v>
      </c>
      <c r="B20" s="5" t="str">
        <f>Marksheet!A19</f>
        <v>Prapti Uniyal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2"/>
      <c r="O20" s="2"/>
      <c r="P20" s="5"/>
    </row>
    <row r="21" spans="1:16" x14ac:dyDescent="0.25">
      <c r="A21" s="5">
        <f>Marksheet!B20</f>
        <v>590029237</v>
      </c>
      <c r="B21" s="5" t="str">
        <f>Marksheet!A20</f>
        <v>Priyadarshi Prabhakar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2"/>
      <c r="O21" s="2"/>
      <c r="P21" s="5"/>
    </row>
    <row r="22" spans="1:16" x14ac:dyDescent="0.25">
      <c r="A22" s="5">
        <f>Marksheet!B21</f>
        <v>590029079</v>
      </c>
      <c r="B22" s="5" t="str">
        <f>Marksheet!A21</f>
        <v>Radhe Patel</v>
      </c>
    </row>
    <row r="23" spans="1:16" x14ac:dyDescent="0.25">
      <c r="A23" s="5">
        <f>Marksheet!B22</f>
        <v>590029145</v>
      </c>
      <c r="B23" s="5" t="str">
        <f>Marksheet!A22</f>
        <v>Rishika Purushotham</v>
      </c>
    </row>
    <row r="24" spans="1:16" x14ac:dyDescent="0.25">
      <c r="A24" s="5">
        <f>Marksheet!B23</f>
        <v>590029209</v>
      </c>
      <c r="B24" s="5" t="str">
        <f>Marksheet!A23</f>
        <v>Rishiv Kumar</v>
      </c>
    </row>
    <row r="25" spans="1:16" x14ac:dyDescent="0.25">
      <c r="A25" s="5">
        <f>Marksheet!B24</f>
        <v>590027268</v>
      </c>
      <c r="B25" s="5" t="str">
        <f>Marksheet!A24</f>
        <v>Sankalp Sunil Ronge</v>
      </c>
    </row>
    <row r="26" spans="1:16" x14ac:dyDescent="0.25">
      <c r="A26" s="5">
        <f>Marksheet!B25</f>
        <v>590029227</v>
      </c>
      <c r="B26" s="5" t="str">
        <f>Marksheet!A25</f>
        <v>Sartaj Singh</v>
      </c>
    </row>
    <row r="27" spans="1:16" x14ac:dyDescent="0.25">
      <c r="A27" s="5">
        <f>Marksheet!B26</f>
        <v>590029241</v>
      </c>
      <c r="B27" s="5" t="str">
        <f>Marksheet!A26</f>
        <v>Satakshi Gupta</v>
      </c>
    </row>
    <row r="28" spans="1:16" x14ac:dyDescent="0.25">
      <c r="A28" s="5">
        <f>Marksheet!B27</f>
        <v>590023855</v>
      </c>
      <c r="B28" s="5" t="str">
        <f>Marksheet!A27</f>
        <v>Shaswat Shantanu</v>
      </c>
    </row>
    <row r="29" spans="1:16" x14ac:dyDescent="0.25">
      <c r="A29" s="5">
        <f>Marksheet!B28</f>
        <v>590029215</v>
      </c>
      <c r="B29" s="5" t="str">
        <f>Marksheet!A28</f>
        <v>Siddhant Rai</v>
      </c>
    </row>
    <row r="30" spans="1:16" x14ac:dyDescent="0.25">
      <c r="A30" s="5">
        <f>Marksheet!B29</f>
        <v>590029111</v>
      </c>
      <c r="B30" s="5" t="str">
        <f>Marksheet!A29</f>
        <v>Sidhaant Singh Jyrwa</v>
      </c>
    </row>
    <row r="31" spans="1:16" x14ac:dyDescent="0.25">
      <c r="A31" s="5">
        <f>Marksheet!B30</f>
        <v>590028683</v>
      </c>
      <c r="B31" s="5" t="str">
        <f>Marksheet!A30</f>
        <v>Subrat Singh Jadaun</v>
      </c>
    </row>
    <row r="32" spans="1:16" x14ac:dyDescent="0.25">
      <c r="A32" s="5">
        <f>Marksheet!B31</f>
        <v>590029121</v>
      </c>
      <c r="B32" s="5" t="str">
        <f>Marksheet!A31</f>
        <v>Tushita Sharma</v>
      </c>
    </row>
    <row r="33" spans="1:2" x14ac:dyDescent="0.25">
      <c r="A33" s="5">
        <f>Marksheet!B32</f>
        <v>590029048</v>
      </c>
      <c r="B33" s="5" t="str">
        <f>Marksheet!A32</f>
        <v>Vaishnavi Kumari</v>
      </c>
    </row>
    <row r="34" spans="1:2" x14ac:dyDescent="0.25">
      <c r="A34" s="5">
        <f>Marksheet!B33</f>
        <v>590029184</v>
      </c>
      <c r="B34" s="5" t="str">
        <f>Marksheet!A33</f>
        <v>Vivek Chauhan</v>
      </c>
    </row>
    <row r="35" spans="1:2" x14ac:dyDescent="0.25">
      <c r="A35" s="5">
        <f>Marksheet!B34</f>
        <v>590029330</v>
      </c>
      <c r="B35" s="5" t="str">
        <f>Marksheet!A34</f>
        <v>Aadarshi Bisht</v>
      </c>
    </row>
    <row r="36" spans="1:2" x14ac:dyDescent="0.25">
      <c r="A36" s="5">
        <f>Marksheet!B35</f>
        <v>590027630</v>
      </c>
      <c r="B36" s="5" t="str">
        <f>Marksheet!A35</f>
        <v>Aarush Prasad</v>
      </c>
    </row>
    <row r="37" spans="1:2" x14ac:dyDescent="0.25">
      <c r="A37" s="5">
        <f>Marksheet!B36</f>
        <v>590029219</v>
      </c>
      <c r="B37" s="5" t="str">
        <f>Marksheet!A36</f>
        <v>Aditya Mishra</v>
      </c>
    </row>
    <row r="38" spans="1:2" x14ac:dyDescent="0.25">
      <c r="A38" s="5">
        <f>Marksheet!B37</f>
        <v>590028933</v>
      </c>
      <c r="B38" s="5" t="str">
        <f>Marksheet!A37</f>
        <v>Aman Barnwal</v>
      </c>
    </row>
    <row r="39" spans="1:2" x14ac:dyDescent="0.25">
      <c r="A39" s="5">
        <f>Marksheet!B38</f>
        <v>590027859</v>
      </c>
      <c r="B39" s="5" t="str">
        <f>Marksheet!A38</f>
        <v>Ashutosh Shrivastava</v>
      </c>
    </row>
    <row r="40" spans="1:2" x14ac:dyDescent="0.25">
      <c r="A40" s="5">
        <f>Marksheet!B39</f>
        <v>590028682</v>
      </c>
      <c r="B40" s="5" t="str">
        <f>Marksheet!A39</f>
        <v>Ayan Pande</v>
      </c>
    </row>
    <row r="41" spans="1:2" x14ac:dyDescent="0.25">
      <c r="A41" s="5">
        <f>Marksheet!B40</f>
        <v>590023917</v>
      </c>
      <c r="B41" s="5" t="str">
        <f>Marksheet!A40</f>
        <v>Ayush Pratap Singh</v>
      </c>
    </row>
    <row r="42" spans="1:2" x14ac:dyDescent="0.25">
      <c r="A42" s="5">
        <f>Marksheet!B41</f>
        <v>590023785</v>
      </c>
      <c r="B42" s="5" t="str">
        <f>Marksheet!A41</f>
        <v>Gayatri Bhatt</v>
      </c>
    </row>
    <row r="43" spans="1:2" x14ac:dyDescent="0.25">
      <c r="A43" s="5">
        <f>Marksheet!B42</f>
        <v>590029264</v>
      </c>
      <c r="B43" s="5" t="str">
        <f>Marksheet!A42</f>
        <v>Harsh Mudgal</v>
      </c>
    </row>
    <row r="44" spans="1:2" x14ac:dyDescent="0.25">
      <c r="A44" s="5">
        <f>Marksheet!B43</f>
        <v>590029042</v>
      </c>
      <c r="B44" s="5" t="str">
        <f>Marksheet!A43</f>
        <v>Kanan Nidhania</v>
      </c>
    </row>
    <row r="45" spans="1:2" x14ac:dyDescent="0.25">
      <c r="A45" s="5">
        <f>Marksheet!B44</f>
        <v>590029336</v>
      </c>
      <c r="B45" s="5" t="str">
        <f>Marksheet!A44</f>
        <v>Kanishka Diwakar</v>
      </c>
    </row>
    <row r="46" spans="1:2" x14ac:dyDescent="0.25">
      <c r="A46" s="5">
        <f>Marksheet!B45</f>
        <v>590029233</v>
      </c>
      <c r="B46" s="5" t="str">
        <f>Marksheet!A45</f>
        <v>Keshav Chahda</v>
      </c>
    </row>
    <row r="47" spans="1:2" x14ac:dyDescent="0.25">
      <c r="A47" s="5">
        <f>Marksheet!B46</f>
        <v>590029328</v>
      </c>
      <c r="B47" s="5" t="str">
        <f>Marksheet!A46</f>
        <v>Lakshay Dhanda</v>
      </c>
    </row>
    <row r="48" spans="1:2" x14ac:dyDescent="0.25">
      <c r="A48" s="5">
        <f>Marksheet!B47</f>
        <v>590028608</v>
      </c>
      <c r="B48" s="5" t="str">
        <f>Marksheet!A47</f>
        <v>Lakshya Singh</v>
      </c>
    </row>
    <row r="49" spans="1:2" x14ac:dyDescent="0.25">
      <c r="A49" s="5">
        <f>Marksheet!B48</f>
        <v>590028605</v>
      </c>
      <c r="B49" s="5" t="str">
        <f>Marksheet!A48</f>
        <v>Mayank Chand Ramola</v>
      </c>
    </row>
    <row r="50" spans="1:2" x14ac:dyDescent="0.25">
      <c r="A50" s="5">
        <f>Marksheet!B49</f>
        <v>590026626</v>
      </c>
      <c r="B50" s="5" t="str">
        <f>Marksheet!A49</f>
        <v>Mukesh Patel</v>
      </c>
    </row>
    <row r="51" spans="1:2" x14ac:dyDescent="0.25">
      <c r="A51" s="5">
        <f>Marksheet!B50</f>
        <v>590029310</v>
      </c>
      <c r="B51" s="5" t="str">
        <f>Marksheet!A50</f>
        <v>Nipun Singh</v>
      </c>
    </row>
    <row r="52" spans="1:2" x14ac:dyDescent="0.25">
      <c r="A52" s="5">
        <f>Marksheet!B51</f>
        <v>590029319</v>
      </c>
      <c r="B52" s="5" t="str">
        <f>Marksheet!A51</f>
        <v>Paras Bhall</v>
      </c>
    </row>
    <row r="53" spans="1:2" x14ac:dyDescent="0.25">
      <c r="A53" s="5">
        <f>Marksheet!B52</f>
        <v>590029339</v>
      </c>
      <c r="B53" s="5" t="str">
        <f>Marksheet!A52</f>
        <v>Raghav Kumar Goyal</v>
      </c>
    </row>
    <row r="54" spans="1:2" x14ac:dyDescent="0.25">
      <c r="A54" s="5">
        <f>Marksheet!B53</f>
        <v>590029148</v>
      </c>
      <c r="B54" s="5" t="str">
        <f>Marksheet!A53</f>
        <v>Rahul</v>
      </c>
    </row>
    <row r="55" spans="1:2" x14ac:dyDescent="0.25">
      <c r="A55" s="5">
        <f>Marksheet!B54</f>
        <v>590029309</v>
      </c>
      <c r="B55" s="5" t="str">
        <f>Marksheet!A54</f>
        <v>Rahul Singh</v>
      </c>
    </row>
    <row r="56" spans="1:2" x14ac:dyDescent="0.25">
      <c r="A56" s="5">
        <f>Marksheet!B55</f>
        <v>590028838</v>
      </c>
      <c r="B56" s="5" t="str">
        <f>Marksheet!A55</f>
        <v>Satyam Singh</v>
      </c>
    </row>
    <row r="57" spans="1:2" x14ac:dyDescent="0.25">
      <c r="A57" s="5">
        <f>Marksheet!B56</f>
        <v>590029107</v>
      </c>
      <c r="B57" s="5" t="str">
        <f>Marksheet!A56</f>
        <v>Shashwat Agrawal</v>
      </c>
    </row>
    <row r="58" spans="1:2" x14ac:dyDescent="0.25">
      <c r="A58" s="5">
        <f>Marksheet!B57</f>
        <v>590029266</v>
      </c>
      <c r="B58" s="5" t="str">
        <f>Marksheet!A57</f>
        <v>Siddhant Gurung</v>
      </c>
    </row>
    <row r="59" spans="1:2" x14ac:dyDescent="0.25">
      <c r="A59" s="5">
        <f>Marksheet!B58</f>
        <v>590029354</v>
      </c>
      <c r="B59" s="5" t="str">
        <f>Marksheet!A58</f>
        <v>Simarjot Kaur Gill</v>
      </c>
    </row>
    <row r="60" spans="1:2" x14ac:dyDescent="0.25">
      <c r="A60" s="5">
        <f>Marksheet!B59</f>
        <v>590029349</v>
      </c>
      <c r="B60" s="5" t="str">
        <f>Marksheet!A59</f>
        <v>Tanishq Bansal</v>
      </c>
    </row>
    <row r="61" spans="1:2" x14ac:dyDescent="0.25">
      <c r="A61" s="5">
        <f>Marksheet!B60</f>
        <v>590029302</v>
      </c>
      <c r="B61" s="5" t="str">
        <f>Marksheet!A60</f>
        <v>Tanmay Amit Verma</v>
      </c>
    </row>
    <row r="62" spans="1:2" x14ac:dyDescent="0.25">
      <c r="A62" s="5">
        <f>Marksheet!B61</f>
        <v>590029262</v>
      </c>
      <c r="B62" s="5" t="str">
        <f>Marksheet!A61</f>
        <v>Vandana Yadav</v>
      </c>
    </row>
    <row r="63" spans="1:2" x14ac:dyDescent="0.25">
      <c r="A63" s="5">
        <f>Marksheet!B62</f>
        <v>590029285</v>
      </c>
      <c r="B63" s="5" t="str">
        <f>Marksheet!A62</f>
        <v>Vidit Ahuja</v>
      </c>
    </row>
    <row r="64" spans="1:2" x14ac:dyDescent="0.25">
      <c r="A64" s="5">
        <f>Marksheet!B63</f>
        <v>590029353</v>
      </c>
      <c r="B64" s="5" t="str">
        <f>Marksheet!A63</f>
        <v>Vinit Kumar</v>
      </c>
    </row>
    <row r="65" spans="1:2" x14ac:dyDescent="0.25">
      <c r="A65" s="5">
        <f>Marksheet!B64</f>
        <v>0</v>
      </c>
      <c r="B65" s="5">
        <f>Marksheet!A64</f>
        <v>0</v>
      </c>
    </row>
  </sheetData>
  <mergeCells count="2">
    <mergeCell ref="A1:P1"/>
    <mergeCell ref="A2:P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P65"/>
  <sheetViews>
    <sheetView workbookViewId="0">
      <selection activeCell="C4" sqref="C4"/>
    </sheetView>
  </sheetViews>
  <sheetFormatPr defaultRowHeight="15" x14ac:dyDescent="0.25"/>
  <cols>
    <col min="1" max="1" width="25" customWidth="1"/>
    <col min="2" max="3" width="24.5703125" style="13" customWidth="1"/>
    <col min="16" max="16" width="13.140625" customWidth="1"/>
  </cols>
  <sheetData>
    <row r="1" spans="1:16" ht="24.75" x14ac:dyDescent="0.4">
      <c r="A1" s="47" t="s">
        <v>135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 ht="24.75" x14ac:dyDescent="0.4">
      <c r="A2" s="47" t="str">
        <f>Marksheet!A2</f>
        <v xml:space="preserve">Computatioal Astrophysics (PHYS 8202)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16" x14ac:dyDescent="0.25">
      <c r="A3" s="2"/>
      <c r="B3" s="14"/>
      <c r="C3" s="14"/>
      <c r="D3" s="3" t="s">
        <v>136</v>
      </c>
      <c r="E3" s="3" t="s">
        <v>136</v>
      </c>
      <c r="F3" s="3" t="s">
        <v>136</v>
      </c>
      <c r="G3" s="3" t="s">
        <v>136</v>
      </c>
      <c r="H3" s="3" t="s">
        <v>137</v>
      </c>
      <c r="I3" s="3" t="s">
        <v>138</v>
      </c>
      <c r="J3" s="3"/>
      <c r="K3" s="3"/>
      <c r="L3" s="3"/>
      <c r="M3" s="3"/>
      <c r="N3" s="3"/>
      <c r="O3" s="2"/>
      <c r="P3" s="2"/>
    </row>
    <row r="4" spans="1:16" x14ac:dyDescent="0.25">
      <c r="A4" s="4" t="s">
        <v>139</v>
      </c>
      <c r="B4" s="15" t="s">
        <v>140</v>
      </c>
      <c r="C4" s="15" t="s">
        <v>4</v>
      </c>
      <c r="D4" s="8" t="s">
        <v>141</v>
      </c>
      <c r="E4" s="8" t="s">
        <v>142</v>
      </c>
      <c r="F4" s="8" t="s">
        <v>143</v>
      </c>
      <c r="G4" s="8" t="s">
        <v>144</v>
      </c>
      <c r="H4" s="8" t="s">
        <v>145</v>
      </c>
      <c r="I4" s="8" t="s">
        <v>146</v>
      </c>
      <c r="J4" s="8" t="s">
        <v>147</v>
      </c>
      <c r="K4" s="8" t="s">
        <v>148</v>
      </c>
      <c r="L4" s="8" t="s">
        <v>149</v>
      </c>
      <c r="M4" s="8" t="s">
        <v>150</v>
      </c>
      <c r="N4" s="8" t="s">
        <v>151</v>
      </c>
      <c r="O4" s="8" t="s">
        <v>12</v>
      </c>
      <c r="P4" s="8" t="s">
        <v>13</v>
      </c>
    </row>
    <row r="5" spans="1:16" x14ac:dyDescent="0.25">
      <c r="A5" s="6"/>
      <c r="B5" s="9" t="s">
        <v>16</v>
      </c>
      <c r="C5" s="9"/>
      <c r="D5" s="9">
        <v>5</v>
      </c>
      <c r="E5" s="9">
        <v>5</v>
      </c>
      <c r="F5" s="9">
        <v>5</v>
      </c>
      <c r="G5" s="9">
        <v>5</v>
      </c>
      <c r="H5" s="9">
        <v>15</v>
      </c>
      <c r="I5" s="9">
        <v>15</v>
      </c>
      <c r="J5" s="9"/>
      <c r="K5" s="9"/>
      <c r="L5" s="9"/>
      <c r="M5" s="9"/>
      <c r="N5" s="9"/>
      <c r="O5" s="9">
        <f>SUM(D5:I5)</f>
        <v>50</v>
      </c>
      <c r="P5" s="9"/>
    </row>
    <row r="6" spans="1:16" x14ac:dyDescent="0.25">
      <c r="A6" s="5" t="str">
        <f>Marksheet!A5</f>
        <v>Aadya Dubey</v>
      </c>
      <c r="B6" s="14">
        <f>Marksheet!B5</f>
        <v>590029213</v>
      </c>
      <c r="C6" s="14">
        <v>77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9">
        <f t="shared" ref="O6:O21" si="0">SUM(D6:I6)</f>
        <v>0</v>
      </c>
      <c r="P6" s="2"/>
    </row>
    <row r="7" spans="1:16" x14ac:dyDescent="0.25">
      <c r="A7" s="5" t="str">
        <f>Marksheet!A6</f>
        <v>Aditya Vishwakarma</v>
      </c>
      <c r="B7" s="14">
        <f>Marksheet!B6</f>
        <v>590029270</v>
      </c>
      <c r="C7" s="14">
        <v>77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9">
        <f t="shared" si="0"/>
        <v>0</v>
      </c>
      <c r="P7" s="2"/>
    </row>
    <row r="8" spans="1:16" x14ac:dyDescent="0.25">
      <c r="A8" s="5" t="str">
        <f>Marksheet!A7</f>
        <v>Arjun</v>
      </c>
      <c r="B8" s="14">
        <f>Marksheet!B7</f>
        <v>590029204</v>
      </c>
      <c r="C8" s="14">
        <v>77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9">
        <f t="shared" si="0"/>
        <v>0</v>
      </c>
      <c r="P8" s="2"/>
    </row>
    <row r="9" spans="1:16" x14ac:dyDescent="0.25">
      <c r="A9" s="5" t="str">
        <f>Marksheet!A8</f>
        <v>Aryan Yadav</v>
      </c>
      <c r="B9" s="14">
        <f>Marksheet!B8</f>
        <v>590029109</v>
      </c>
      <c r="C9" s="14">
        <v>77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9">
        <f t="shared" si="0"/>
        <v>0</v>
      </c>
      <c r="P9" s="2"/>
    </row>
    <row r="10" spans="1:16" x14ac:dyDescent="0.25">
      <c r="A10" s="5" t="str">
        <f>Marksheet!A9</f>
        <v>Astik Patel</v>
      </c>
      <c r="B10" s="14">
        <f>Marksheet!B9</f>
        <v>590029070</v>
      </c>
      <c r="C10" s="14">
        <v>77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9">
        <f t="shared" si="0"/>
        <v>0</v>
      </c>
      <c r="P10" s="2"/>
    </row>
    <row r="11" spans="1:16" x14ac:dyDescent="0.25">
      <c r="A11" s="5" t="str">
        <f>Marksheet!A10</f>
        <v>Ayush Mohan</v>
      </c>
      <c r="B11" s="14">
        <f>Marksheet!B10</f>
        <v>590029157</v>
      </c>
      <c r="C11" s="14">
        <v>77</v>
      </c>
      <c r="D11" s="16"/>
      <c r="E11" s="16"/>
      <c r="F11" s="16"/>
      <c r="G11" s="16"/>
      <c r="H11" s="16"/>
      <c r="I11" s="16"/>
      <c r="J11" s="2"/>
      <c r="K11" s="2"/>
      <c r="L11" s="2"/>
      <c r="M11" s="2"/>
      <c r="N11" s="2"/>
      <c r="O11" s="9">
        <f t="shared" si="0"/>
        <v>0</v>
      </c>
      <c r="P11" s="2"/>
    </row>
    <row r="12" spans="1:16" x14ac:dyDescent="0.25">
      <c r="A12" s="5" t="str">
        <f>Marksheet!A11</f>
        <v>Bhanu Purohit</v>
      </c>
      <c r="B12" s="14">
        <f>Marksheet!B11</f>
        <v>590027157</v>
      </c>
      <c r="C12" s="14">
        <v>77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9">
        <f t="shared" si="0"/>
        <v>0</v>
      </c>
      <c r="P12" s="2"/>
    </row>
    <row r="13" spans="1:16" x14ac:dyDescent="0.25">
      <c r="A13" s="5" t="str">
        <f>Marksheet!A12</f>
        <v>Biswabandya Mohanty</v>
      </c>
      <c r="B13" s="14">
        <f>Marksheet!B12</f>
        <v>590029274</v>
      </c>
      <c r="C13" s="14">
        <v>77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9">
        <f t="shared" si="0"/>
        <v>0</v>
      </c>
      <c r="P13" s="2"/>
    </row>
    <row r="14" spans="1:16" x14ac:dyDescent="0.25">
      <c r="A14" s="5" t="str">
        <f>Marksheet!A13</f>
        <v>Eashan Vashisht</v>
      </c>
      <c r="B14" s="14">
        <f>Marksheet!B13</f>
        <v>590028572</v>
      </c>
      <c r="C14" s="14">
        <v>77</v>
      </c>
      <c r="D14" s="12"/>
      <c r="E14" s="12"/>
      <c r="F14" s="12"/>
      <c r="G14" s="12"/>
      <c r="H14" s="12"/>
      <c r="I14" s="12"/>
      <c r="J14" s="2"/>
      <c r="K14" s="2"/>
      <c r="L14" s="2"/>
      <c r="M14" s="2"/>
      <c r="N14" s="2"/>
      <c r="O14" s="9">
        <f t="shared" si="0"/>
        <v>0</v>
      </c>
      <c r="P14" s="2"/>
    </row>
    <row r="15" spans="1:16" x14ac:dyDescent="0.25">
      <c r="A15" s="5" t="str">
        <f>Marksheet!A14</f>
        <v>Hardik Joshi</v>
      </c>
      <c r="B15" s="14">
        <f>Marksheet!B14</f>
        <v>590029230</v>
      </c>
      <c r="C15" s="14">
        <v>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9">
        <f t="shared" si="0"/>
        <v>0</v>
      </c>
      <c r="P15" s="2"/>
    </row>
    <row r="16" spans="1:16" x14ac:dyDescent="0.25">
      <c r="A16" s="5" t="str">
        <f>Marksheet!A15</f>
        <v>Hrithvik Bhardwaj</v>
      </c>
      <c r="B16" s="14">
        <f>Marksheet!B15</f>
        <v>590029169</v>
      </c>
      <c r="C16" s="14">
        <v>77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9">
        <f t="shared" si="0"/>
        <v>0</v>
      </c>
      <c r="P16" s="2"/>
    </row>
    <row r="17" spans="1:16" x14ac:dyDescent="0.25">
      <c r="A17" s="5" t="str">
        <f>Marksheet!A16</f>
        <v>Nitish Kumar</v>
      </c>
      <c r="B17" s="14">
        <f>Marksheet!B16</f>
        <v>590029112</v>
      </c>
      <c r="C17" s="14">
        <v>77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9">
        <f t="shared" si="0"/>
        <v>0</v>
      </c>
      <c r="P17" s="2"/>
    </row>
    <row r="18" spans="1:16" x14ac:dyDescent="0.25">
      <c r="A18" s="5" t="str">
        <f>Marksheet!A17</f>
        <v>Omkareshwar Chaubey</v>
      </c>
      <c r="B18" s="14">
        <f>Marksheet!B17</f>
        <v>590025556</v>
      </c>
      <c r="C18" s="14">
        <v>77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9">
        <f t="shared" si="0"/>
        <v>0</v>
      </c>
      <c r="P18" s="2"/>
    </row>
    <row r="19" spans="1:16" x14ac:dyDescent="0.25">
      <c r="A19" s="5" t="str">
        <f>Marksheet!A18</f>
        <v>Pavani Jain</v>
      </c>
      <c r="B19" s="14">
        <f>Marksheet!B18</f>
        <v>590027830</v>
      </c>
      <c r="C19" s="14">
        <v>77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9">
        <f t="shared" si="0"/>
        <v>0</v>
      </c>
      <c r="P19" s="2"/>
    </row>
    <row r="20" spans="1:16" x14ac:dyDescent="0.25">
      <c r="A20" s="5" t="str">
        <f>Marksheet!A19</f>
        <v>Prapti Uniyal</v>
      </c>
      <c r="B20" s="14">
        <f>Marksheet!B19</f>
        <v>590028360</v>
      </c>
      <c r="C20" s="14">
        <v>77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9">
        <f t="shared" si="0"/>
        <v>0</v>
      </c>
      <c r="P20" s="2"/>
    </row>
    <row r="21" spans="1:16" x14ac:dyDescent="0.25">
      <c r="A21" s="5" t="str">
        <f>Marksheet!A20</f>
        <v>Priyadarshi Prabhakar</v>
      </c>
      <c r="B21" s="14">
        <f>Marksheet!B20</f>
        <v>590029237</v>
      </c>
      <c r="C21" s="14">
        <v>77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10"/>
      <c r="O21" s="9">
        <f t="shared" si="0"/>
        <v>0</v>
      </c>
      <c r="P21" s="10"/>
    </row>
    <row r="22" spans="1:16" x14ac:dyDescent="0.25">
      <c r="A22" s="5" t="str">
        <f>Marksheet!A21</f>
        <v>Radhe Patel</v>
      </c>
      <c r="B22" s="14">
        <f>Marksheet!B21</f>
        <v>590029079</v>
      </c>
      <c r="C22" s="14">
        <v>77</v>
      </c>
      <c r="N22" s="11"/>
      <c r="O22" s="11"/>
      <c r="P22" s="11"/>
    </row>
    <row r="23" spans="1:16" x14ac:dyDescent="0.25">
      <c r="A23" s="5" t="str">
        <f>Marksheet!A22</f>
        <v>Rishika Purushotham</v>
      </c>
      <c r="B23" s="14">
        <f>Marksheet!B22</f>
        <v>590029145</v>
      </c>
      <c r="C23" s="14">
        <v>77</v>
      </c>
    </row>
    <row r="24" spans="1:16" x14ac:dyDescent="0.25">
      <c r="A24" s="5" t="str">
        <f>Marksheet!A23</f>
        <v>Rishiv Kumar</v>
      </c>
      <c r="B24" s="14">
        <f>Marksheet!B23</f>
        <v>590029209</v>
      </c>
      <c r="C24" s="14">
        <v>77</v>
      </c>
    </row>
    <row r="25" spans="1:16" x14ac:dyDescent="0.25">
      <c r="A25" s="5" t="str">
        <f>Marksheet!A24</f>
        <v>Sankalp Sunil Ronge</v>
      </c>
      <c r="B25" s="14">
        <f>Marksheet!B24</f>
        <v>590027268</v>
      </c>
      <c r="C25" s="14">
        <v>77</v>
      </c>
    </row>
    <row r="26" spans="1:16" x14ac:dyDescent="0.25">
      <c r="A26" s="5" t="str">
        <f>Marksheet!A25</f>
        <v>Sartaj Singh</v>
      </c>
      <c r="B26" s="14">
        <f>Marksheet!B25</f>
        <v>590029227</v>
      </c>
      <c r="C26" s="14">
        <v>77</v>
      </c>
    </row>
    <row r="27" spans="1:16" x14ac:dyDescent="0.25">
      <c r="A27" s="5" t="str">
        <f>Marksheet!A26</f>
        <v>Satakshi Gupta</v>
      </c>
      <c r="B27" s="14">
        <f>Marksheet!B26</f>
        <v>590029241</v>
      </c>
      <c r="C27" s="14">
        <v>77</v>
      </c>
    </row>
    <row r="28" spans="1:16" x14ac:dyDescent="0.25">
      <c r="A28" s="5" t="str">
        <f>Marksheet!A27</f>
        <v>Shaswat Shantanu</v>
      </c>
      <c r="B28" s="14">
        <f>Marksheet!B27</f>
        <v>590023855</v>
      </c>
      <c r="C28" s="14">
        <v>77</v>
      </c>
    </row>
    <row r="29" spans="1:16" x14ac:dyDescent="0.25">
      <c r="A29" s="5" t="str">
        <f>Marksheet!A28</f>
        <v>Siddhant Rai</v>
      </c>
      <c r="B29" s="14">
        <f>Marksheet!B28</f>
        <v>590029215</v>
      </c>
      <c r="C29" s="14">
        <v>77</v>
      </c>
    </row>
    <row r="30" spans="1:16" x14ac:dyDescent="0.25">
      <c r="A30" s="5" t="str">
        <f>Marksheet!A29</f>
        <v>Sidhaant Singh Jyrwa</v>
      </c>
      <c r="B30" s="14">
        <f>Marksheet!B29</f>
        <v>590029111</v>
      </c>
      <c r="C30" s="14">
        <v>77</v>
      </c>
    </row>
    <row r="31" spans="1:16" x14ac:dyDescent="0.25">
      <c r="A31" s="5" t="str">
        <f>Marksheet!A30</f>
        <v>Subrat Singh Jadaun</v>
      </c>
      <c r="B31" s="14">
        <f>Marksheet!B30</f>
        <v>590028683</v>
      </c>
      <c r="C31" s="14">
        <v>77</v>
      </c>
    </row>
    <row r="32" spans="1:16" x14ac:dyDescent="0.25">
      <c r="A32" s="5" t="str">
        <f>Marksheet!A31</f>
        <v>Tushita Sharma</v>
      </c>
      <c r="B32" s="14">
        <f>Marksheet!B31</f>
        <v>590029121</v>
      </c>
      <c r="C32" s="14">
        <v>77</v>
      </c>
    </row>
    <row r="33" spans="1:3" x14ac:dyDescent="0.25">
      <c r="A33" s="5" t="str">
        <f>Marksheet!A32</f>
        <v>Vaishnavi Kumari</v>
      </c>
      <c r="B33" s="14">
        <f>Marksheet!B32</f>
        <v>590029048</v>
      </c>
      <c r="C33" s="14">
        <v>77</v>
      </c>
    </row>
    <row r="34" spans="1:3" x14ac:dyDescent="0.25">
      <c r="A34" s="5" t="str">
        <f>Marksheet!A33</f>
        <v>Vivek Chauhan</v>
      </c>
      <c r="B34" s="14">
        <f>Marksheet!B33</f>
        <v>590029184</v>
      </c>
      <c r="C34" s="14">
        <v>77</v>
      </c>
    </row>
    <row r="35" spans="1:3" x14ac:dyDescent="0.25">
      <c r="A35" s="5" t="str">
        <f>Marksheet!A34</f>
        <v>Aadarshi Bisht</v>
      </c>
      <c r="B35" s="14">
        <f>Marksheet!B34</f>
        <v>590029330</v>
      </c>
      <c r="C35" s="14">
        <v>78</v>
      </c>
    </row>
    <row r="36" spans="1:3" x14ac:dyDescent="0.25">
      <c r="A36" s="5" t="str">
        <f>Marksheet!A35</f>
        <v>Aarush Prasad</v>
      </c>
      <c r="B36" s="14">
        <f>Marksheet!B35</f>
        <v>590027630</v>
      </c>
      <c r="C36" s="14">
        <v>78</v>
      </c>
    </row>
    <row r="37" spans="1:3" x14ac:dyDescent="0.25">
      <c r="A37" s="5" t="str">
        <f>Marksheet!A36</f>
        <v>Aditya Mishra</v>
      </c>
      <c r="B37" s="14">
        <f>Marksheet!B36</f>
        <v>590029219</v>
      </c>
      <c r="C37" s="14">
        <v>78</v>
      </c>
    </row>
    <row r="38" spans="1:3" x14ac:dyDescent="0.25">
      <c r="A38" s="5" t="str">
        <f>Marksheet!A37</f>
        <v>Aman Barnwal</v>
      </c>
      <c r="B38" s="14">
        <f>Marksheet!B37</f>
        <v>590028933</v>
      </c>
      <c r="C38" s="14">
        <v>78</v>
      </c>
    </row>
    <row r="39" spans="1:3" x14ac:dyDescent="0.25">
      <c r="A39" s="5" t="str">
        <f>Marksheet!A38</f>
        <v>Ashutosh Shrivastava</v>
      </c>
      <c r="B39" s="14">
        <f>Marksheet!B38</f>
        <v>590027859</v>
      </c>
      <c r="C39" s="14">
        <v>78</v>
      </c>
    </row>
    <row r="40" spans="1:3" x14ac:dyDescent="0.25">
      <c r="A40" s="5" t="str">
        <f>Marksheet!A39</f>
        <v>Ayan Pande</v>
      </c>
      <c r="B40" s="14">
        <f>Marksheet!B39</f>
        <v>590028682</v>
      </c>
      <c r="C40" s="14">
        <v>78</v>
      </c>
    </row>
    <row r="41" spans="1:3" x14ac:dyDescent="0.25">
      <c r="A41" s="5" t="str">
        <f>Marksheet!A40</f>
        <v>Ayush Pratap Singh</v>
      </c>
      <c r="B41" s="14">
        <f>Marksheet!B40</f>
        <v>590023917</v>
      </c>
      <c r="C41" s="14">
        <v>78</v>
      </c>
    </row>
    <row r="42" spans="1:3" x14ac:dyDescent="0.25">
      <c r="A42" s="5" t="str">
        <f>Marksheet!A41</f>
        <v>Gayatri Bhatt</v>
      </c>
      <c r="B42" s="14">
        <f>Marksheet!B41</f>
        <v>590023785</v>
      </c>
      <c r="C42" s="14">
        <v>78</v>
      </c>
    </row>
    <row r="43" spans="1:3" x14ac:dyDescent="0.25">
      <c r="A43" s="5" t="str">
        <f>Marksheet!A42</f>
        <v>Harsh Mudgal</v>
      </c>
      <c r="B43" s="14">
        <f>Marksheet!B42</f>
        <v>590029264</v>
      </c>
      <c r="C43" s="14">
        <v>78</v>
      </c>
    </row>
    <row r="44" spans="1:3" x14ac:dyDescent="0.25">
      <c r="A44" s="5" t="str">
        <f>Marksheet!A43</f>
        <v>Kanan Nidhania</v>
      </c>
      <c r="B44" s="14">
        <f>Marksheet!B43</f>
        <v>590029042</v>
      </c>
      <c r="C44" s="14">
        <v>78</v>
      </c>
    </row>
    <row r="45" spans="1:3" x14ac:dyDescent="0.25">
      <c r="A45" s="5" t="str">
        <f>Marksheet!A44</f>
        <v>Kanishka Diwakar</v>
      </c>
      <c r="B45" s="14">
        <f>Marksheet!B44</f>
        <v>590029336</v>
      </c>
      <c r="C45" s="14">
        <v>78</v>
      </c>
    </row>
    <row r="46" spans="1:3" x14ac:dyDescent="0.25">
      <c r="A46" s="5" t="str">
        <f>Marksheet!A45</f>
        <v>Keshav Chahda</v>
      </c>
      <c r="B46" s="14">
        <f>Marksheet!B45</f>
        <v>590029233</v>
      </c>
      <c r="C46" s="14">
        <v>78</v>
      </c>
    </row>
    <row r="47" spans="1:3" x14ac:dyDescent="0.25">
      <c r="A47" s="5" t="str">
        <f>Marksheet!A46</f>
        <v>Lakshay Dhanda</v>
      </c>
      <c r="B47" s="14">
        <f>Marksheet!B46</f>
        <v>590029328</v>
      </c>
      <c r="C47" s="14">
        <v>78</v>
      </c>
    </row>
    <row r="48" spans="1:3" x14ac:dyDescent="0.25">
      <c r="A48" s="5" t="str">
        <f>Marksheet!A47</f>
        <v>Lakshya Singh</v>
      </c>
      <c r="B48" s="14">
        <f>Marksheet!B47</f>
        <v>590028608</v>
      </c>
      <c r="C48" s="14">
        <v>78</v>
      </c>
    </row>
    <row r="49" spans="1:3" x14ac:dyDescent="0.25">
      <c r="A49" s="5" t="str">
        <f>Marksheet!A48</f>
        <v>Mayank Chand Ramola</v>
      </c>
      <c r="B49" s="14">
        <f>Marksheet!B48</f>
        <v>590028605</v>
      </c>
      <c r="C49" s="14">
        <v>78</v>
      </c>
    </row>
    <row r="50" spans="1:3" x14ac:dyDescent="0.25">
      <c r="A50" s="5" t="str">
        <f>Marksheet!A49</f>
        <v>Mukesh Patel</v>
      </c>
      <c r="B50" s="14">
        <f>Marksheet!B49</f>
        <v>590026626</v>
      </c>
      <c r="C50" s="14">
        <v>78</v>
      </c>
    </row>
    <row r="51" spans="1:3" x14ac:dyDescent="0.25">
      <c r="A51" s="5" t="str">
        <f>Marksheet!A50</f>
        <v>Nipun Singh</v>
      </c>
      <c r="B51" s="14">
        <f>Marksheet!B50</f>
        <v>590029310</v>
      </c>
      <c r="C51" s="14">
        <v>78</v>
      </c>
    </row>
    <row r="52" spans="1:3" x14ac:dyDescent="0.25">
      <c r="A52" s="5" t="str">
        <f>Marksheet!A51</f>
        <v>Paras Bhall</v>
      </c>
      <c r="B52" s="14">
        <f>Marksheet!B51</f>
        <v>590029319</v>
      </c>
      <c r="C52" s="14">
        <v>78</v>
      </c>
    </row>
    <row r="53" spans="1:3" x14ac:dyDescent="0.25">
      <c r="A53" s="5" t="str">
        <f>Marksheet!A52</f>
        <v>Raghav Kumar Goyal</v>
      </c>
      <c r="B53" s="14">
        <f>Marksheet!B52</f>
        <v>590029339</v>
      </c>
      <c r="C53" s="14">
        <v>78</v>
      </c>
    </row>
    <row r="54" spans="1:3" x14ac:dyDescent="0.25">
      <c r="A54" s="5" t="str">
        <f>Marksheet!A53</f>
        <v>Rahul</v>
      </c>
      <c r="B54" s="14">
        <f>Marksheet!B53</f>
        <v>590029148</v>
      </c>
      <c r="C54" s="14">
        <v>78</v>
      </c>
    </row>
    <row r="55" spans="1:3" x14ac:dyDescent="0.25">
      <c r="A55" s="5" t="str">
        <f>Marksheet!A54</f>
        <v>Rahul Singh</v>
      </c>
      <c r="B55" s="14">
        <f>Marksheet!B54</f>
        <v>590029309</v>
      </c>
      <c r="C55" s="14">
        <v>78</v>
      </c>
    </row>
    <row r="56" spans="1:3" x14ac:dyDescent="0.25">
      <c r="A56" s="5" t="str">
        <f>Marksheet!A55</f>
        <v>Satyam Singh</v>
      </c>
      <c r="B56" s="14">
        <f>Marksheet!B55</f>
        <v>590028838</v>
      </c>
      <c r="C56" s="14">
        <v>78</v>
      </c>
    </row>
    <row r="57" spans="1:3" x14ac:dyDescent="0.25">
      <c r="A57" s="5" t="str">
        <f>Marksheet!A56</f>
        <v>Shashwat Agrawal</v>
      </c>
      <c r="B57" s="14">
        <f>Marksheet!B56</f>
        <v>590029107</v>
      </c>
      <c r="C57" s="14">
        <v>78</v>
      </c>
    </row>
    <row r="58" spans="1:3" x14ac:dyDescent="0.25">
      <c r="A58" s="5" t="str">
        <f>Marksheet!A57</f>
        <v>Siddhant Gurung</v>
      </c>
      <c r="B58" s="14">
        <f>Marksheet!B57</f>
        <v>590029266</v>
      </c>
      <c r="C58" s="14">
        <v>78</v>
      </c>
    </row>
    <row r="59" spans="1:3" x14ac:dyDescent="0.25">
      <c r="A59" s="5" t="str">
        <f>Marksheet!A58</f>
        <v>Simarjot Kaur Gill</v>
      </c>
      <c r="B59" s="14">
        <f>Marksheet!B58</f>
        <v>590029354</v>
      </c>
      <c r="C59" s="14">
        <v>78</v>
      </c>
    </row>
    <row r="60" spans="1:3" x14ac:dyDescent="0.25">
      <c r="A60" s="5" t="str">
        <f>Marksheet!A59</f>
        <v>Tanishq Bansal</v>
      </c>
      <c r="B60" s="14">
        <f>Marksheet!B59</f>
        <v>590029349</v>
      </c>
      <c r="C60" s="14">
        <v>78</v>
      </c>
    </row>
    <row r="61" spans="1:3" x14ac:dyDescent="0.25">
      <c r="A61" s="5" t="str">
        <f>Marksheet!A60</f>
        <v>Tanmay Amit Verma</v>
      </c>
      <c r="B61" s="14">
        <f>Marksheet!B60</f>
        <v>590029302</v>
      </c>
      <c r="C61" s="14">
        <v>78</v>
      </c>
    </row>
    <row r="62" spans="1:3" x14ac:dyDescent="0.25">
      <c r="A62" s="5" t="str">
        <f>Marksheet!A61</f>
        <v>Vandana Yadav</v>
      </c>
      <c r="B62" s="14">
        <f>Marksheet!B61</f>
        <v>590029262</v>
      </c>
      <c r="C62" s="14">
        <v>78</v>
      </c>
    </row>
    <row r="63" spans="1:3" x14ac:dyDescent="0.25">
      <c r="A63" s="5" t="str">
        <f>Marksheet!A62</f>
        <v>Vidit Ahuja</v>
      </c>
      <c r="B63" s="14">
        <f>Marksheet!B62</f>
        <v>590029285</v>
      </c>
      <c r="C63" s="14">
        <v>78</v>
      </c>
    </row>
    <row r="64" spans="1:3" x14ac:dyDescent="0.25">
      <c r="A64" s="5" t="str">
        <f>Marksheet!A63</f>
        <v>Vinit Kumar</v>
      </c>
      <c r="B64" s="14">
        <f>Marksheet!B63</f>
        <v>590029353</v>
      </c>
      <c r="C64" s="14">
        <v>78</v>
      </c>
    </row>
    <row r="65" spans="1:3" x14ac:dyDescent="0.25">
      <c r="A65" s="5"/>
      <c r="C65" s="14"/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7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topLeftCell="A2" workbookViewId="0">
      <selection activeCell="B17" sqref="B17"/>
    </sheetView>
  </sheetViews>
  <sheetFormatPr defaultRowHeight="15" x14ac:dyDescent="0.25"/>
  <cols>
    <col min="1" max="1" width="20.7109375" style="23" customWidth="1"/>
    <col min="2" max="2" width="24.5703125" customWidth="1"/>
    <col min="15" max="15" width="13.140625" customWidth="1"/>
  </cols>
  <sheetData>
    <row r="1" spans="1:15" ht="24.75" x14ac:dyDescent="0.4">
      <c r="A1" s="47" t="s">
        <v>152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Computatioal Astrophysics (PHYS 8202)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19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 x14ac:dyDescent="0.25">
      <c r="A4" s="20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 x14ac:dyDescent="0.25">
      <c r="A5" s="21"/>
      <c r="B5" s="6" t="s">
        <v>16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 x14ac:dyDescent="0.25">
      <c r="A6" s="22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22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22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22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22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22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22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22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22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22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22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22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22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22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22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22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22">
        <f>'Mid Sem'!B22</f>
        <v>590029079</v>
      </c>
      <c r="B22" s="5" t="str">
        <f>'Mid Sem'!A22</f>
        <v>Radhe Patel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2">
        <f>'Mid Sem'!B23</f>
        <v>590029145</v>
      </c>
      <c r="B23" s="5" t="str">
        <f>'Mid Sem'!A23</f>
        <v>Rishika Purushotham</v>
      </c>
    </row>
    <row r="24" spans="1:15" x14ac:dyDescent="0.25">
      <c r="A24" s="22">
        <f>'Mid Sem'!B24</f>
        <v>590029209</v>
      </c>
      <c r="B24" s="5" t="str">
        <f>'Mid Sem'!A24</f>
        <v>Rishiv Kumar</v>
      </c>
    </row>
    <row r="25" spans="1:15" x14ac:dyDescent="0.25">
      <c r="A25" s="22">
        <f>'Mid Sem'!B25</f>
        <v>590027268</v>
      </c>
      <c r="B25" s="5" t="str">
        <f>'Mid Sem'!A25</f>
        <v>Sankalp Sunil Ronge</v>
      </c>
    </row>
    <row r="26" spans="1:15" x14ac:dyDescent="0.25">
      <c r="A26" s="22">
        <f>'Mid Sem'!B26</f>
        <v>590029227</v>
      </c>
      <c r="B26" s="5" t="str">
        <f>'Mid Sem'!A26</f>
        <v>Sartaj Singh</v>
      </c>
    </row>
    <row r="27" spans="1:15" x14ac:dyDescent="0.25">
      <c r="A27" s="22">
        <f>'Mid Sem'!B27</f>
        <v>590029241</v>
      </c>
      <c r="B27" s="5" t="str">
        <f>'Mid Sem'!A27</f>
        <v>Satakshi Gupta</v>
      </c>
    </row>
    <row r="28" spans="1:15" x14ac:dyDescent="0.25">
      <c r="A28" s="22">
        <f>'Mid Sem'!B28</f>
        <v>590023855</v>
      </c>
      <c r="B28" s="5" t="str">
        <f>'Mid Sem'!A28</f>
        <v>Shaswat Shantanu</v>
      </c>
    </row>
    <row r="29" spans="1:15" x14ac:dyDescent="0.25">
      <c r="A29" s="22">
        <f>'Mid Sem'!B29</f>
        <v>590029215</v>
      </c>
      <c r="B29" s="5" t="str">
        <f>'Mid Sem'!A29</f>
        <v>Siddhant Rai</v>
      </c>
    </row>
    <row r="30" spans="1:15" x14ac:dyDescent="0.25">
      <c r="A30" s="22">
        <f>'Mid Sem'!B30</f>
        <v>590029111</v>
      </c>
      <c r="B30" s="5" t="str">
        <f>'Mid Sem'!A30</f>
        <v>Sidhaant Singh Jyrwa</v>
      </c>
    </row>
    <row r="31" spans="1:15" x14ac:dyDescent="0.25">
      <c r="A31" s="22">
        <f>'Mid Sem'!B31</f>
        <v>590028683</v>
      </c>
      <c r="B31" s="5" t="str">
        <f>'Mid Sem'!A31</f>
        <v>Subrat Singh Jadaun</v>
      </c>
    </row>
    <row r="32" spans="1:15" x14ac:dyDescent="0.25">
      <c r="A32" s="22">
        <f>'Mid Sem'!B32</f>
        <v>590029121</v>
      </c>
      <c r="B32" s="5" t="str">
        <f>'Mid Sem'!A32</f>
        <v>Tushita Sharma</v>
      </c>
    </row>
    <row r="33" spans="1:2" x14ac:dyDescent="0.25">
      <c r="A33" s="22">
        <f>'Mid Sem'!B33</f>
        <v>590029048</v>
      </c>
      <c r="B33" s="5" t="str">
        <f>'Mid Sem'!A33</f>
        <v>Vaishnavi Kumari</v>
      </c>
    </row>
    <row r="34" spans="1:2" x14ac:dyDescent="0.25">
      <c r="A34" s="22">
        <f>'Mid Sem'!B34</f>
        <v>590029184</v>
      </c>
      <c r="B34" s="5" t="str">
        <f>'Mid Sem'!A34</f>
        <v>Vivek Chauhan</v>
      </c>
    </row>
    <row r="35" spans="1:2" x14ac:dyDescent="0.25">
      <c r="A35" s="22">
        <f>'Mid Sem'!B35</f>
        <v>590029330</v>
      </c>
      <c r="B35" s="5" t="str">
        <f>'Mid Sem'!A35</f>
        <v>Aadarshi Bisht</v>
      </c>
    </row>
    <row r="36" spans="1:2" x14ac:dyDescent="0.25">
      <c r="A36" s="22">
        <f>'Mid Sem'!B36</f>
        <v>590027630</v>
      </c>
      <c r="B36" s="5" t="str">
        <f>'Mid Sem'!A36</f>
        <v>Aarush Prasad</v>
      </c>
    </row>
    <row r="37" spans="1:2" x14ac:dyDescent="0.25">
      <c r="A37" s="22">
        <f>'Mid Sem'!B37</f>
        <v>590029219</v>
      </c>
      <c r="B37" s="5" t="str">
        <f>'Mid Sem'!A37</f>
        <v>Aditya Mishra</v>
      </c>
    </row>
    <row r="38" spans="1:2" x14ac:dyDescent="0.25">
      <c r="A38" s="22">
        <f>'Mid Sem'!B38</f>
        <v>590028933</v>
      </c>
      <c r="B38" s="5" t="str">
        <f>'Mid Sem'!A38</f>
        <v>Aman Barnwal</v>
      </c>
    </row>
    <row r="39" spans="1:2" x14ac:dyDescent="0.25">
      <c r="A39" s="22">
        <f>'Mid Sem'!B39</f>
        <v>590027859</v>
      </c>
      <c r="B39" s="5" t="str">
        <f>'Mid Sem'!A39</f>
        <v>Ashutosh Shrivastava</v>
      </c>
    </row>
    <row r="40" spans="1:2" x14ac:dyDescent="0.25">
      <c r="A40" s="22">
        <f>'Mid Sem'!B40</f>
        <v>590028682</v>
      </c>
      <c r="B40" s="5" t="str">
        <f>'Mid Sem'!A40</f>
        <v>Ayan Pande</v>
      </c>
    </row>
    <row r="41" spans="1:2" x14ac:dyDescent="0.25">
      <c r="A41" s="22">
        <f>'Mid Sem'!B41</f>
        <v>590023917</v>
      </c>
      <c r="B41" s="5" t="str">
        <f>'Mid Sem'!A41</f>
        <v>Ayush Pratap Singh</v>
      </c>
    </row>
    <row r="42" spans="1:2" x14ac:dyDescent="0.25">
      <c r="A42" s="22">
        <f>'Mid Sem'!B42</f>
        <v>590023785</v>
      </c>
      <c r="B42" s="5" t="str">
        <f>'Mid Sem'!A42</f>
        <v>Gayatri Bhatt</v>
      </c>
    </row>
    <row r="43" spans="1:2" x14ac:dyDescent="0.25">
      <c r="A43" s="22">
        <f>'Mid Sem'!B43</f>
        <v>590029264</v>
      </c>
      <c r="B43" s="5" t="str">
        <f>'Mid Sem'!A43</f>
        <v>Harsh Mudgal</v>
      </c>
    </row>
    <row r="44" spans="1:2" x14ac:dyDescent="0.25">
      <c r="A44" s="22">
        <f>'Mid Sem'!B44</f>
        <v>590029042</v>
      </c>
      <c r="B44" s="5" t="str">
        <f>'Mid Sem'!A44</f>
        <v>Kanan Nidhania</v>
      </c>
    </row>
    <row r="45" spans="1:2" x14ac:dyDescent="0.25">
      <c r="A45" s="22">
        <f>'Mid Sem'!B45</f>
        <v>590029336</v>
      </c>
      <c r="B45" s="5" t="str">
        <f>'Mid Sem'!A45</f>
        <v>Kanishka Diwakar</v>
      </c>
    </row>
    <row r="46" spans="1:2" x14ac:dyDescent="0.25">
      <c r="A46" s="22">
        <f>'Mid Sem'!B46</f>
        <v>590029233</v>
      </c>
      <c r="B46" s="5" t="str">
        <f>'Mid Sem'!A46</f>
        <v>Keshav Chahda</v>
      </c>
    </row>
    <row r="47" spans="1:2" x14ac:dyDescent="0.25">
      <c r="A47" s="22">
        <f>'Mid Sem'!B47</f>
        <v>590029328</v>
      </c>
      <c r="B47" s="5" t="str">
        <f>'Mid Sem'!A47</f>
        <v>Lakshay Dhanda</v>
      </c>
    </row>
    <row r="48" spans="1:2" x14ac:dyDescent="0.25">
      <c r="A48" s="22">
        <f>'Mid Sem'!B48</f>
        <v>590028608</v>
      </c>
      <c r="B48" s="5" t="str">
        <f>'Mid Sem'!A48</f>
        <v>Lakshya Singh</v>
      </c>
    </row>
    <row r="49" spans="1:2" x14ac:dyDescent="0.25">
      <c r="A49" s="22">
        <f>'Mid Sem'!B49</f>
        <v>590028605</v>
      </c>
      <c r="B49" s="5" t="str">
        <f>'Mid Sem'!A49</f>
        <v>Mayank Chand Ramola</v>
      </c>
    </row>
    <row r="50" spans="1:2" x14ac:dyDescent="0.25">
      <c r="A50" s="22">
        <f>'Mid Sem'!B50</f>
        <v>590026626</v>
      </c>
      <c r="B50" s="5" t="str">
        <f>'Mid Sem'!A50</f>
        <v>Mukesh Patel</v>
      </c>
    </row>
    <row r="51" spans="1:2" x14ac:dyDescent="0.25">
      <c r="A51" s="22">
        <f>'Mid Sem'!B51</f>
        <v>590029310</v>
      </c>
      <c r="B51" s="5" t="str">
        <f>'Mid Sem'!A51</f>
        <v>Nipun Singh</v>
      </c>
    </row>
    <row r="52" spans="1:2" x14ac:dyDescent="0.25">
      <c r="A52" s="22">
        <f>'Mid Sem'!B52</f>
        <v>590029319</v>
      </c>
      <c r="B52" s="5" t="str">
        <f>'Mid Sem'!A52</f>
        <v>Paras Bhall</v>
      </c>
    </row>
    <row r="53" spans="1:2" x14ac:dyDescent="0.25">
      <c r="A53" s="22">
        <f>'Mid Sem'!B53</f>
        <v>590029339</v>
      </c>
      <c r="B53" s="5" t="str">
        <f>'Mid Sem'!A53</f>
        <v>Raghav Kumar Goyal</v>
      </c>
    </row>
    <row r="54" spans="1:2" x14ac:dyDescent="0.25">
      <c r="A54" s="22">
        <f>'Mid Sem'!B54</f>
        <v>590029148</v>
      </c>
      <c r="B54" s="5" t="str">
        <f>'Mid Sem'!A54</f>
        <v>Rahul</v>
      </c>
    </row>
    <row r="55" spans="1:2" x14ac:dyDescent="0.25">
      <c r="A55" s="22">
        <f>'Mid Sem'!B55</f>
        <v>590029309</v>
      </c>
      <c r="B55" s="5" t="str">
        <f>'Mid Sem'!A55</f>
        <v>Rahul Singh</v>
      </c>
    </row>
    <row r="56" spans="1:2" x14ac:dyDescent="0.25">
      <c r="A56" s="22">
        <f>'Mid Sem'!B56</f>
        <v>590028838</v>
      </c>
      <c r="B56" s="5" t="str">
        <f>'Mid Sem'!A56</f>
        <v>Satyam Singh</v>
      </c>
    </row>
    <row r="57" spans="1:2" x14ac:dyDescent="0.25">
      <c r="A57" s="22">
        <f>'Mid Sem'!B57</f>
        <v>590029107</v>
      </c>
      <c r="B57" s="5" t="str">
        <f>'Mid Sem'!A57</f>
        <v>Shashwat Agrawal</v>
      </c>
    </row>
    <row r="58" spans="1:2" x14ac:dyDescent="0.25">
      <c r="A58" s="22">
        <f>'Mid Sem'!B58</f>
        <v>590029266</v>
      </c>
      <c r="B58" s="5" t="str">
        <f>'Mid Sem'!A58</f>
        <v>Siddhant Gurung</v>
      </c>
    </row>
    <row r="59" spans="1:2" x14ac:dyDescent="0.25">
      <c r="A59" s="22">
        <f>'Mid Sem'!B59</f>
        <v>590029354</v>
      </c>
      <c r="B59" s="5" t="str">
        <f>'Mid Sem'!A59</f>
        <v>Simarjot Kaur Gill</v>
      </c>
    </row>
    <row r="60" spans="1:2" x14ac:dyDescent="0.25">
      <c r="A60" s="22">
        <f>'Mid Sem'!B60</f>
        <v>590029349</v>
      </c>
      <c r="B60" s="5" t="str">
        <f>'Mid Sem'!A60</f>
        <v>Tanishq Bansal</v>
      </c>
    </row>
    <row r="61" spans="1:2" x14ac:dyDescent="0.25">
      <c r="A61" s="22">
        <f>'Mid Sem'!B61</f>
        <v>590029302</v>
      </c>
      <c r="B61" s="5" t="str">
        <f>'Mid Sem'!A61</f>
        <v>Tanmay Amit Verma</v>
      </c>
    </row>
    <row r="62" spans="1:2" x14ac:dyDescent="0.25">
      <c r="A62" s="22">
        <f>'Mid Sem'!B62</f>
        <v>590029262</v>
      </c>
      <c r="B62" s="5" t="str">
        <f>'Mid Sem'!A62</f>
        <v>Vandana Yadav</v>
      </c>
    </row>
    <row r="63" spans="1:2" x14ac:dyDescent="0.25">
      <c r="A63" s="22">
        <f>'Mid Sem'!B63</f>
        <v>590029285</v>
      </c>
      <c r="B63" s="5" t="str">
        <f>'Mid Sem'!A63</f>
        <v>Vidit Ahuja</v>
      </c>
    </row>
    <row r="64" spans="1:2" x14ac:dyDescent="0.25">
      <c r="A64" s="22">
        <f>'Mid Sem'!B64</f>
        <v>590029353</v>
      </c>
      <c r="B64" s="5" t="str">
        <f>'Mid Sem'!A64</f>
        <v>Vinit Kumar</v>
      </c>
    </row>
    <row r="65" spans="1:2" x14ac:dyDescent="0.25">
      <c r="A65" s="22">
        <f>'Mid Sem'!B65</f>
        <v>0</v>
      </c>
      <c r="B65" s="5">
        <f>'Mid Sem'!A65</f>
        <v>0</v>
      </c>
    </row>
    <row r="66" spans="1:2" x14ac:dyDescent="0.25">
      <c r="A66" s="22">
        <f>'Mid Sem'!B66</f>
        <v>0</v>
      </c>
      <c r="B66" s="5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78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O65"/>
  <sheetViews>
    <sheetView workbookViewId="0">
      <selection activeCell="L8" sqref="L8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7" t="s">
        <v>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Computatioal Astrophysics (PHYS 8202)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2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 x14ac:dyDescent="0.2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 x14ac:dyDescent="0.25">
      <c r="A5" s="6"/>
      <c r="B5" s="6" t="s">
        <v>16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5">
        <f>'Mid Sem'!B22</f>
        <v>590029079</v>
      </c>
      <c r="B22" s="5" t="str">
        <f>'Mid Sem'!A22</f>
        <v>Radhe Patel</v>
      </c>
    </row>
    <row r="23" spans="1:15" x14ac:dyDescent="0.25">
      <c r="A23" s="5">
        <f>'Mid Sem'!B23</f>
        <v>590029145</v>
      </c>
      <c r="B23" s="5" t="str">
        <f>'Mid Sem'!A23</f>
        <v>Rishika Purushotham</v>
      </c>
    </row>
    <row r="24" spans="1:15" x14ac:dyDescent="0.25">
      <c r="A24" s="5">
        <f>'Mid Sem'!B24</f>
        <v>590029209</v>
      </c>
      <c r="B24" s="5" t="str">
        <f>'Mid Sem'!A24</f>
        <v>Rishiv Kumar</v>
      </c>
    </row>
    <row r="25" spans="1:15" x14ac:dyDescent="0.25">
      <c r="A25" s="5">
        <f>'Mid Sem'!B25</f>
        <v>590027268</v>
      </c>
      <c r="B25" s="5" t="str">
        <f>'Mid Sem'!A25</f>
        <v>Sankalp Sunil Ronge</v>
      </c>
    </row>
    <row r="26" spans="1:15" x14ac:dyDescent="0.25">
      <c r="A26" s="5">
        <f>'Mid Sem'!B26</f>
        <v>590029227</v>
      </c>
      <c r="B26" s="5" t="str">
        <f>'Mid Sem'!A26</f>
        <v>Sartaj Singh</v>
      </c>
    </row>
    <row r="27" spans="1:15" x14ac:dyDescent="0.25">
      <c r="A27" s="5">
        <f>'Mid Sem'!B27</f>
        <v>590029241</v>
      </c>
      <c r="B27" s="5" t="str">
        <f>'Mid Sem'!A27</f>
        <v>Satakshi Gupta</v>
      </c>
    </row>
    <row r="28" spans="1:15" x14ac:dyDescent="0.25">
      <c r="A28" s="5">
        <f>'Mid Sem'!B28</f>
        <v>590023855</v>
      </c>
      <c r="B28" s="5" t="str">
        <f>'Mid Sem'!A28</f>
        <v>Shaswat Shantanu</v>
      </c>
    </row>
    <row r="29" spans="1:15" x14ac:dyDescent="0.25">
      <c r="A29" s="5">
        <f>'Mid Sem'!B29</f>
        <v>590029215</v>
      </c>
      <c r="B29" s="5" t="str">
        <f>'Mid Sem'!A29</f>
        <v>Siddhant Rai</v>
      </c>
    </row>
    <row r="30" spans="1:15" x14ac:dyDescent="0.25">
      <c r="A30" s="5">
        <f>'Mid Sem'!B30</f>
        <v>590029111</v>
      </c>
      <c r="B30" s="5" t="str">
        <f>'Mid Sem'!A30</f>
        <v>Sidhaant Singh Jyrwa</v>
      </c>
    </row>
    <row r="31" spans="1:15" x14ac:dyDescent="0.25">
      <c r="A31" s="5">
        <f>'Mid Sem'!B31</f>
        <v>590028683</v>
      </c>
      <c r="B31" s="5" t="str">
        <f>'Mid Sem'!A31</f>
        <v>Subrat Singh Jadaun</v>
      </c>
    </row>
    <row r="32" spans="1:15" x14ac:dyDescent="0.25">
      <c r="A32" s="5">
        <f>'Mid Sem'!B32</f>
        <v>590029121</v>
      </c>
      <c r="B32" s="5" t="str">
        <f>'Mid Sem'!A32</f>
        <v>Tushita Sharma</v>
      </c>
    </row>
    <row r="33" spans="1:2" x14ac:dyDescent="0.25">
      <c r="A33" s="5">
        <f>'Mid Sem'!B33</f>
        <v>590029048</v>
      </c>
      <c r="B33" s="5" t="str">
        <f>'Mid Sem'!A33</f>
        <v>Vaishnavi Kumari</v>
      </c>
    </row>
    <row r="34" spans="1:2" x14ac:dyDescent="0.25">
      <c r="A34" s="5">
        <f>'Mid Sem'!B34</f>
        <v>590029184</v>
      </c>
      <c r="B34" s="5" t="str">
        <f>'Mid Sem'!A34</f>
        <v>Vivek Chauhan</v>
      </c>
    </row>
    <row r="35" spans="1:2" x14ac:dyDescent="0.25">
      <c r="A35" s="5">
        <f>'Mid Sem'!B35</f>
        <v>590029330</v>
      </c>
      <c r="B35" s="5" t="str">
        <f>'Mid Sem'!A35</f>
        <v>Aadarshi Bisht</v>
      </c>
    </row>
    <row r="36" spans="1:2" x14ac:dyDescent="0.25">
      <c r="A36" s="5">
        <f>'Mid Sem'!B36</f>
        <v>590027630</v>
      </c>
      <c r="B36" s="5" t="str">
        <f>'Mid Sem'!A36</f>
        <v>Aarush Prasad</v>
      </c>
    </row>
    <row r="37" spans="1:2" x14ac:dyDescent="0.25">
      <c r="A37" s="5">
        <f>'Mid Sem'!B37</f>
        <v>590029219</v>
      </c>
      <c r="B37" s="5" t="str">
        <f>'Mid Sem'!A37</f>
        <v>Aditya Mishra</v>
      </c>
    </row>
    <row r="38" spans="1:2" x14ac:dyDescent="0.25">
      <c r="A38" s="5">
        <f>'Mid Sem'!B38</f>
        <v>590028933</v>
      </c>
      <c r="B38" s="5" t="str">
        <f>'Mid Sem'!A38</f>
        <v>Aman Barnwal</v>
      </c>
    </row>
    <row r="39" spans="1:2" x14ac:dyDescent="0.25">
      <c r="A39" s="5">
        <f>'Mid Sem'!B39</f>
        <v>590027859</v>
      </c>
      <c r="B39" s="5" t="str">
        <f>'Mid Sem'!A39</f>
        <v>Ashutosh Shrivastava</v>
      </c>
    </row>
    <row r="40" spans="1:2" x14ac:dyDescent="0.25">
      <c r="A40" s="5">
        <f>'Mid Sem'!B40</f>
        <v>590028682</v>
      </c>
      <c r="B40" s="5" t="str">
        <f>'Mid Sem'!A40</f>
        <v>Ayan Pande</v>
      </c>
    </row>
    <row r="41" spans="1:2" x14ac:dyDescent="0.25">
      <c r="A41" s="5">
        <f>'Mid Sem'!B41</f>
        <v>590023917</v>
      </c>
      <c r="B41" s="5" t="str">
        <f>'Mid Sem'!A41</f>
        <v>Ayush Pratap Singh</v>
      </c>
    </row>
    <row r="42" spans="1:2" x14ac:dyDescent="0.25">
      <c r="A42" s="5">
        <f>'Mid Sem'!B42</f>
        <v>590023785</v>
      </c>
      <c r="B42" s="5" t="str">
        <f>'Mid Sem'!A42</f>
        <v>Gayatri Bhatt</v>
      </c>
    </row>
    <row r="43" spans="1:2" x14ac:dyDescent="0.25">
      <c r="A43" s="5">
        <f>'Mid Sem'!B43</f>
        <v>590029264</v>
      </c>
      <c r="B43" s="5" t="str">
        <f>'Mid Sem'!A43</f>
        <v>Harsh Mudgal</v>
      </c>
    </row>
    <row r="44" spans="1:2" x14ac:dyDescent="0.25">
      <c r="A44" s="5">
        <f>'Mid Sem'!B44</f>
        <v>590029042</v>
      </c>
      <c r="B44" s="5" t="str">
        <f>'Mid Sem'!A44</f>
        <v>Kanan Nidhania</v>
      </c>
    </row>
    <row r="45" spans="1:2" x14ac:dyDescent="0.25">
      <c r="A45" s="5">
        <f>'Mid Sem'!B45</f>
        <v>590029336</v>
      </c>
      <c r="B45" s="5" t="str">
        <f>'Mid Sem'!A45</f>
        <v>Kanishka Diwakar</v>
      </c>
    </row>
    <row r="46" spans="1:2" x14ac:dyDescent="0.25">
      <c r="A46" s="5">
        <f>'Mid Sem'!B46</f>
        <v>590029233</v>
      </c>
      <c r="B46" s="5" t="str">
        <f>'Mid Sem'!A46</f>
        <v>Keshav Chahda</v>
      </c>
    </row>
    <row r="47" spans="1:2" x14ac:dyDescent="0.25">
      <c r="A47" s="5">
        <f>'Mid Sem'!B47</f>
        <v>590029328</v>
      </c>
      <c r="B47" s="5" t="str">
        <f>'Mid Sem'!A47</f>
        <v>Lakshay Dhanda</v>
      </c>
    </row>
    <row r="48" spans="1:2" x14ac:dyDescent="0.25">
      <c r="A48" s="5">
        <f>'Mid Sem'!B48</f>
        <v>590028608</v>
      </c>
      <c r="B48" s="5" t="str">
        <f>'Mid Sem'!A48</f>
        <v>Lakshya Singh</v>
      </c>
    </row>
    <row r="49" spans="1:2" x14ac:dyDescent="0.25">
      <c r="A49" s="5">
        <f>'Mid Sem'!B49</f>
        <v>590028605</v>
      </c>
      <c r="B49" s="5" t="str">
        <f>'Mid Sem'!A49</f>
        <v>Mayank Chand Ramola</v>
      </c>
    </row>
    <row r="50" spans="1:2" x14ac:dyDescent="0.25">
      <c r="A50" s="5">
        <f>'Mid Sem'!B50</f>
        <v>590026626</v>
      </c>
      <c r="B50" s="5" t="str">
        <f>'Mid Sem'!A50</f>
        <v>Mukesh Patel</v>
      </c>
    </row>
    <row r="51" spans="1:2" x14ac:dyDescent="0.25">
      <c r="A51" s="5">
        <f>'Mid Sem'!B51</f>
        <v>590029310</v>
      </c>
      <c r="B51" s="5" t="str">
        <f>'Mid Sem'!A51</f>
        <v>Nipun Singh</v>
      </c>
    </row>
    <row r="52" spans="1:2" x14ac:dyDescent="0.25">
      <c r="A52" s="5">
        <f>'Mid Sem'!B52</f>
        <v>590029319</v>
      </c>
      <c r="B52" s="5" t="str">
        <f>'Mid Sem'!A52</f>
        <v>Paras Bhall</v>
      </c>
    </row>
    <row r="53" spans="1:2" x14ac:dyDescent="0.25">
      <c r="A53" s="5">
        <f>'Mid Sem'!B53</f>
        <v>590029339</v>
      </c>
      <c r="B53" s="5" t="str">
        <f>'Mid Sem'!A53</f>
        <v>Raghav Kumar Goyal</v>
      </c>
    </row>
    <row r="54" spans="1:2" x14ac:dyDescent="0.25">
      <c r="A54" s="5">
        <f>'Mid Sem'!B54</f>
        <v>590029148</v>
      </c>
      <c r="B54" s="5" t="str">
        <f>'Mid Sem'!A54</f>
        <v>Rahul</v>
      </c>
    </row>
    <row r="55" spans="1:2" x14ac:dyDescent="0.25">
      <c r="A55" s="5">
        <f>'Mid Sem'!B55</f>
        <v>590029309</v>
      </c>
      <c r="B55" s="5" t="str">
        <f>'Mid Sem'!A55</f>
        <v>Rahul Singh</v>
      </c>
    </row>
    <row r="56" spans="1:2" x14ac:dyDescent="0.25">
      <c r="A56" s="5">
        <f>'Mid Sem'!B56</f>
        <v>590028838</v>
      </c>
      <c r="B56" s="5" t="str">
        <f>'Mid Sem'!A56</f>
        <v>Satyam Singh</v>
      </c>
    </row>
    <row r="57" spans="1:2" x14ac:dyDescent="0.25">
      <c r="A57" s="5">
        <f>'Mid Sem'!B57</f>
        <v>590029107</v>
      </c>
      <c r="B57" s="5" t="str">
        <f>'Mid Sem'!A57</f>
        <v>Shashwat Agrawal</v>
      </c>
    </row>
    <row r="58" spans="1:2" x14ac:dyDescent="0.25">
      <c r="A58" s="5">
        <f>'Mid Sem'!B58</f>
        <v>590029266</v>
      </c>
      <c r="B58" s="5" t="str">
        <f>'Mid Sem'!A58</f>
        <v>Siddhant Gurung</v>
      </c>
    </row>
    <row r="59" spans="1:2" x14ac:dyDescent="0.25">
      <c r="A59" s="5">
        <f>'Mid Sem'!B59</f>
        <v>590029354</v>
      </c>
      <c r="B59" s="5" t="str">
        <f>'Mid Sem'!A59</f>
        <v>Simarjot Kaur Gill</v>
      </c>
    </row>
    <row r="60" spans="1:2" x14ac:dyDescent="0.25">
      <c r="A60" s="5">
        <f>'Mid Sem'!B60</f>
        <v>590029349</v>
      </c>
      <c r="B60" s="5" t="str">
        <f>'Mid Sem'!A60</f>
        <v>Tanishq Bansal</v>
      </c>
    </row>
    <row r="61" spans="1:2" x14ac:dyDescent="0.25">
      <c r="A61" s="5">
        <f>'Mid Sem'!B61</f>
        <v>590029302</v>
      </c>
      <c r="B61" s="5" t="str">
        <f>'Mid Sem'!A61</f>
        <v>Tanmay Amit Verma</v>
      </c>
    </row>
    <row r="62" spans="1:2" x14ac:dyDescent="0.25">
      <c r="A62" s="5">
        <f>'Mid Sem'!B62</f>
        <v>590029262</v>
      </c>
      <c r="B62" s="5" t="str">
        <f>'Mid Sem'!A62</f>
        <v>Vandana Yadav</v>
      </c>
    </row>
    <row r="63" spans="1:2" x14ac:dyDescent="0.25">
      <c r="A63" s="5">
        <f>'Mid Sem'!B63</f>
        <v>590029285</v>
      </c>
      <c r="B63" s="5" t="str">
        <f>'Mid Sem'!A63</f>
        <v>Vidit Ahuja</v>
      </c>
    </row>
    <row r="64" spans="1:2" x14ac:dyDescent="0.25">
      <c r="A64" s="5">
        <f>'Mid Sem'!B64</f>
        <v>590029353</v>
      </c>
      <c r="B64" s="5" t="str">
        <f>'Mid Sem'!A64</f>
        <v>Vinit Kumar</v>
      </c>
    </row>
    <row r="65" spans="1:2" x14ac:dyDescent="0.25">
      <c r="A65" s="5">
        <f>'Mid Sem'!B65</f>
        <v>0</v>
      </c>
      <c r="B65" s="5">
        <f>'Mid Sem'!A65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T65"/>
  <sheetViews>
    <sheetView workbookViewId="0">
      <selection activeCell="B65" sqref="A65:B65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10.85546875" customWidth="1"/>
  </cols>
  <sheetData>
    <row r="1" spans="1:20" ht="24.75" x14ac:dyDescent="0.4">
      <c r="A1" s="47" t="s">
        <v>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20" ht="24.75" x14ac:dyDescent="0.4">
      <c r="A2" s="47" t="str">
        <f>Marksheet!A2</f>
        <v xml:space="preserve">Computatioal Astrophysics (PHYS 8202)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20" x14ac:dyDescent="0.25">
      <c r="A3" s="2"/>
      <c r="B3" s="2"/>
      <c r="C3" s="3" t="s">
        <v>136</v>
      </c>
      <c r="D3" s="3" t="s">
        <v>136</v>
      </c>
      <c r="E3" s="3" t="s">
        <v>136</v>
      </c>
      <c r="F3" s="3" t="s">
        <v>136</v>
      </c>
      <c r="G3" s="3" t="s">
        <v>136</v>
      </c>
      <c r="H3" s="3" t="s">
        <v>137</v>
      </c>
      <c r="I3" s="3" t="s">
        <v>137</v>
      </c>
      <c r="J3" s="3" t="s">
        <v>137</v>
      </c>
      <c r="K3" s="3" t="s">
        <v>137</v>
      </c>
      <c r="L3" s="3" t="s">
        <v>137</v>
      </c>
      <c r="M3" s="3"/>
      <c r="N3" s="2"/>
      <c r="O3" s="2"/>
      <c r="R3" s="3" t="s">
        <v>136</v>
      </c>
      <c r="S3" s="3" t="s">
        <v>137</v>
      </c>
    </row>
    <row r="4" spans="1:20" x14ac:dyDescent="0.2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/>
      <c r="N4" s="4" t="s">
        <v>12</v>
      </c>
      <c r="O4" s="4" t="s">
        <v>13</v>
      </c>
      <c r="R4" s="4"/>
      <c r="S4" s="4"/>
      <c r="T4" s="4" t="s">
        <v>12</v>
      </c>
    </row>
    <row r="5" spans="1:20" x14ac:dyDescent="0.25">
      <c r="A5" s="6"/>
      <c r="B5" s="6" t="s">
        <v>16</v>
      </c>
      <c r="C5" s="6">
        <v>20</v>
      </c>
      <c r="D5" s="6">
        <v>20</v>
      </c>
      <c r="E5" s="6">
        <v>20</v>
      </c>
      <c r="F5" s="6">
        <v>20</v>
      </c>
      <c r="G5" s="6">
        <v>15</v>
      </c>
      <c r="H5" s="6">
        <v>20</v>
      </c>
      <c r="I5" s="6">
        <v>15</v>
      </c>
      <c r="J5" s="6">
        <v>5</v>
      </c>
      <c r="K5" s="6">
        <v>10</v>
      </c>
      <c r="L5" s="6">
        <v>5</v>
      </c>
      <c r="M5" s="6"/>
      <c r="N5" s="6">
        <f>SUM(C5:L5)</f>
        <v>150</v>
      </c>
      <c r="O5" s="6"/>
      <c r="R5" s="6">
        <f>SUM(C5:G5)</f>
        <v>95</v>
      </c>
      <c r="S5" s="6">
        <f>SUM(H5:L5)</f>
        <v>55</v>
      </c>
      <c r="T5" s="6">
        <f>SUM(R5:S5)</f>
        <v>150</v>
      </c>
    </row>
    <row r="6" spans="1:20" x14ac:dyDescent="0.2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R6" s="2"/>
      <c r="S6" s="2"/>
      <c r="T6" s="2"/>
    </row>
    <row r="7" spans="1:20" x14ac:dyDescent="0.2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2"/>
      <c r="S7" s="2"/>
      <c r="T7" s="2"/>
    </row>
    <row r="8" spans="1:20" x14ac:dyDescent="0.2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R8" s="2"/>
      <c r="S8" s="2"/>
      <c r="T8" s="2"/>
    </row>
    <row r="9" spans="1:20" x14ac:dyDescent="0.2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R9" s="2"/>
      <c r="S9" s="2"/>
      <c r="T9" s="2"/>
    </row>
    <row r="10" spans="1:20" x14ac:dyDescent="0.2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R10" s="2"/>
      <c r="S10" s="2"/>
      <c r="T10" s="2"/>
    </row>
    <row r="11" spans="1:20" x14ac:dyDescent="0.2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R11" s="2"/>
      <c r="S11" s="2"/>
      <c r="T11" s="2"/>
    </row>
    <row r="12" spans="1:20" x14ac:dyDescent="0.2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R12" s="2"/>
      <c r="S12" s="2"/>
      <c r="T12" s="2"/>
    </row>
    <row r="13" spans="1:20" x14ac:dyDescent="0.2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R13" s="2"/>
      <c r="S13" s="2"/>
      <c r="T13" s="2"/>
    </row>
    <row r="14" spans="1:20" x14ac:dyDescent="0.2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R14" s="2"/>
      <c r="S14" s="2"/>
      <c r="T14" s="2"/>
    </row>
    <row r="15" spans="1:20" x14ac:dyDescent="0.2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R15" s="2"/>
      <c r="S15" s="2"/>
      <c r="T15" s="2"/>
    </row>
    <row r="16" spans="1:20" x14ac:dyDescent="0.2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R16" s="2"/>
      <c r="S16" s="2"/>
      <c r="T16" s="2"/>
    </row>
    <row r="17" spans="1:20" x14ac:dyDescent="0.2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R17" s="2"/>
      <c r="S17" s="2"/>
      <c r="T17" s="2"/>
    </row>
    <row r="18" spans="1:20" x14ac:dyDescent="0.2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R18" s="2"/>
      <c r="S18" s="2"/>
      <c r="T18" s="2"/>
    </row>
    <row r="19" spans="1:20" x14ac:dyDescent="0.2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R19" s="2"/>
      <c r="S19" s="2"/>
      <c r="T19" s="2"/>
    </row>
    <row r="20" spans="1:20" x14ac:dyDescent="0.2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R20" s="2"/>
      <c r="S20" s="2"/>
      <c r="T20" s="2"/>
    </row>
    <row r="21" spans="1:20" x14ac:dyDescent="0.2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R21" s="2"/>
      <c r="S21" s="2"/>
      <c r="T21" s="2"/>
    </row>
    <row r="22" spans="1:20" x14ac:dyDescent="0.25">
      <c r="A22" s="5">
        <f>'Mid Sem'!B22</f>
        <v>590029079</v>
      </c>
      <c r="B22" s="5" t="str">
        <f>'Mid Sem'!A22</f>
        <v>Radhe Patel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R22" s="2"/>
      <c r="S22" s="2"/>
      <c r="T22" s="2"/>
    </row>
    <row r="23" spans="1:20" x14ac:dyDescent="0.25">
      <c r="A23" s="5">
        <f>'Mid Sem'!B23</f>
        <v>590029145</v>
      </c>
      <c r="B23" s="5" t="str">
        <f>'Mid Sem'!A23</f>
        <v>Rishika Purushotham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R23" s="2"/>
      <c r="S23" s="2"/>
      <c r="T23" s="2"/>
    </row>
    <row r="24" spans="1:20" x14ac:dyDescent="0.25">
      <c r="A24" s="5">
        <f>'Mid Sem'!B24</f>
        <v>590029209</v>
      </c>
      <c r="B24" s="5" t="str">
        <f>'Mid Sem'!A24</f>
        <v>Rishiv Kumar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R24" s="2"/>
      <c r="S24" s="2"/>
      <c r="T24" s="2"/>
    </row>
    <row r="25" spans="1:20" x14ac:dyDescent="0.25">
      <c r="A25" s="5">
        <f>'Mid Sem'!B25</f>
        <v>590027268</v>
      </c>
      <c r="B25" s="5" t="str">
        <f>'Mid Sem'!A25</f>
        <v>Sankalp Sunil Ronge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R25" s="2"/>
      <c r="S25" s="2"/>
      <c r="T25" s="2"/>
    </row>
    <row r="26" spans="1:20" x14ac:dyDescent="0.25">
      <c r="A26" s="5">
        <f>'Mid Sem'!B26</f>
        <v>590029227</v>
      </c>
      <c r="B26" s="5" t="str">
        <f>'Mid Sem'!A26</f>
        <v>Sartaj Singh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R26" s="2"/>
      <c r="S26" s="2"/>
      <c r="T26" s="2"/>
    </row>
    <row r="27" spans="1:20" x14ac:dyDescent="0.25">
      <c r="A27" s="5">
        <f>'Mid Sem'!B27</f>
        <v>590029241</v>
      </c>
      <c r="B27" s="5" t="str">
        <f>'Mid Sem'!A27</f>
        <v>Satakshi Gupta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R27" s="2"/>
      <c r="S27" s="2"/>
      <c r="T27" s="2"/>
    </row>
    <row r="28" spans="1:20" x14ac:dyDescent="0.25">
      <c r="A28" s="5">
        <f>'Mid Sem'!B28</f>
        <v>590023855</v>
      </c>
      <c r="B28" s="5" t="str">
        <f>'Mid Sem'!A28</f>
        <v>Shaswat Shantanu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R28" s="2"/>
      <c r="S28" s="2"/>
      <c r="T28" s="2"/>
    </row>
    <row r="29" spans="1:20" x14ac:dyDescent="0.25">
      <c r="A29" s="5">
        <f>'Mid Sem'!B29</f>
        <v>590029215</v>
      </c>
      <c r="B29" s="5" t="str">
        <f>'Mid Sem'!A29</f>
        <v>Siddhant Rai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R29" s="2"/>
      <c r="S29" s="2"/>
      <c r="T29" s="2"/>
    </row>
    <row r="30" spans="1:20" x14ac:dyDescent="0.25">
      <c r="A30" s="5">
        <f>'Mid Sem'!B30</f>
        <v>590029111</v>
      </c>
      <c r="B30" s="5" t="str">
        <f>'Mid Sem'!A30</f>
        <v>Sidhaant Singh Jyrwa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R30" s="2"/>
      <c r="S30" s="2"/>
      <c r="T30" s="2"/>
    </row>
    <row r="31" spans="1:20" x14ac:dyDescent="0.25">
      <c r="A31" s="5">
        <f>'Mid Sem'!B31</f>
        <v>590028683</v>
      </c>
      <c r="B31" s="5" t="str">
        <f>'Mid Sem'!A31</f>
        <v>Subrat Singh Jadaun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R31" s="2"/>
      <c r="S31" s="2"/>
      <c r="T31" s="2"/>
    </row>
    <row r="32" spans="1:20" x14ac:dyDescent="0.25">
      <c r="A32" s="5">
        <f>'Mid Sem'!B32</f>
        <v>590029121</v>
      </c>
      <c r="B32" s="5" t="str">
        <f>'Mid Sem'!A32</f>
        <v>Tushita Sharma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R32" s="2"/>
      <c r="S32" s="2"/>
      <c r="T32" s="2"/>
    </row>
    <row r="33" spans="1:20" x14ac:dyDescent="0.25">
      <c r="A33" s="5">
        <f>'Mid Sem'!B33</f>
        <v>590029048</v>
      </c>
      <c r="B33" s="5" t="str">
        <f>'Mid Sem'!A33</f>
        <v>Vaishnavi Kumari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R33" s="2"/>
      <c r="S33" s="2"/>
      <c r="T33" s="2"/>
    </row>
    <row r="34" spans="1:20" x14ac:dyDescent="0.25">
      <c r="A34" s="5">
        <f>'Mid Sem'!B34</f>
        <v>590029184</v>
      </c>
      <c r="B34" s="5" t="str">
        <f>'Mid Sem'!A34</f>
        <v>Vivek Chauhan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R34" s="2"/>
      <c r="S34" s="2"/>
      <c r="T34" s="2"/>
    </row>
    <row r="35" spans="1:20" x14ac:dyDescent="0.25">
      <c r="A35" s="5">
        <f>'Mid Sem'!B35</f>
        <v>590029330</v>
      </c>
      <c r="B35" s="5" t="str">
        <f>'Mid Sem'!A35</f>
        <v>Aadarshi Bisht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R35" s="2"/>
      <c r="S35" s="2"/>
      <c r="T35" s="2"/>
    </row>
    <row r="36" spans="1:20" x14ac:dyDescent="0.25">
      <c r="A36" s="5">
        <f>'Mid Sem'!B36</f>
        <v>590027630</v>
      </c>
      <c r="B36" s="5" t="str">
        <f>'Mid Sem'!A36</f>
        <v>Aarush Prasad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R36" s="2"/>
      <c r="S36" s="2"/>
      <c r="T36" s="2"/>
    </row>
    <row r="37" spans="1:20" x14ac:dyDescent="0.25">
      <c r="A37" s="5">
        <f>'Mid Sem'!B37</f>
        <v>590029219</v>
      </c>
      <c r="B37" s="5" t="str">
        <f>'Mid Sem'!A37</f>
        <v>Aditya Mishra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R37" s="2"/>
      <c r="S37" s="2"/>
      <c r="T37" s="2"/>
    </row>
    <row r="38" spans="1:20" x14ac:dyDescent="0.25">
      <c r="A38" s="5">
        <f>'Mid Sem'!B38</f>
        <v>590028933</v>
      </c>
      <c r="B38" s="5" t="str">
        <f>'Mid Sem'!A38</f>
        <v>Aman Barnwal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R38" s="2"/>
      <c r="S38" s="2"/>
      <c r="T38" s="2"/>
    </row>
    <row r="39" spans="1:20" x14ac:dyDescent="0.25">
      <c r="A39" s="5">
        <f>'Mid Sem'!B39</f>
        <v>590027859</v>
      </c>
      <c r="B39" s="5" t="str">
        <f>'Mid Sem'!A39</f>
        <v>Ashutosh Shrivastava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R39" s="2"/>
      <c r="S39" s="2"/>
      <c r="T39" s="2"/>
    </row>
    <row r="40" spans="1:20" x14ac:dyDescent="0.25">
      <c r="A40" s="5">
        <f>'Mid Sem'!B40</f>
        <v>590028682</v>
      </c>
      <c r="B40" s="5" t="str">
        <f>'Mid Sem'!A40</f>
        <v>Ayan Pande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R40" s="2"/>
      <c r="S40" s="2"/>
      <c r="T40" s="2"/>
    </row>
    <row r="41" spans="1:20" x14ac:dyDescent="0.25">
      <c r="A41" s="5">
        <f>'Mid Sem'!B41</f>
        <v>590023917</v>
      </c>
      <c r="B41" s="5" t="str">
        <f>'Mid Sem'!A41</f>
        <v>Ayush Pratap Singh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R41" s="2"/>
      <c r="S41" s="2"/>
      <c r="T41" s="2"/>
    </row>
    <row r="42" spans="1:20" x14ac:dyDescent="0.25">
      <c r="A42" s="5">
        <f>'Mid Sem'!B42</f>
        <v>590023785</v>
      </c>
      <c r="B42" s="5" t="str">
        <f>'Mid Sem'!A42</f>
        <v>Gayatri Bhatt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R42" s="2"/>
      <c r="S42" s="2"/>
      <c r="T42" s="2"/>
    </row>
    <row r="43" spans="1:20" x14ac:dyDescent="0.25">
      <c r="A43" s="5">
        <f>'Mid Sem'!B43</f>
        <v>590029264</v>
      </c>
      <c r="B43" s="5" t="str">
        <f>'Mid Sem'!A43</f>
        <v>Harsh Mudgal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R43" s="2"/>
      <c r="S43" s="2"/>
      <c r="T43" s="2"/>
    </row>
    <row r="44" spans="1:20" x14ac:dyDescent="0.25">
      <c r="A44" s="5">
        <f>'Mid Sem'!B44</f>
        <v>590029042</v>
      </c>
      <c r="B44" s="5" t="str">
        <f>'Mid Sem'!A44</f>
        <v>Kanan Nidhania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R44" s="2"/>
      <c r="S44" s="2"/>
      <c r="T44" s="2"/>
    </row>
    <row r="45" spans="1:20" x14ac:dyDescent="0.25">
      <c r="A45" s="5">
        <f>'Mid Sem'!B45</f>
        <v>590029336</v>
      </c>
      <c r="B45" s="5" t="str">
        <f>'Mid Sem'!A45</f>
        <v>Kanishka Diwakar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R45" s="2"/>
      <c r="S45" s="2"/>
      <c r="T45" s="2"/>
    </row>
    <row r="46" spans="1:20" x14ac:dyDescent="0.25">
      <c r="A46" s="5">
        <f>'Mid Sem'!B46</f>
        <v>590029233</v>
      </c>
      <c r="B46" s="5" t="str">
        <f>'Mid Sem'!A46</f>
        <v>Keshav Chahda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R46" s="2"/>
      <c r="S46" s="2"/>
      <c r="T46" s="2"/>
    </row>
    <row r="47" spans="1:20" x14ac:dyDescent="0.25">
      <c r="A47" s="5">
        <f>'Mid Sem'!B47</f>
        <v>590029328</v>
      </c>
      <c r="B47" s="5" t="str">
        <f>'Mid Sem'!A47</f>
        <v>Lakshay Dhanda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R47" s="2"/>
      <c r="S47" s="2"/>
      <c r="T47" s="2"/>
    </row>
    <row r="48" spans="1:20" x14ac:dyDescent="0.25">
      <c r="A48" s="5">
        <f>'Mid Sem'!B48</f>
        <v>590028608</v>
      </c>
      <c r="B48" s="5" t="str">
        <f>'Mid Sem'!A48</f>
        <v>Lakshya Singh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R48" s="2"/>
      <c r="S48" s="2"/>
      <c r="T48" s="2"/>
    </row>
    <row r="49" spans="1:20" x14ac:dyDescent="0.25">
      <c r="A49" s="5">
        <f>'Mid Sem'!B49</f>
        <v>590028605</v>
      </c>
      <c r="B49" s="5" t="str">
        <f>'Mid Sem'!A49</f>
        <v>Mayank Chand Ramola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R49" s="2"/>
      <c r="S49" s="2"/>
      <c r="T49" s="2"/>
    </row>
    <row r="50" spans="1:20" x14ac:dyDescent="0.25">
      <c r="A50" s="5">
        <f>'Mid Sem'!B50</f>
        <v>590026626</v>
      </c>
      <c r="B50" s="5" t="str">
        <f>'Mid Sem'!A50</f>
        <v>Mukesh Patel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R50" s="2"/>
      <c r="S50" s="2"/>
      <c r="T50" s="2"/>
    </row>
    <row r="51" spans="1:20" x14ac:dyDescent="0.25">
      <c r="A51" s="5">
        <f>'Mid Sem'!B51</f>
        <v>590029310</v>
      </c>
      <c r="B51" s="5" t="str">
        <f>'Mid Sem'!A51</f>
        <v>Nipun Singh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R51" s="2"/>
      <c r="S51" s="2"/>
      <c r="T51" s="2"/>
    </row>
    <row r="52" spans="1:20" x14ac:dyDescent="0.25">
      <c r="A52" s="5">
        <f>'Mid Sem'!B52</f>
        <v>590029319</v>
      </c>
      <c r="B52" s="5" t="str">
        <f>'Mid Sem'!A52</f>
        <v>Paras Bhall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R52" s="2"/>
      <c r="S52" s="2"/>
      <c r="T52" s="2"/>
    </row>
    <row r="53" spans="1:20" x14ac:dyDescent="0.25">
      <c r="A53" s="5">
        <f>'Mid Sem'!B53</f>
        <v>590029339</v>
      </c>
      <c r="B53" s="5" t="str">
        <f>'Mid Sem'!A53</f>
        <v>Raghav Kumar Goyal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R53" s="2"/>
      <c r="S53" s="2"/>
      <c r="T53" s="2"/>
    </row>
    <row r="54" spans="1:20" x14ac:dyDescent="0.25">
      <c r="A54" s="5">
        <f>'Mid Sem'!B54</f>
        <v>590029148</v>
      </c>
      <c r="B54" s="5" t="str">
        <f>'Mid Sem'!A54</f>
        <v>Rahul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R54" s="2"/>
      <c r="S54" s="2"/>
      <c r="T54" s="2"/>
    </row>
    <row r="55" spans="1:20" x14ac:dyDescent="0.25">
      <c r="A55" s="5">
        <f>'Mid Sem'!B55</f>
        <v>590029309</v>
      </c>
      <c r="B55" s="5" t="str">
        <f>'Mid Sem'!A55</f>
        <v>Rahul Singh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R55" s="2"/>
      <c r="S55" s="2"/>
      <c r="T55" s="2"/>
    </row>
    <row r="56" spans="1:20" x14ac:dyDescent="0.25">
      <c r="A56" s="5">
        <f>'Mid Sem'!B56</f>
        <v>590028838</v>
      </c>
      <c r="B56" s="5" t="str">
        <f>'Mid Sem'!A56</f>
        <v>Satyam Singh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R56" s="2"/>
      <c r="S56" s="2"/>
      <c r="T56" s="2"/>
    </row>
    <row r="57" spans="1:20" x14ac:dyDescent="0.25">
      <c r="A57" s="5">
        <f>'Mid Sem'!B57</f>
        <v>590029107</v>
      </c>
      <c r="B57" s="5" t="str">
        <f>'Mid Sem'!A57</f>
        <v>Shashwat Agrawal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R57" s="2"/>
      <c r="S57" s="2"/>
      <c r="T57" s="2"/>
    </row>
    <row r="58" spans="1:20" x14ac:dyDescent="0.25">
      <c r="A58" s="5">
        <f>'Mid Sem'!B58</f>
        <v>590029266</v>
      </c>
      <c r="B58" s="5" t="str">
        <f>'Mid Sem'!A58</f>
        <v>Siddhant Gurung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R58" s="2"/>
      <c r="S58" s="2"/>
      <c r="T58" s="2"/>
    </row>
    <row r="59" spans="1:20" x14ac:dyDescent="0.25">
      <c r="A59" s="5">
        <f>'Mid Sem'!B59</f>
        <v>590029354</v>
      </c>
      <c r="B59" s="5" t="str">
        <f>'Mid Sem'!A59</f>
        <v>Simarjot Kaur Gill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R59" s="2"/>
      <c r="S59" s="2"/>
      <c r="T59" s="2"/>
    </row>
    <row r="60" spans="1:20" x14ac:dyDescent="0.25">
      <c r="A60" s="5">
        <f>'Mid Sem'!B60</f>
        <v>590029349</v>
      </c>
      <c r="B60" s="5" t="str">
        <f>'Mid Sem'!A60</f>
        <v>Tanishq Bansal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R60" s="2"/>
      <c r="S60" s="2"/>
      <c r="T60" s="2"/>
    </row>
    <row r="61" spans="1:20" x14ac:dyDescent="0.25">
      <c r="A61" s="5">
        <f>'Mid Sem'!B61</f>
        <v>590029302</v>
      </c>
      <c r="B61" s="5" t="str">
        <f>'Mid Sem'!A61</f>
        <v>Tanmay Amit Verma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R61" s="2"/>
      <c r="S61" s="2"/>
      <c r="T61" s="2"/>
    </row>
    <row r="62" spans="1:20" x14ac:dyDescent="0.25">
      <c r="A62" s="5">
        <f>'Mid Sem'!B62</f>
        <v>590029262</v>
      </c>
      <c r="B62" s="5" t="str">
        <f>'Mid Sem'!A62</f>
        <v>Vandana Yadav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R62" s="2"/>
      <c r="S62" s="2"/>
      <c r="T62" s="2"/>
    </row>
    <row r="63" spans="1:20" x14ac:dyDescent="0.25">
      <c r="A63" s="5">
        <f>'Mid Sem'!B63</f>
        <v>590029285</v>
      </c>
      <c r="B63" s="5" t="str">
        <f>'Mid Sem'!A63</f>
        <v>Vidit Ahuja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R63" s="2"/>
      <c r="S63" s="2"/>
      <c r="T63" s="2"/>
    </row>
    <row r="64" spans="1:20" x14ac:dyDescent="0.25">
      <c r="A64" s="5">
        <f>'Mid Sem'!B64</f>
        <v>590029353</v>
      </c>
      <c r="B64" s="5" t="str">
        <f>'Mid Sem'!A64</f>
        <v>Vinit Kumar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R64" s="2"/>
      <c r="S64" s="2"/>
      <c r="T64" s="2"/>
    </row>
    <row r="65" spans="1:20" x14ac:dyDescent="0.25">
      <c r="A65" s="5"/>
      <c r="B65" s="5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R65" s="2"/>
      <c r="S65" s="2"/>
      <c r="T65" s="2"/>
    </row>
  </sheetData>
  <mergeCells count="2">
    <mergeCell ref="A1:O1"/>
    <mergeCell ref="A2:O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66"/>
  <sheetViews>
    <sheetView workbookViewId="0">
      <selection activeCell="N6" sqref="N6:N20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7" t="s">
        <v>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Computatioal Astrophysics (PHYS 8202)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2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 x14ac:dyDescent="0.2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 x14ac:dyDescent="0.25">
      <c r="A5" s="6"/>
      <c r="B5" s="6" t="s">
        <v>16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5">
        <f>'Mid Sem'!B22</f>
        <v>590029079</v>
      </c>
      <c r="B22" s="5" t="str">
        <f>'Mid Sem'!A22</f>
        <v>Radhe Patel</v>
      </c>
    </row>
    <row r="23" spans="1:15" x14ac:dyDescent="0.25">
      <c r="A23" s="5">
        <f>'Mid Sem'!B23</f>
        <v>590029145</v>
      </c>
      <c r="B23" s="5" t="str">
        <f>'Mid Sem'!A23</f>
        <v>Rishika Purushotham</v>
      </c>
    </row>
    <row r="24" spans="1:15" x14ac:dyDescent="0.25">
      <c r="A24" s="5">
        <f>'Mid Sem'!B24</f>
        <v>590029209</v>
      </c>
      <c r="B24" s="5" t="str">
        <f>'Mid Sem'!A24</f>
        <v>Rishiv Kumar</v>
      </c>
    </row>
    <row r="25" spans="1:15" x14ac:dyDescent="0.25">
      <c r="A25" s="5">
        <f>'Mid Sem'!B25</f>
        <v>590027268</v>
      </c>
      <c r="B25" s="5" t="str">
        <f>'Mid Sem'!A25</f>
        <v>Sankalp Sunil Ronge</v>
      </c>
    </row>
    <row r="26" spans="1:15" x14ac:dyDescent="0.25">
      <c r="A26" s="5">
        <f>'Mid Sem'!B26</f>
        <v>590029227</v>
      </c>
      <c r="B26" s="5" t="str">
        <f>'Mid Sem'!A26</f>
        <v>Sartaj Singh</v>
      </c>
    </row>
    <row r="27" spans="1:15" x14ac:dyDescent="0.25">
      <c r="A27" s="5">
        <f>'Mid Sem'!B27</f>
        <v>590029241</v>
      </c>
      <c r="B27" s="5" t="str">
        <f>'Mid Sem'!A27</f>
        <v>Satakshi Gupta</v>
      </c>
    </row>
    <row r="28" spans="1:15" x14ac:dyDescent="0.25">
      <c r="A28" s="5">
        <f>'Mid Sem'!B28</f>
        <v>590023855</v>
      </c>
      <c r="B28" s="5" t="str">
        <f>'Mid Sem'!A28</f>
        <v>Shaswat Shantanu</v>
      </c>
    </row>
    <row r="29" spans="1:15" x14ac:dyDescent="0.25">
      <c r="A29" s="5">
        <f>'Mid Sem'!B29</f>
        <v>590029215</v>
      </c>
      <c r="B29" s="5" t="str">
        <f>'Mid Sem'!A29</f>
        <v>Siddhant Rai</v>
      </c>
    </row>
    <row r="30" spans="1:15" x14ac:dyDescent="0.25">
      <c r="A30" s="5">
        <f>'Mid Sem'!B30</f>
        <v>590029111</v>
      </c>
      <c r="B30" s="5" t="str">
        <f>'Mid Sem'!A30</f>
        <v>Sidhaant Singh Jyrwa</v>
      </c>
    </row>
    <row r="31" spans="1:15" x14ac:dyDescent="0.25">
      <c r="A31" s="5">
        <f>'Mid Sem'!B31</f>
        <v>590028683</v>
      </c>
      <c r="B31" s="5" t="str">
        <f>'Mid Sem'!A31</f>
        <v>Subrat Singh Jadaun</v>
      </c>
    </row>
    <row r="32" spans="1:15" x14ac:dyDescent="0.25">
      <c r="A32" s="5">
        <f>'Mid Sem'!B32</f>
        <v>590029121</v>
      </c>
      <c r="B32" s="5" t="str">
        <f>'Mid Sem'!A32</f>
        <v>Tushita Sharma</v>
      </c>
    </row>
    <row r="33" spans="1:2" x14ac:dyDescent="0.25">
      <c r="A33" s="5">
        <f>'Mid Sem'!B33</f>
        <v>590029048</v>
      </c>
      <c r="B33" s="5" t="str">
        <f>'Mid Sem'!A33</f>
        <v>Vaishnavi Kumari</v>
      </c>
    </row>
    <row r="34" spans="1:2" x14ac:dyDescent="0.25">
      <c r="A34" s="5">
        <f>'Mid Sem'!B34</f>
        <v>590029184</v>
      </c>
      <c r="B34" s="5" t="str">
        <f>'Mid Sem'!A34</f>
        <v>Vivek Chauhan</v>
      </c>
    </row>
    <row r="35" spans="1:2" x14ac:dyDescent="0.25">
      <c r="A35" s="5">
        <f>'Mid Sem'!B35</f>
        <v>590029330</v>
      </c>
      <c r="B35" s="5" t="str">
        <f>'Mid Sem'!A35</f>
        <v>Aadarshi Bisht</v>
      </c>
    </row>
    <row r="36" spans="1:2" x14ac:dyDescent="0.25">
      <c r="A36" s="5">
        <f>'Mid Sem'!B36</f>
        <v>590027630</v>
      </c>
      <c r="B36" s="5" t="str">
        <f>'Mid Sem'!A36</f>
        <v>Aarush Prasad</v>
      </c>
    </row>
    <row r="37" spans="1:2" x14ac:dyDescent="0.25">
      <c r="A37" s="5">
        <f>'Mid Sem'!B37</f>
        <v>590029219</v>
      </c>
      <c r="B37" s="5" t="str">
        <f>'Mid Sem'!A37</f>
        <v>Aditya Mishra</v>
      </c>
    </row>
    <row r="38" spans="1:2" x14ac:dyDescent="0.25">
      <c r="A38" s="5">
        <f>'Mid Sem'!B38</f>
        <v>590028933</v>
      </c>
      <c r="B38" s="5" t="str">
        <f>'Mid Sem'!A38</f>
        <v>Aman Barnwal</v>
      </c>
    </row>
    <row r="39" spans="1:2" x14ac:dyDescent="0.25">
      <c r="A39" s="5">
        <f>'Mid Sem'!B39</f>
        <v>590027859</v>
      </c>
      <c r="B39" s="5" t="str">
        <f>'Mid Sem'!A39</f>
        <v>Ashutosh Shrivastava</v>
      </c>
    </row>
    <row r="40" spans="1:2" x14ac:dyDescent="0.25">
      <c r="A40" s="5">
        <f>'Mid Sem'!B40</f>
        <v>590028682</v>
      </c>
      <c r="B40" s="5" t="str">
        <f>'Mid Sem'!A40</f>
        <v>Ayan Pande</v>
      </c>
    </row>
    <row r="41" spans="1:2" x14ac:dyDescent="0.25">
      <c r="A41" s="5">
        <f>'Mid Sem'!B41</f>
        <v>590023917</v>
      </c>
      <c r="B41" s="5" t="str">
        <f>'Mid Sem'!A41</f>
        <v>Ayush Pratap Singh</v>
      </c>
    </row>
    <row r="42" spans="1:2" x14ac:dyDescent="0.25">
      <c r="A42" s="5">
        <f>'Mid Sem'!B42</f>
        <v>590023785</v>
      </c>
      <c r="B42" s="5" t="str">
        <f>'Mid Sem'!A42</f>
        <v>Gayatri Bhatt</v>
      </c>
    </row>
    <row r="43" spans="1:2" x14ac:dyDescent="0.25">
      <c r="A43" s="5">
        <f>'Mid Sem'!B43</f>
        <v>590029264</v>
      </c>
      <c r="B43" s="5" t="str">
        <f>'Mid Sem'!A43</f>
        <v>Harsh Mudgal</v>
      </c>
    </row>
    <row r="44" spans="1:2" x14ac:dyDescent="0.25">
      <c r="A44" s="5">
        <f>'Mid Sem'!B44</f>
        <v>590029042</v>
      </c>
      <c r="B44" s="5" t="str">
        <f>'Mid Sem'!A44</f>
        <v>Kanan Nidhania</v>
      </c>
    </row>
    <row r="45" spans="1:2" x14ac:dyDescent="0.25">
      <c r="A45" s="5">
        <f>'Mid Sem'!B45</f>
        <v>590029336</v>
      </c>
      <c r="B45" s="5" t="str">
        <f>'Mid Sem'!A45</f>
        <v>Kanishka Diwakar</v>
      </c>
    </row>
    <row r="46" spans="1:2" x14ac:dyDescent="0.25">
      <c r="A46" s="5">
        <f>'Mid Sem'!B46</f>
        <v>590029233</v>
      </c>
      <c r="B46" s="5" t="str">
        <f>'Mid Sem'!A46</f>
        <v>Keshav Chahda</v>
      </c>
    </row>
    <row r="47" spans="1:2" x14ac:dyDescent="0.25">
      <c r="A47" s="5">
        <f>'Mid Sem'!B47</f>
        <v>590029328</v>
      </c>
      <c r="B47" s="5" t="str">
        <f>'Mid Sem'!A47</f>
        <v>Lakshay Dhanda</v>
      </c>
    </row>
    <row r="48" spans="1:2" x14ac:dyDescent="0.25">
      <c r="A48" s="5">
        <f>'Mid Sem'!B48</f>
        <v>590028608</v>
      </c>
      <c r="B48" s="5" t="str">
        <f>'Mid Sem'!A48</f>
        <v>Lakshya Singh</v>
      </c>
    </row>
    <row r="49" spans="1:2" x14ac:dyDescent="0.25">
      <c r="A49" s="5">
        <f>'Mid Sem'!B49</f>
        <v>590028605</v>
      </c>
      <c r="B49" s="5" t="str">
        <f>'Mid Sem'!A49</f>
        <v>Mayank Chand Ramola</v>
      </c>
    </row>
    <row r="50" spans="1:2" x14ac:dyDescent="0.25">
      <c r="A50" s="5">
        <f>'Mid Sem'!B50</f>
        <v>590026626</v>
      </c>
      <c r="B50" s="5" t="str">
        <f>'Mid Sem'!A50</f>
        <v>Mukesh Patel</v>
      </c>
    </row>
    <row r="51" spans="1:2" x14ac:dyDescent="0.25">
      <c r="A51" s="5">
        <f>'Mid Sem'!B51</f>
        <v>590029310</v>
      </c>
      <c r="B51" s="5" t="str">
        <f>'Mid Sem'!A51</f>
        <v>Nipun Singh</v>
      </c>
    </row>
    <row r="52" spans="1:2" x14ac:dyDescent="0.25">
      <c r="A52" s="5">
        <f>'Mid Sem'!B52</f>
        <v>590029319</v>
      </c>
      <c r="B52" s="5" t="str">
        <f>'Mid Sem'!A52</f>
        <v>Paras Bhall</v>
      </c>
    </row>
    <row r="53" spans="1:2" x14ac:dyDescent="0.25">
      <c r="A53" s="5">
        <f>'Mid Sem'!B53</f>
        <v>590029339</v>
      </c>
      <c r="B53" s="5" t="str">
        <f>'Mid Sem'!A53</f>
        <v>Raghav Kumar Goyal</v>
      </c>
    </row>
    <row r="54" spans="1:2" x14ac:dyDescent="0.25">
      <c r="A54" s="5">
        <f>'Mid Sem'!B54</f>
        <v>590029148</v>
      </c>
      <c r="B54" s="5" t="str">
        <f>'Mid Sem'!A54</f>
        <v>Rahul</v>
      </c>
    </row>
    <row r="55" spans="1:2" x14ac:dyDescent="0.25">
      <c r="A55" s="5">
        <f>'Mid Sem'!B55</f>
        <v>590029309</v>
      </c>
      <c r="B55" s="5" t="str">
        <f>'Mid Sem'!A55</f>
        <v>Rahul Singh</v>
      </c>
    </row>
    <row r="56" spans="1:2" x14ac:dyDescent="0.25">
      <c r="A56" s="5">
        <f>'Mid Sem'!B56</f>
        <v>590028838</v>
      </c>
      <c r="B56" s="5" t="str">
        <f>'Mid Sem'!A56</f>
        <v>Satyam Singh</v>
      </c>
    </row>
    <row r="57" spans="1:2" x14ac:dyDescent="0.25">
      <c r="A57" s="5">
        <f>'Mid Sem'!B57</f>
        <v>590029107</v>
      </c>
      <c r="B57" s="5" t="str">
        <f>'Mid Sem'!A57</f>
        <v>Shashwat Agrawal</v>
      </c>
    </row>
    <row r="58" spans="1:2" x14ac:dyDescent="0.25">
      <c r="A58" s="5">
        <f>'Mid Sem'!B58</f>
        <v>590029266</v>
      </c>
      <c r="B58" s="5" t="str">
        <f>'Mid Sem'!A58</f>
        <v>Siddhant Gurung</v>
      </c>
    </row>
    <row r="59" spans="1:2" x14ac:dyDescent="0.25">
      <c r="A59" s="5">
        <f>'Mid Sem'!B59</f>
        <v>590029354</v>
      </c>
      <c r="B59" s="5" t="str">
        <f>'Mid Sem'!A59</f>
        <v>Simarjot Kaur Gill</v>
      </c>
    </row>
    <row r="60" spans="1:2" x14ac:dyDescent="0.25">
      <c r="A60" s="5">
        <f>'Mid Sem'!B60</f>
        <v>590029349</v>
      </c>
      <c r="B60" s="5" t="str">
        <f>'Mid Sem'!A60</f>
        <v>Tanishq Bansal</v>
      </c>
    </row>
    <row r="61" spans="1:2" x14ac:dyDescent="0.25">
      <c r="A61" s="5">
        <f>'Mid Sem'!B61</f>
        <v>590029302</v>
      </c>
      <c r="B61" s="5" t="str">
        <f>'Mid Sem'!A61</f>
        <v>Tanmay Amit Verma</v>
      </c>
    </row>
    <row r="62" spans="1:2" x14ac:dyDescent="0.25">
      <c r="A62" s="5">
        <f>'Mid Sem'!B62</f>
        <v>590029262</v>
      </c>
      <c r="B62" s="5" t="str">
        <f>'Mid Sem'!A62</f>
        <v>Vandana Yadav</v>
      </c>
    </row>
    <row r="63" spans="1:2" x14ac:dyDescent="0.25">
      <c r="A63" s="5">
        <f>'Mid Sem'!B63</f>
        <v>590029285</v>
      </c>
      <c r="B63" s="5" t="str">
        <f>'Mid Sem'!A63</f>
        <v>Vidit Ahuja</v>
      </c>
    </row>
    <row r="64" spans="1:2" x14ac:dyDescent="0.25">
      <c r="A64" s="5">
        <f>'Mid Sem'!B64</f>
        <v>590029353</v>
      </c>
      <c r="B64" s="5" t="str">
        <f>'Mid Sem'!A64</f>
        <v>Vinit Kumar</v>
      </c>
    </row>
    <row r="65" spans="1:2" x14ac:dyDescent="0.25">
      <c r="A65" s="5">
        <f>'Mid Sem'!B65</f>
        <v>0</v>
      </c>
      <c r="B65" s="5">
        <f>'Mid Sem'!A65</f>
        <v>0</v>
      </c>
    </row>
    <row r="66" spans="1:2" x14ac:dyDescent="0.25">
      <c r="A66" s="5">
        <f>'Mid Sem'!B66</f>
        <v>0</v>
      </c>
      <c r="B66" s="5">
        <f>'Mid Sem'!A66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65"/>
  <sheetViews>
    <sheetView workbookViewId="0">
      <selection activeCell="N6" sqref="N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7" t="s">
        <v>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Computatioal Astrophysics (PHYS 8202)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2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 x14ac:dyDescent="0.2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 x14ac:dyDescent="0.25">
      <c r="A5" s="6"/>
      <c r="B5" s="6" t="s">
        <v>16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40</v>
      </c>
      <c r="O5" s="6"/>
    </row>
    <row r="6" spans="1:15" x14ac:dyDescent="0.25">
      <c r="A6" s="5">
        <f>Marksheet!B5</f>
        <v>590029213</v>
      </c>
      <c r="B6" s="5" t="str">
        <f>Marksheet!A5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5">
        <f>Marksheet!B6</f>
        <v>590029270</v>
      </c>
      <c r="B7" s="5" t="str">
        <f>Marksheet!A6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5">
        <f>Marksheet!B7</f>
        <v>590029204</v>
      </c>
      <c r="B8" s="5" t="str">
        <f>Marksheet!A7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5">
        <f>Marksheet!B8</f>
        <v>590029109</v>
      </c>
      <c r="B9" s="5" t="str">
        <f>Marksheet!A8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5">
        <f>Marksheet!B9</f>
        <v>590029070</v>
      </c>
      <c r="B10" s="5" t="str">
        <f>Marksheet!A9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5">
        <f>Marksheet!B10</f>
        <v>590029157</v>
      </c>
      <c r="B11" s="5" t="str">
        <f>Marksheet!A10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5">
        <f>Marksheet!B11</f>
        <v>590027157</v>
      </c>
      <c r="B12" s="5" t="str">
        <f>Marksheet!A11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5">
        <f>Marksheet!B12</f>
        <v>590029274</v>
      </c>
      <c r="B13" s="5" t="str">
        <f>Marksheet!A12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5">
        <f>Marksheet!B13</f>
        <v>590028572</v>
      </c>
      <c r="B14" s="5" t="str">
        <f>Marksheet!A13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5">
        <f>Marksheet!B14</f>
        <v>590029230</v>
      </c>
      <c r="B15" s="5" t="str">
        <f>Marksheet!A14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5">
        <f>Marksheet!B15</f>
        <v>590029169</v>
      </c>
      <c r="B16" s="5" t="str">
        <f>Marksheet!A15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5">
        <f>Marksheet!B16</f>
        <v>590029112</v>
      </c>
      <c r="B17" s="5" t="str">
        <f>Marksheet!A16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5">
        <f>Marksheet!B17</f>
        <v>590025556</v>
      </c>
      <c r="B18" s="5" t="str">
        <f>Marksheet!A17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5">
        <f>Marksheet!B18</f>
        <v>590027830</v>
      </c>
      <c r="B19" s="5" t="str">
        <f>Marksheet!A18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5">
        <f>Marksheet!B19</f>
        <v>590028360</v>
      </c>
      <c r="B20" s="5" t="str">
        <f>Marksheet!A19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5">
        <f>Marksheet!B20</f>
        <v>590029237</v>
      </c>
      <c r="B21" s="5" t="str">
        <f>Marksheet!A20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5">
        <f>Marksheet!B21</f>
        <v>590029079</v>
      </c>
      <c r="B22" s="5" t="str">
        <f>Marksheet!A21</f>
        <v>Radhe Patel</v>
      </c>
    </row>
    <row r="23" spans="1:15" x14ac:dyDescent="0.25">
      <c r="A23" s="5">
        <f>Marksheet!B22</f>
        <v>590029145</v>
      </c>
      <c r="B23" s="5" t="str">
        <f>Marksheet!A22</f>
        <v>Rishika Purushotham</v>
      </c>
    </row>
    <row r="24" spans="1:15" x14ac:dyDescent="0.25">
      <c r="A24" s="5">
        <f>Marksheet!B23</f>
        <v>590029209</v>
      </c>
      <c r="B24" s="5" t="str">
        <f>Marksheet!A23</f>
        <v>Rishiv Kumar</v>
      </c>
    </row>
    <row r="25" spans="1:15" x14ac:dyDescent="0.25">
      <c r="A25" s="5">
        <f>Marksheet!B24</f>
        <v>590027268</v>
      </c>
      <c r="B25" s="5" t="str">
        <f>Marksheet!A24</f>
        <v>Sankalp Sunil Ronge</v>
      </c>
    </row>
    <row r="26" spans="1:15" x14ac:dyDescent="0.25">
      <c r="A26" s="5">
        <f>Marksheet!B25</f>
        <v>590029227</v>
      </c>
      <c r="B26" s="5" t="str">
        <f>Marksheet!A25</f>
        <v>Sartaj Singh</v>
      </c>
    </row>
    <row r="27" spans="1:15" x14ac:dyDescent="0.25">
      <c r="A27" s="5">
        <f>Marksheet!B26</f>
        <v>590029241</v>
      </c>
      <c r="B27" s="5" t="str">
        <f>Marksheet!A26</f>
        <v>Satakshi Gupta</v>
      </c>
    </row>
    <row r="28" spans="1:15" x14ac:dyDescent="0.25">
      <c r="A28" s="5">
        <f>Marksheet!B27</f>
        <v>590023855</v>
      </c>
      <c r="B28" s="5" t="str">
        <f>Marksheet!A27</f>
        <v>Shaswat Shantanu</v>
      </c>
    </row>
    <row r="29" spans="1:15" x14ac:dyDescent="0.25">
      <c r="A29" s="5">
        <f>Marksheet!B28</f>
        <v>590029215</v>
      </c>
      <c r="B29" s="5" t="str">
        <f>Marksheet!A28</f>
        <v>Siddhant Rai</v>
      </c>
    </row>
    <row r="30" spans="1:15" x14ac:dyDescent="0.25">
      <c r="A30" s="5">
        <f>Marksheet!B29</f>
        <v>590029111</v>
      </c>
      <c r="B30" s="5" t="str">
        <f>Marksheet!A29</f>
        <v>Sidhaant Singh Jyrwa</v>
      </c>
    </row>
    <row r="31" spans="1:15" x14ac:dyDescent="0.25">
      <c r="A31" s="5">
        <f>Marksheet!B30</f>
        <v>590028683</v>
      </c>
      <c r="B31" s="5" t="str">
        <f>Marksheet!A30</f>
        <v>Subrat Singh Jadaun</v>
      </c>
    </row>
    <row r="32" spans="1:15" x14ac:dyDescent="0.25">
      <c r="A32" s="5">
        <f>Marksheet!B31</f>
        <v>590029121</v>
      </c>
      <c r="B32" s="5" t="str">
        <f>Marksheet!A31</f>
        <v>Tushita Sharma</v>
      </c>
    </row>
    <row r="33" spans="1:2" x14ac:dyDescent="0.25">
      <c r="A33" s="5">
        <f>Marksheet!B32</f>
        <v>590029048</v>
      </c>
      <c r="B33" s="5" t="str">
        <f>Marksheet!A32</f>
        <v>Vaishnavi Kumari</v>
      </c>
    </row>
    <row r="34" spans="1:2" x14ac:dyDescent="0.25">
      <c r="A34" s="5">
        <f>Marksheet!B33</f>
        <v>590029184</v>
      </c>
      <c r="B34" s="5" t="str">
        <f>Marksheet!A33</f>
        <v>Vivek Chauhan</v>
      </c>
    </row>
    <row r="35" spans="1:2" x14ac:dyDescent="0.25">
      <c r="A35" s="5">
        <f>Marksheet!B34</f>
        <v>590029330</v>
      </c>
      <c r="B35" s="5" t="str">
        <f>Marksheet!A34</f>
        <v>Aadarshi Bisht</v>
      </c>
    </row>
    <row r="36" spans="1:2" x14ac:dyDescent="0.25">
      <c r="A36" s="5">
        <f>Marksheet!B35</f>
        <v>590027630</v>
      </c>
      <c r="B36" s="5" t="str">
        <f>Marksheet!A35</f>
        <v>Aarush Prasad</v>
      </c>
    </row>
    <row r="37" spans="1:2" x14ac:dyDescent="0.25">
      <c r="A37" s="5">
        <f>Marksheet!B36</f>
        <v>590029219</v>
      </c>
      <c r="B37" s="5" t="str">
        <f>Marksheet!A36</f>
        <v>Aditya Mishra</v>
      </c>
    </row>
    <row r="38" spans="1:2" x14ac:dyDescent="0.25">
      <c r="A38" s="5">
        <f>Marksheet!B37</f>
        <v>590028933</v>
      </c>
      <c r="B38" s="5" t="str">
        <f>Marksheet!A37</f>
        <v>Aman Barnwal</v>
      </c>
    </row>
    <row r="39" spans="1:2" x14ac:dyDescent="0.25">
      <c r="A39" s="5">
        <f>Marksheet!B38</f>
        <v>590027859</v>
      </c>
      <c r="B39" s="5" t="str">
        <f>Marksheet!A38</f>
        <v>Ashutosh Shrivastava</v>
      </c>
    </row>
    <row r="40" spans="1:2" x14ac:dyDescent="0.25">
      <c r="A40" s="5">
        <f>Marksheet!B39</f>
        <v>590028682</v>
      </c>
      <c r="B40" s="5" t="str">
        <f>Marksheet!A39</f>
        <v>Ayan Pande</v>
      </c>
    </row>
    <row r="41" spans="1:2" x14ac:dyDescent="0.25">
      <c r="A41" s="5">
        <f>Marksheet!B40</f>
        <v>590023917</v>
      </c>
      <c r="B41" s="5" t="str">
        <f>Marksheet!A40</f>
        <v>Ayush Pratap Singh</v>
      </c>
    </row>
    <row r="42" spans="1:2" x14ac:dyDescent="0.25">
      <c r="A42" s="5">
        <f>Marksheet!B41</f>
        <v>590023785</v>
      </c>
      <c r="B42" s="5" t="str">
        <f>Marksheet!A41</f>
        <v>Gayatri Bhatt</v>
      </c>
    </row>
    <row r="43" spans="1:2" x14ac:dyDescent="0.25">
      <c r="A43" s="5">
        <f>Marksheet!B42</f>
        <v>590029264</v>
      </c>
      <c r="B43" s="5" t="str">
        <f>Marksheet!A42</f>
        <v>Harsh Mudgal</v>
      </c>
    </row>
    <row r="44" spans="1:2" x14ac:dyDescent="0.25">
      <c r="A44" s="5">
        <f>Marksheet!B43</f>
        <v>590029042</v>
      </c>
      <c r="B44" s="5" t="str">
        <f>Marksheet!A43</f>
        <v>Kanan Nidhania</v>
      </c>
    </row>
    <row r="45" spans="1:2" x14ac:dyDescent="0.25">
      <c r="A45" s="5">
        <f>Marksheet!B44</f>
        <v>590029336</v>
      </c>
      <c r="B45" s="5" t="str">
        <f>Marksheet!A44</f>
        <v>Kanishka Diwakar</v>
      </c>
    </row>
    <row r="46" spans="1:2" x14ac:dyDescent="0.25">
      <c r="A46" s="5">
        <f>Marksheet!B45</f>
        <v>590029233</v>
      </c>
      <c r="B46" s="5" t="str">
        <f>Marksheet!A45</f>
        <v>Keshav Chahda</v>
      </c>
    </row>
    <row r="47" spans="1:2" x14ac:dyDescent="0.25">
      <c r="A47" s="5">
        <f>Marksheet!B46</f>
        <v>590029328</v>
      </c>
      <c r="B47" s="5" t="str">
        <f>Marksheet!A46</f>
        <v>Lakshay Dhanda</v>
      </c>
    </row>
    <row r="48" spans="1:2" x14ac:dyDescent="0.25">
      <c r="A48" s="5">
        <f>Marksheet!B47</f>
        <v>590028608</v>
      </c>
      <c r="B48" s="5" t="str">
        <f>Marksheet!A47</f>
        <v>Lakshya Singh</v>
      </c>
    </row>
    <row r="49" spans="1:2" x14ac:dyDescent="0.25">
      <c r="A49" s="5">
        <f>Marksheet!B48</f>
        <v>590028605</v>
      </c>
      <c r="B49" s="5" t="str">
        <f>Marksheet!A48</f>
        <v>Mayank Chand Ramola</v>
      </c>
    </row>
    <row r="50" spans="1:2" x14ac:dyDescent="0.25">
      <c r="A50" s="5">
        <f>Marksheet!B49</f>
        <v>590026626</v>
      </c>
      <c r="B50" s="5" t="str">
        <f>Marksheet!A49</f>
        <v>Mukesh Patel</v>
      </c>
    </row>
    <row r="51" spans="1:2" x14ac:dyDescent="0.25">
      <c r="A51" s="5">
        <f>Marksheet!B50</f>
        <v>590029310</v>
      </c>
      <c r="B51" s="5" t="str">
        <f>Marksheet!A50</f>
        <v>Nipun Singh</v>
      </c>
    </row>
    <row r="52" spans="1:2" x14ac:dyDescent="0.25">
      <c r="A52" s="5">
        <f>Marksheet!B51</f>
        <v>590029319</v>
      </c>
      <c r="B52" s="5" t="str">
        <f>Marksheet!A51</f>
        <v>Paras Bhall</v>
      </c>
    </row>
    <row r="53" spans="1:2" x14ac:dyDescent="0.25">
      <c r="A53" s="5">
        <f>Marksheet!B52</f>
        <v>590029339</v>
      </c>
      <c r="B53" s="5" t="str">
        <f>Marksheet!A52</f>
        <v>Raghav Kumar Goyal</v>
      </c>
    </row>
    <row r="54" spans="1:2" x14ac:dyDescent="0.25">
      <c r="A54" s="5">
        <f>Marksheet!B53</f>
        <v>590029148</v>
      </c>
      <c r="B54" s="5" t="str">
        <f>Marksheet!A53</f>
        <v>Rahul</v>
      </c>
    </row>
    <row r="55" spans="1:2" x14ac:dyDescent="0.25">
      <c r="A55" s="5">
        <f>Marksheet!B54</f>
        <v>590029309</v>
      </c>
      <c r="B55" s="5" t="str">
        <f>Marksheet!A54</f>
        <v>Rahul Singh</v>
      </c>
    </row>
    <row r="56" spans="1:2" x14ac:dyDescent="0.25">
      <c r="A56" s="5">
        <f>Marksheet!B55</f>
        <v>590028838</v>
      </c>
      <c r="B56" s="5" t="str">
        <f>Marksheet!A55</f>
        <v>Satyam Singh</v>
      </c>
    </row>
    <row r="57" spans="1:2" x14ac:dyDescent="0.25">
      <c r="A57" s="5">
        <f>Marksheet!B56</f>
        <v>590029107</v>
      </c>
      <c r="B57" s="5" t="str">
        <f>Marksheet!A56</f>
        <v>Shashwat Agrawal</v>
      </c>
    </row>
    <row r="58" spans="1:2" x14ac:dyDescent="0.25">
      <c r="A58" s="5">
        <f>Marksheet!B57</f>
        <v>590029266</v>
      </c>
      <c r="B58" s="5" t="str">
        <f>Marksheet!A57</f>
        <v>Siddhant Gurung</v>
      </c>
    </row>
    <row r="59" spans="1:2" x14ac:dyDescent="0.25">
      <c r="A59" s="5">
        <f>Marksheet!B58</f>
        <v>590029354</v>
      </c>
      <c r="B59" s="5" t="str">
        <f>Marksheet!A58</f>
        <v>Simarjot Kaur Gill</v>
      </c>
    </row>
    <row r="60" spans="1:2" x14ac:dyDescent="0.25">
      <c r="A60" s="5">
        <f>Marksheet!B59</f>
        <v>590029349</v>
      </c>
      <c r="B60" s="5" t="str">
        <f>Marksheet!A59</f>
        <v>Tanishq Bansal</v>
      </c>
    </row>
    <row r="61" spans="1:2" x14ac:dyDescent="0.25">
      <c r="A61" s="5">
        <f>Marksheet!B60</f>
        <v>590029302</v>
      </c>
      <c r="B61" s="5" t="str">
        <f>Marksheet!A60</f>
        <v>Tanmay Amit Verma</v>
      </c>
    </row>
    <row r="62" spans="1:2" x14ac:dyDescent="0.25">
      <c r="A62" s="5">
        <f>Marksheet!B61</f>
        <v>590029262</v>
      </c>
      <c r="B62" s="5" t="str">
        <f>Marksheet!A61</f>
        <v>Vandana Yadav</v>
      </c>
    </row>
    <row r="63" spans="1:2" x14ac:dyDescent="0.25">
      <c r="A63" s="5">
        <f>Marksheet!B62</f>
        <v>590029285</v>
      </c>
      <c r="B63" s="5" t="str">
        <f>Marksheet!A62</f>
        <v>Vidit Ahuja</v>
      </c>
    </row>
    <row r="64" spans="1:2" x14ac:dyDescent="0.25">
      <c r="A64" s="5">
        <f>Marksheet!B63</f>
        <v>590029353</v>
      </c>
      <c r="B64" s="5" t="str">
        <f>Marksheet!A63</f>
        <v>Vinit Kumar</v>
      </c>
    </row>
    <row r="65" spans="1:2" x14ac:dyDescent="0.25">
      <c r="A65" s="5">
        <f>Marksheet!B64</f>
        <v>0</v>
      </c>
      <c r="B65" s="5">
        <f>Marksheet!A64</f>
        <v>0</v>
      </c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 x14ac:dyDescent="0.2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 x14ac:dyDescent="0.25">
      <c r="A1" s="27" t="s">
        <v>3</v>
      </c>
      <c r="B1" s="27" t="s">
        <v>139</v>
      </c>
      <c r="C1" s="27" t="s">
        <v>155</v>
      </c>
      <c r="D1" s="27" t="s">
        <v>156</v>
      </c>
      <c r="E1" s="27" t="s">
        <v>157</v>
      </c>
      <c r="F1" s="27" t="s">
        <v>4</v>
      </c>
    </row>
    <row r="2" spans="1:6" x14ac:dyDescent="0.25">
      <c r="A2" s="27">
        <v>590029330</v>
      </c>
      <c r="B2" s="27" t="s">
        <v>75</v>
      </c>
      <c r="C2" s="27" t="s">
        <v>76</v>
      </c>
      <c r="D2" s="27">
        <v>25010104997</v>
      </c>
      <c r="E2" s="27" t="s">
        <v>158</v>
      </c>
      <c r="F2" s="27" t="s">
        <v>159</v>
      </c>
    </row>
    <row r="3" spans="1:6" hidden="1" x14ac:dyDescent="0.25">
      <c r="A3" s="27">
        <v>590029213</v>
      </c>
      <c r="B3" s="27" t="s">
        <v>17</v>
      </c>
      <c r="C3" s="27" t="s">
        <v>18</v>
      </c>
      <c r="D3" s="27">
        <v>122507103</v>
      </c>
      <c r="E3" s="27" t="s">
        <v>158</v>
      </c>
      <c r="F3" s="27" t="s">
        <v>160</v>
      </c>
    </row>
    <row r="4" spans="1:6" x14ac:dyDescent="0.25">
      <c r="A4" s="27">
        <v>590027630</v>
      </c>
      <c r="B4" s="27" t="s">
        <v>77</v>
      </c>
      <c r="C4" s="27" t="s">
        <v>78</v>
      </c>
      <c r="D4" s="27">
        <v>25010105001</v>
      </c>
      <c r="E4" s="27" t="s">
        <v>158</v>
      </c>
      <c r="F4" s="27" t="s">
        <v>159</v>
      </c>
    </row>
    <row r="5" spans="1:6" hidden="1" x14ac:dyDescent="0.25">
      <c r="A5" s="27">
        <v>590029270</v>
      </c>
      <c r="B5" s="27" t="s">
        <v>19</v>
      </c>
      <c r="C5" s="27" t="s">
        <v>20</v>
      </c>
      <c r="D5" s="27">
        <v>25010104938</v>
      </c>
      <c r="E5" s="27" t="s">
        <v>158</v>
      </c>
      <c r="F5" s="27" t="s">
        <v>160</v>
      </c>
    </row>
    <row r="6" spans="1:6" x14ac:dyDescent="0.25">
      <c r="A6" s="27">
        <v>590029219</v>
      </c>
      <c r="B6" s="27" t="s">
        <v>79</v>
      </c>
      <c r="C6" s="27" t="s">
        <v>80</v>
      </c>
      <c r="D6" s="27">
        <v>25010104956</v>
      </c>
      <c r="E6" s="27" t="s">
        <v>158</v>
      </c>
      <c r="F6" s="27" t="s">
        <v>159</v>
      </c>
    </row>
    <row r="7" spans="1:6" hidden="1" x14ac:dyDescent="0.25">
      <c r="A7" s="27">
        <v>590029204</v>
      </c>
      <c r="B7" s="27" t="s">
        <v>21</v>
      </c>
      <c r="C7" s="27" t="s">
        <v>22</v>
      </c>
      <c r="D7" s="27">
        <v>25010104918</v>
      </c>
      <c r="E7" s="27" t="s">
        <v>158</v>
      </c>
      <c r="F7" s="27" t="s">
        <v>160</v>
      </c>
    </row>
    <row r="8" spans="1:6" hidden="1" x14ac:dyDescent="0.25">
      <c r="A8" s="27">
        <v>590029109</v>
      </c>
      <c r="B8" s="27" t="s">
        <v>23</v>
      </c>
      <c r="C8" s="27" t="s">
        <v>24</v>
      </c>
      <c r="D8" s="27">
        <v>25010104943</v>
      </c>
      <c r="E8" s="27" t="s">
        <v>158</v>
      </c>
      <c r="F8" s="27" t="s">
        <v>160</v>
      </c>
    </row>
    <row r="9" spans="1:6" x14ac:dyDescent="0.25">
      <c r="A9" s="27">
        <v>590028933</v>
      </c>
      <c r="B9" s="27" t="s">
        <v>81</v>
      </c>
      <c r="C9" s="27" t="s">
        <v>82</v>
      </c>
      <c r="D9" s="27">
        <v>25010104948</v>
      </c>
      <c r="E9" s="27" t="s">
        <v>158</v>
      </c>
      <c r="F9" s="27" t="s">
        <v>159</v>
      </c>
    </row>
    <row r="10" spans="1:6" hidden="1" x14ac:dyDescent="0.25">
      <c r="A10" s="27">
        <v>590029070</v>
      </c>
      <c r="B10" s="27" t="s">
        <v>25</v>
      </c>
      <c r="C10" s="27" t="s">
        <v>26</v>
      </c>
      <c r="D10" s="27">
        <v>25010104926</v>
      </c>
      <c r="E10" s="27" t="s">
        <v>158</v>
      </c>
      <c r="F10" s="27" t="s">
        <v>160</v>
      </c>
    </row>
    <row r="11" spans="1:6" x14ac:dyDescent="0.25">
      <c r="A11" s="27">
        <v>590027859</v>
      </c>
      <c r="B11" s="27" t="s">
        <v>83</v>
      </c>
      <c r="C11" s="27" t="s">
        <v>84</v>
      </c>
      <c r="D11" s="27">
        <v>25010104974</v>
      </c>
      <c r="E11" s="27" t="s">
        <v>158</v>
      </c>
      <c r="F11" s="27" t="s">
        <v>159</v>
      </c>
    </row>
    <row r="12" spans="1:6" hidden="1" x14ac:dyDescent="0.25">
      <c r="A12" s="27">
        <v>590029157</v>
      </c>
      <c r="B12" s="27" t="s">
        <v>27</v>
      </c>
      <c r="C12" s="27" t="s">
        <v>28</v>
      </c>
      <c r="D12" s="27">
        <v>25010104890</v>
      </c>
      <c r="E12" s="27" t="s">
        <v>158</v>
      </c>
      <c r="F12" s="27" t="s">
        <v>160</v>
      </c>
    </row>
    <row r="13" spans="1:6" hidden="1" x14ac:dyDescent="0.25">
      <c r="A13" s="27">
        <v>590027157</v>
      </c>
      <c r="B13" s="27" t="s">
        <v>29</v>
      </c>
      <c r="C13" s="27" t="s">
        <v>30</v>
      </c>
      <c r="D13" s="27">
        <v>25010104880</v>
      </c>
      <c r="E13" s="27" t="s">
        <v>158</v>
      </c>
      <c r="F13" s="27" t="s">
        <v>160</v>
      </c>
    </row>
    <row r="14" spans="1:6" x14ac:dyDescent="0.25">
      <c r="A14" s="27">
        <v>590028682</v>
      </c>
      <c r="B14" s="27" t="s">
        <v>85</v>
      </c>
      <c r="C14" s="27" t="s">
        <v>86</v>
      </c>
      <c r="D14" s="27">
        <v>25010104995</v>
      </c>
      <c r="E14" s="27" t="s">
        <v>158</v>
      </c>
      <c r="F14" s="27" t="s">
        <v>159</v>
      </c>
    </row>
    <row r="15" spans="1:6" x14ac:dyDescent="0.25">
      <c r="A15" s="27">
        <v>590023917</v>
      </c>
      <c r="B15" s="27" t="s">
        <v>87</v>
      </c>
      <c r="C15" s="27" t="s">
        <v>88</v>
      </c>
      <c r="D15" s="27">
        <v>25010105012</v>
      </c>
      <c r="E15" s="27" t="s">
        <v>158</v>
      </c>
      <c r="F15" s="27" t="s">
        <v>159</v>
      </c>
    </row>
    <row r="16" spans="1:6" x14ac:dyDescent="0.25">
      <c r="A16" s="27">
        <v>590023785</v>
      </c>
      <c r="B16" s="27" t="s">
        <v>89</v>
      </c>
      <c r="C16" s="27" t="s">
        <v>90</v>
      </c>
      <c r="D16" s="27">
        <v>25010104947</v>
      </c>
      <c r="E16" s="27" t="s">
        <v>158</v>
      </c>
      <c r="F16" s="27" t="s">
        <v>159</v>
      </c>
    </row>
    <row r="17" spans="1:6" hidden="1" x14ac:dyDescent="0.25">
      <c r="A17" s="27">
        <v>590029274</v>
      </c>
      <c r="B17" s="27" t="s">
        <v>31</v>
      </c>
      <c r="C17" s="27" t="s">
        <v>32</v>
      </c>
      <c r="D17" s="27">
        <v>25010104928</v>
      </c>
      <c r="E17" s="27" t="s">
        <v>158</v>
      </c>
      <c r="F17" s="27" t="s">
        <v>160</v>
      </c>
    </row>
    <row r="18" spans="1:6" x14ac:dyDescent="0.25">
      <c r="A18" s="27">
        <v>590029264</v>
      </c>
      <c r="B18" s="27" t="s">
        <v>91</v>
      </c>
      <c r="C18" s="27" t="s">
        <v>92</v>
      </c>
      <c r="D18" s="27">
        <v>25010104986</v>
      </c>
      <c r="E18" s="27" t="s">
        <v>158</v>
      </c>
      <c r="F18" s="27" t="s">
        <v>159</v>
      </c>
    </row>
    <row r="19" spans="1:6" x14ac:dyDescent="0.25">
      <c r="A19" s="27">
        <v>590029042</v>
      </c>
      <c r="B19" s="27" t="s">
        <v>93</v>
      </c>
      <c r="C19" s="27" t="s">
        <v>94</v>
      </c>
      <c r="D19" s="27">
        <v>25010104982</v>
      </c>
      <c r="E19" s="27" t="s">
        <v>158</v>
      </c>
      <c r="F19" s="27" t="s">
        <v>159</v>
      </c>
    </row>
    <row r="20" spans="1:6" x14ac:dyDescent="0.25">
      <c r="A20" s="27">
        <v>590029336</v>
      </c>
      <c r="B20" s="27" t="s">
        <v>95</v>
      </c>
      <c r="C20" s="27" t="s">
        <v>96</v>
      </c>
      <c r="D20" s="27">
        <v>25010104998</v>
      </c>
      <c r="E20" s="27" t="s">
        <v>158</v>
      </c>
      <c r="F20" s="27" t="s">
        <v>159</v>
      </c>
    </row>
    <row r="21" spans="1:6" hidden="1" x14ac:dyDescent="0.25">
      <c r="A21" s="27">
        <v>590028572</v>
      </c>
      <c r="B21" s="27" t="s">
        <v>33</v>
      </c>
      <c r="C21" s="27" t="s">
        <v>34</v>
      </c>
      <c r="D21" s="27">
        <v>25010104903</v>
      </c>
      <c r="E21" s="27" t="s">
        <v>158</v>
      </c>
      <c r="F21" s="27" t="s">
        <v>160</v>
      </c>
    </row>
    <row r="22" spans="1:6" hidden="1" x14ac:dyDescent="0.25">
      <c r="A22" s="27">
        <v>590029230</v>
      </c>
      <c r="B22" s="27" t="s">
        <v>35</v>
      </c>
      <c r="C22" s="27" t="s">
        <v>36</v>
      </c>
      <c r="D22" s="27">
        <v>25010104910</v>
      </c>
      <c r="E22" s="27" t="s">
        <v>158</v>
      </c>
      <c r="F22" s="27" t="s">
        <v>160</v>
      </c>
    </row>
    <row r="23" spans="1:6" hidden="1" x14ac:dyDescent="0.25">
      <c r="A23" s="27">
        <v>590029169</v>
      </c>
      <c r="B23" s="27" t="s">
        <v>37</v>
      </c>
      <c r="C23" s="27" t="s">
        <v>38</v>
      </c>
      <c r="D23" s="27">
        <v>25010104944</v>
      </c>
      <c r="E23" s="27" t="s">
        <v>158</v>
      </c>
      <c r="F23" s="27" t="s">
        <v>160</v>
      </c>
    </row>
    <row r="24" spans="1:6" x14ac:dyDescent="0.25">
      <c r="A24" s="27">
        <v>590029233</v>
      </c>
      <c r="B24" s="27" t="s">
        <v>97</v>
      </c>
      <c r="C24" s="27" t="s">
        <v>98</v>
      </c>
      <c r="D24" s="27">
        <v>25010104996</v>
      </c>
      <c r="E24" s="27" t="s">
        <v>158</v>
      </c>
      <c r="F24" s="27" t="s">
        <v>159</v>
      </c>
    </row>
    <row r="25" spans="1:6" hidden="1" x14ac:dyDescent="0.25">
      <c r="A25" s="27">
        <v>590029112</v>
      </c>
      <c r="B25" s="27" t="s">
        <v>39</v>
      </c>
      <c r="C25" s="27" t="s">
        <v>40</v>
      </c>
      <c r="D25" s="27">
        <v>25010104876</v>
      </c>
      <c r="E25" s="27" t="s">
        <v>158</v>
      </c>
      <c r="F25" s="27" t="s">
        <v>160</v>
      </c>
    </row>
    <row r="26" spans="1:6" hidden="1" x14ac:dyDescent="0.25">
      <c r="A26" s="27">
        <v>590025556</v>
      </c>
      <c r="B26" s="27" t="s">
        <v>41</v>
      </c>
      <c r="C26" s="27" t="s">
        <v>42</v>
      </c>
      <c r="D26" s="27">
        <v>122515743</v>
      </c>
      <c r="E26" s="27" t="s">
        <v>158</v>
      </c>
      <c r="F26" s="27" t="s">
        <v>160</v>
      </c>
    </row>
    <row r="27" spans="1:6" hidden="1" x14ac:dyDescent="0.25">
      <c r="A27" s="27">
        <v>590027830</v>
      </c>
      <c r="B27" s="27" t="s">
        <v>43</v>
      </c>
      <c r="C27" s="27" t="s">
        <v>44</v>
      </c>
      <c r="D27" s="27">
        <v>25010104886</v>
      </c>
      <c r="E27" s="27" t="s">
        <v>158</v>
      </c>
      <c r="F27" s="27" t="s">
        <v>160</v>
      </c>
    </row>
    <row r="28" spans="1:6" hidden="1" x14ac:dyDescent="0.25">
      <c r="A28" s="27">
        <v>590028360</v>
      </c>
      <c r="B28" s="27" t="s">
        <v>45</v>
      </c>
      <c r="C28" s="27" t="s">
        <v>46</v>
      </c>
      <c r="D28" s="27">
        <v>25010104881</v>
      </c>
      <c r="E28" s="27" t="s">
        <v>158</v>
      </c>
      <c r="F28" s="27" t="s">
        <v>160</v>
      </c>
    </row>
    <row r="29" spans="1:6" hidden="1" x14ac:dyDescent="0.25">
      <c r="A29" s="27">
        <v>590029237</v>
      </c>
      <c r="B29" s="27" t="s">
        <v>47</v>
      </c>
      <c r="C29" s="27" t="s">
        <v>48</v>
      </c>
      <c r="D29" s="27">
        <v>25010104909</v>
      </c>
      <c r="E29" s="27" t="s">
        <v>158</v>
      </c>
      <c r="F29" s="27" t="s">
        <v>160</v>
      </c>
    </row>
    <row r="30" spans="1:6" x14ac:dyDescent="0.25">
      <c r="A30" s="27">
        <v>590029328</v>
      </c>
      <c r="B30" s="27" t="s">
        <v>99</v>
      </c>
      <c r="C30" s="27" t="s">
        <v>100</v>
      </c>
      <c r="D30" s="27">
        <v>25010105010</v>
      </c>
      <c r="E30" s="27" t="s">
        <v>158</v>
      </c>
      <c r="F30" s="27" t="s">
        <v>159</v>
      </c>
    </row>
    <row r="31" spans="1:6" hidden="1" x14ac:dyDescent="0.25">
      <c r="A31" s="27">
        <v>590029079</v>
      </c>
      <c r="B31" s="27" t="s">
        <v>49</v>
      </c>
      <c r="C31" s="27" t="s">
        <v>50</v>
      </c>
      <c r="D31" s="27">
        <v>25010104906</v>
      </c>
      <c r="E31" s="27" t="s">
        <v>158</v>
      </c>
      <c r="F31" s="27" t="s">
        <v>160</v>
      </c>
    </row>
    <row r="32" spans="1:6" hidden="1" x14ac:dyDescent="0.25">
      <c r="A32" s="27">
        <v>590029145</v>
      </c>
      <c r="B32" s="27" t="s">
        <v>51</v>
      </c>
      <c r="C32" s="27" t="s">
        <v>52</v>
      </c>
      <c r="D32" s="27">
        <v>25010104892</v>
      </c>
      <c r="E32" s="27" t="s">
        <v>158</v>
      </c>
      <c r="F32" s="27" t="s">
        <v>160</v>
      </c>
    </row>
    <row r="33" spans="1:6" hidden="1" x14ac:dyDescent="0.25">
      <c r="A33" s="27">
        <v>590029209</v>
      </c>
      <c r="B33" s="27" t="s">
        <v>53</v>
      </c>
      <c r="C33" s="27" t="s">
        <v>54</v>
      </c>
      <c r="D33" s="27">
        <v>25010104887</v>
      </c>
      <c r="E33" s="27" t="s">
        <v>158</v>
      </c>
      <c r="F33" s="27" t="s">
        <v>160</v>
      </c>
    </row>
    <row r="34" spans="1:6" hidden="1" x14ac:dyDescent="0.25">
      <c r="A34" s="27">
        <v>590027268</v>
      </c>
      <c r="B34" s="27" t="s">
        <v>55</v>
      </c>
      <c r="C34" s="27" t="s">
        <v>56</v>
      </c>
      <c r="D34" s="27">
        <v>25010104933</v>
      </c>
      <c r="E34" s="27" t="s">
        <v>161</v>
      </c>
      <c r="F34" s="27" t="s">
        <v>160</v>
      </c>
    </row>
    <row r="35" spans="1:6" hidden="1" x14ac:dyDescent="0.25">
      <c r="A35" s="27">
        <v>590029227</v>
      </c>
      <c r="B35" s="27" t="s">
        <v>57</v>
      </c>
      <c r="C35" s="27" t="s">
        <v>58</v>
      </c>
      <c r="D35" s="27">
        <v>25010104900</v>
      </c>
      <c r="E35" s="27" t="s">
        <v>158</v>
      </c>
      <c r="F35" s="27" t="s">
        <v>160</v>
      </c>
    </row>
    <row r="36" spans="1:6" hidden="1" x14ac:dyDescent="0.25">
      <c r="A36" s="27">
        <v>590029241</v>
      </c>
      <c r="B36" s="27" t="s">
        <v>59</v>
      </c>
      <c r="C36" s="27" t="s">
        <v>60</v>
      </c>
      <c r="D36" s="27">
        <v>25010104915</v>
      </c>
      <c r="E36" s="27" t="s">
        <v>158</v>
      </c>
      <c r="F36" s="27" t="s">
        <v>160</v>
      </c>
    </row>
    <row r="37" spans="1:6" hidden="1" x14ac:dyDescent="0.25">
      <c r="A37" s="27">
        <v>590023855</v>
      </c>
      <c r="B37" s="27" t="s">
        <v>61</v>
      </c>
      <c r="C37" s="27" t="s">
        <v>62</v>
      </c>
      <c r="D37" s="27">
        <v>25010104868</v>
      </c>
      <c r="E37" s="27" t="s">
        <v>158</v>
      </c>
      <c r="F37" s="27" t="s">
        <v>160</v>
      </c>
    </row>
    <row r="38" spans="1:6" x14ac:dyDescent="0.25">
      <c r="A38" s="27">
        <v>590028608</v>
      </c>
      <c r="B38" s="27" t="s">
        <v>101</v>
      </c>
      <c r="C38" s="27" t="s">
        <v>102</v>
      </c>
      <c r="D38" s="27">
        <v>25010104999</v>
      </c>
      <c r="E38" s="27" t="s">
        <v>158</v>
      </c>
      <c r="F38" s="27" t="s">
        <v>159</v>
      </c>
    </row>
    <row r="39" spans="1:6" hidden="1" x14ac:dyDescent="0.25">
      <c r="A39" s="27">
        <v>590029215</v>
      </c>
      <c r="B39" s="27" t="s">
        <v>63</v>
      </c>
      <c r="C39" s="27" t="s">
        <v>64</v>
      </c>
      <c r="D39" s="27">
        <v>25010104884</v>
      </c>
      <c r="E39" s="27" t="s">
        <v>158</v>
      </c>
      <c r="F39" s="27" t="s">
        <v>160</v>
      </c>
    </row>
    <row r="40" spans="1:6" hidden="1" x14ac:dyDescent="0.25">
      <c r="A40" s="27">
        <v>590029111</v>
      </c>
      <c r="B40" s="27" t="s">
        <v>65</v>
      </c>
      <c r="C40" s="27" t="s">
        <v>66</v>
      </c>
      <c r="D40" s="27">
        <v>25010104888</v>
      </c>
      <c r="E40" s="27" t="s">
        <v>158</v>
      </c>
      <c r="F40" s="27" t="s">
        <v>160</v>
      </c>
    </row>
    <row r="41" spans="1:6" x14ac:dyDescent="0.25">
      <c r="A41" s="27">
        <v>590028605</v>
      </c>
      <c r="B41" s="27" t="s">
        <v>103</v>
      </c>
      <c r="C41" s="27" t="s">
        <v>104</v>
      </c>
      <c r="D41" s="27">
        <v>25010104326</v>
      </c>
      <c r="E41" s="27" t="s">
        <v>158</v>
      </c>
      <c r="F41" s="27" t="s">
        <v>159</v>
      </c>
    </row>
    <row r="42" spans="1:6" hidden="1" x14ac:dyDescent="0.25">
      <c r="A42" s="27">
        <v>590028683</v>
      </c>
      <c r="B42" s="27" t="s">
        <v>67</v>
      </c>
      <c r="C42" s="27" t="s">
        <v>68</v>
      </c>
      <c r="D42" s="27">
        <v>25010104936</v>
      </c>
      <c r="E42" s="27" t="s">
        <v>158</v>
      </c>
      <c r="F42" s="27" t="s">
        <v>160</v>
      </c>
    </row>
    <row r="43" spans="1:6" hidden="1" x14ac:dyDescent="0.25">
      <c r="A43" s="27">
        <v>590029121</v>
      </c>
      <c r="B43" s="27" t="s">
        <v>69</v>
      </c>
      <c r="C43" s="27" t="s">
        <v>70</v>
      </c>
      <c r="D43" s="27">
        <v>25010104875</v>
      </c>
      <c r="E43" s="27" t="s">
        <v>158</v>
      </c>
      <c r="F43" s="27" t="s">
        <v>160</v>
      </c>
    </row>
    <row r="44" spans="1:6" x14ac:dyDescent="0.25">
      <c r="A44" s="27">
        <v>590026626</v>
      </c>
      <c r="B44" s="27" t="s">
        <v>105</v>
      </c>
      <c r="C44" s="27" t="s">
        <v>106</v>
      </c>
      <c r="D44" s="27">
        <v>25010104601</v>
      </c>
      <c r="E44" s="27" t="s">
        <v>158</v>
      </c>
      <c r="F44" s="27" t="s">
        <v>159</v>
      </c>
    </row>
    <row r="45" spans="1:6" x14ac:dyDescent="0.25">
      <c r="A45" s="27">
        <v>590029310</v>
      </c>
      <c r="B45" s="27" t="s">
        <v>107</v>
      </c>
      <c r="C45" s="27" t="s">
        <v>108</v>
      </c>
      <c r="D45" s="27">
        <v>25010104970</v>
      </c>
      <c r="E45" s="27" t="s">
        <v>158</v>
      </c>
      <c r="F45" s="27" t="s">
        <v>159</v>
      </c>
    </row>
    <row r="46" spans="1:6" x14ac:dyDescent="0.25">
      <c r="A46" s="27">
        <v>590029319</v>
      </c>
      <c r="B46" s="27" t="s">
        <v>109</v>
      </c>
      <c r="C46" s="27" t="s">
        <v>110</v>
      </c>
      <c r="D46" s="27">
        <v>25010105008</v>
      </c>
      <c r="E46" s="27" t="s">
        <v>158</v>
      </c>
      <c r="F46" s="27" t="s">
        <v>159</v>
      </c>
    </row>
    <row r="47" spans="1:6" hidden="1" x14ac:dyDescent="0.25">
      <c r="A47" s="27">
        <v>590029048</v>
      </c>
      <c r="B47" s="27" t="s">
        <v>71</v>
      </c>
      <c r="C47" s="27" t="s">
        <v>72</v>
      </c>
      <c r="D47" s="27">
        <v>25010104925</v>
      </c>
      <c r="E47" s="27" t="s">
        <v>158</v>
      </c>
      <c r="F47" s="27" t="s">
        <v>160</v>
      </c>
    </row>
    <row r="48" spans="1:6" hidden="1" x14ac:dyDescent="0.25">
      <c r="A48" s="27">
        <v>590029184</v>
      </c>
      <c r="B48" s="27" t="s">
        <v>73</v>
      </c>
      <c r="C48" s="27" t="s">
        <v>74</v>
      </c>
      <c r="D48" s="27">
        <v>25010104879</v>
      </c>
      <c r="E48" s="27" t="s">
        <v>158</v>
      </c>
      <c r="F48" s="27" t="s">
        <v>160</v>
      </c>
    </row>
    <row r="49" spans="1:6" x14ac:dyDescent="0.25">
      <c r="A49" s="27">
        <v>590029339</v>
      </c>
      <c r="B49" s="27" t="s">
        <v>111</v>
      </c>
      <c r="C49" s="27" t="s">
        <v>112</v>
      </c>
      <c r="D49" s="27">
        <v>25010105011</v>
      </c>
      <c r="E49" s="27" t="s">
        <v>158</v>
      </c>
      <c r="F49" s="27" t="s">
        <v>159</v>
      </c>
    </row>
    <row r="50" spans="1:6" x14ac:dyDescent="0.25">
      <c r="A50" s="27">
        <v>590029148</v>
      </c>
      <c r="B50" s="27" t="s">
        <v>113</v>
      </c>
      <c r="C50" s="27" t="s">
        <v>114</v>
      </c>
      <c r="D50" s="27">
        <v>25010104992</v>
      </c>
      <c r="E50" s="27" t="s">
        <v>158</v>
      </c>
      <c r="F50" s="27" t="s">
        <v>159</v>
      </c>
    </row>
    <row r="51" spans="1:6" x14ac:dyDescent="0.25">
      <c r="A51" s="27">
        <v>590029309</v>
      </c>
      <c r="B51" s="27" t="s">
        <v>115</v>
      </c>
      <c r="C51" s="27" t="s">
        <v>116</v>
      </c>
      <c r="D51" s="27">
        <v>25010104979</v>
      </c>
      <c r="E51" s="27" t="s">
        <v>158</v>
      </c>
      <c r="F51" s="27" t="s">
        <v>159</v>
      </c>
    </row>
    <row r="52" spans="1:6" x14ac:dyDescent="0.25">
      <c r="A52" s="27">
        <v>590028838</v>
      </c>
      <c r="B52" s="27" t="s">
        <v>117</v>
      </c>
      <c r="C52" s="27" t="s">
        <v>118</v>
      </c>
      <c r="D52" s="27">
        <v>25010104945</v>
      </c>
      <c r="E52" s="27" t="s">
        <v>158</v>
      </c>
      <c r="F52" s="27" t="s">
        <v>159</v>
      </c>
    </row>
    <row r="53" spans="1:6" x14ac:dyDescent="0.25">
      <c r="A53" s="27">
        <v>590029107</v>
      </c>
      <c r="B53" s="27" t="s">
        <v>119</v>
      </c>
      <c r="C53" s="27" t="s">
        <v>120</v>
      </c>
      <c r="D53" s="27">
        <v>25010104988</v>
      </c>
      <c r="E53" s="27" t="s">
        <v>158</v>
      </c>
      <c r="F53" s="27" t="s">
        <v>159</v>
      </c>
    </row>
    <row r="54" spans="1:6" x14ac:dyDescent="0.25">
      <c r="A54" s="27">
        <v>590029266</v>
      </c>
      <c r="B54" s="27" t="s">
        <v>121</v>
      </c>
      <c r="C54" s="27" t="s">
        <v>122</v>
      </c>
      <c r="D54" s="27">
        <v>25010104958</v>
      </c>
      <c r="E54" s="27" t="s">
        <v>158</v>
      </c>
      <c r="F54" s="27" t="s">
        <v>159</v>
      </c>
    </row>
    <row r="55" spans="1:6" x14ac:dyDescent="0.25">
      <c r="A55" s="27">
        <v>590029354</v>
      </c>
      <c r="B55" s="27" t="s">
        <v>123</v>
      </c>
      <c r="C55" s="27" t="s">
        <v>124</v>
      </c>
      <c r="D55" s="27">
        <v>25010105018</v>
      </c>
      <c r="E55" s="27" t="s">
        <v>158</v>
      </c>
      <c r="F55" s="27" t="s">
        <v>159</v>
      </c>
    </row>
    <row r="56" spans="1:6" x14ac:dyDescent="0.25">
      <c r="A56" s="27">
        <v>590029349</v>
      </c>
      <c r="B56" s="27" t="s">
        <v>125</v>
      </c>
      <c r="C56" s="27" t="s">
        <v>126</v>
      </c>
      <c r="D56" s="27">
        <v>25010105017</v>
      </c>
      <c r="E56" s="27" t="s">
        <v>158</v>
      </c>
      <c r="F56" s="27" t="s">
        <v>159</v>
      </c>
    </row>
    <row r="57" spans="1:6" x14ac:dyDescent="0.25">
      <c r="A57" s="27">
        <v>590029302</v>
      </c>
      <c r="B57" s="27" t="s">
        <v>127</v>
      </c>
      <c r="C57" s="27" t="s">
        <v>128</v>
      </c>
      <c r="D57" s="27">
        <v>25010104954</v>
      </c>
      <c r="E57" s="27" t="s">
        <v>158</v>
      </c>
      <c r="F57" s="27" t="s">
        <v>159</v>
      </c>
    </row>
    <row r="58" spans="1:6" x14ac:dyDescent="0.25">
      <c r="A58" s="27">
        <v>590029262</v>
      </c>
      <c r="B58" s="27" t="s">
        <v>129</v>
      </c>
      <c r="C58" s="27" t="s">
        <v>130</v>
      </c>
      <c r="D58" s="27">
        <v>25010104987</v>
      </c>
      <c r="E58" s="27" t="s">
        <v>158</v>
      </c>
      <c r="F58" s="27" t="s">
        <v>159</v>
      </c>
    </row>
    <row r="59" spans="1:6" x14ac:dyDescent="0.25">
      <c r="A59" s="27">
        <v>590029285</v>
      </c>
      <c r="B59" s="27" t="s">
        <v>131</v>
      </c>
      <c r="C59" s="27" t="s">
        <v>132</v>
      </c>
      <c r="D59" s="27">
        <v>25010104949</v>
      </c>
      <c r="E59" s="27" t="s">
        <v>158</v>
      </c>
      <c r="F59" s="27" t="s">
        <v>159</v>
      </c>
    </row>
    <row r="60" spans="1:6" x14ac:dyDescent="0.25">
      <c r="A60" s="27">
        <v>590029353</v>
      </c>
      <c r="B60" s="27" t="s">
        <v>133</v>
      </c>
      <c r="C60" s="27" t="s">
        <v>134</v>
      </c>
      <c r="D60" s="27">
        <v>122514758</v>
      </c>
      <c r="E60" s="27" t="s">
        <v>158</v>
      </c>
      <c r="F60" s="27" t="s">
        <v>159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 x14ac:dyDescent="0.2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 x14ac:dyDescent="0.25">
      <c r="A1" t="s">
        <v>3</v>
      </c>
      <c r="B1" t="s">
        <v>139</v>
      </c>
      <c r="C1" t="s">
        <v>155</v>
      </c>
      <c r="D1" t="s">
        <v>156</v>
      </c>
      <c r="E1" t="s">
        <v>157</v>
      </c>
      <c r="F1" t="s">
        <v>4</v>
      </c>
      <c r="G1" t="s">
        <v>162</v>
      </c>
    </row>
    <row r="2" spans="1:7" x14ac:dyDescent="0.25">
      <c r="A2">
        <v>590029213</v>
      </c>
      <c r="B2" t="s">
        <v>17</v>
      </c>
      <c r="C2" t="s">
        <v>18</v>
      </c>
      <c r="D2">
        <v>122507103</v>
      </c>
      <c r="E2" t="s">
        <v>158</v>
      </c>
      <c r="F2" t="s">
        <v>160</v>
      </c>
    </row>
    <row r="3" spans="1:7" x14ac:dyDescent="0.25">
      <c r="A3">
        <v>590029270</v>
      </c>
      <c r="B3" t="s">
        <v>19</v>
      </c>
      <c r="C3" t="s">
        <v>20</v>
      </c>
      <c r="D3">
        <v>25010104938</v>
      </c>
      <c r="E3" t="s">
        <v>158</v>
      </c>
      <c r="F3" t="s">
        <v>160</v>
      </c>
    </row>
    <row r="4" spans="1:7" x14ac:dyDescent="0.25">
      <c r="A4">
        <v>590029204</v>
      </c>
      <c r="B4" t="s">
        <v>21</v>
      </c>
      <c r="C4" t="s">
        <v>22</v>
      </c>
      <c r="D4">
        <v>25010104918</v>
      </c>
      <c r="E4" t="s">
        <v>158</v>
      </c>
      <c r="F4" t="s">
        <v>160</v>
      </c>
    </row>
    <row r="5" spans="1:7" x14ac:dyDescent="0.25">
      <c r="A5">
        <v>590029109</v>
      </c>
      <c r="B5" t="s">
        <v>23</v>
      </c>
      <c r="C5" t="s">
        <v>24</v>
      </c>
      <c r="D5">
        <v>25010104943</v>
      </c>
      <c r="E5" t="s">
        <v>158</v>
      </c>
      <c r="F5" t="s">
        <v>160</v>
      </c>
    </row>
    <row r="6" spans="1:7" x14ac:dyDescent="0.25">
      <c r="A6">
        <v>590029070</v>
      </c>
      <c r="B6" t="s">
        <v>25</v>
      </c>
      <c r="C6" t="s">
        <v>26</v>
      </c>
      <c r="D6">
        <v>25010104926</v>
      </c>
      <c r="E6" t="s">
        <v>158</v>
      </c>
      <c r="F6" t="s">
        <v>160</v>
      </c>
    </row>
    <row r="7" spans="1:7" x14ac:dyDescent="0.25">
      <c r="A7">
        <v>590029157</v>
      </c>
      <c r="B7" t="s">
        <v>27</v>
      </c>
      <c r="C7" t="s">
        <v>28</v>
      </c>
      <c r="D7">
        <v>25010104890</v>
      </c>
      <c r="E7" t="s">
        <v>158</v>
      </c>
      <c r="F7" t="s">
        <v>160</v>
      </c>
    </row>
    <row r="8" spans="1:7" x14ac:dyDescent="0.25">
      <c r="A8">
        <v>590027157</v>
      </c>
      <c r="B8" t="s">
        <v>29</v>
      </c>
      <c r="C8" t="s">
        <v>30</v>
      </c>
      <c r="D8">
        <v>25010104880</v>
      </c>
      <c r="E8" t="s">
        <v>158</v>
      </c>
      <c r="F8" t="s">
        <v>160</v>
      </c>
    </row>
    <row r="9" spans="1:7" x14ac:dyDescent="0.25">
      <c r="A9">
        <v>590029274</v>
      </c>
      <c r="B9" t="s">
        <v>31</v>
      </c>
      <c r="C9" t="s">
        <v>32</v>
      </c>
      <c r="D9">
        <v>25010104928</v>
      </c>
      <c r="E9" t="s">
        <v>158</v>
      </c>
      <c r="F9" t="s">
        <v>160</v>
      </c>
    </row>
    <row r="10" spans="1:7" x14ac:dyDescent="0.25">
      <c r="A10">
        <v>590028572</v>
      </c>
      <c r="B10" t="s">
        <v>33</v>
      </c>
      <c r="C10" t="s">
        <v>34</v>
      </c>
      <c r="D10">
        <v>25010104903</v>
      </c>
      <c r="E10" t="s">
        <v>158</v>
      </c>
      <c r="F10" t="s">
        <v>160</v>
      </c>
    </row>
    <row r="11" spans="1:7" x14ac:dyDescent="0.25">
      <c r="A11">
        <v>590029230</v>
      </c>
      <c r="B11" t="s">
        <v>35</v>
      </c>
      <c r="C11" t="s">
        <v>36</v>
      </c>
      <c r="D11">
        <v>25010104910</v>
      </c>
      <c r="E11" t="s">
        <v>158</v>
      </c>
      <c r="F11" t="s">
        <v>160</v>
      </c>
    </row>
    <row r="12" spans="1:7" x14ac:dyDescent="0.25">
      <c r="A12">
        <v>590029169</v>
      </c>
      <c r="B12" t="s">
        <v>37</v>
      </c>
      <c r="C12" t="s">
        <v>38</v>
      </c>
      <c r="D12">
        <v>25010104944</v>
      </c>
      <c r="E12" t="s">
        <v>158</v>
      </c>
      <c r="F12" t="s">
        <v>160</v>
      </c>
    </row>
    <row r="13" spans="1:7" x14ac:dyDescent="0.25">
      <c r="A13">
        <v>590029112</v>
      </c>
      <c r="B13" t="s">
        <v>39</v>
      </c>
      <c r="C13" t="s">
        <v>40</v>
      </c>
      <c r="D13">
        <v>25010104876</v>
      </c>
      <c r="E13" t="s">
        <v>158</v>
      </c>
      <c r="F13" t="s">
        <v>160</v>
      </c>
    </row>
    <row r="14" spans="1:7" x14ac:dyDescent="0.25">
      <c r="A14">
        <v>590025556</v>
      </c>
      <c r="B14" t="s">
        <v>41</v>
      </c>
      <c r="C14" t="s">
        <v>42</v>
      </c>
      <c r="D14">
        <v>122515743</v>
      </c>
      <c r="E14" t="s">
        <v>158</v>
      </c>
      <c r="F14" t="s">
        <v>160</v>
      </c>
    </row>
    <row r="15" spans="1:7" x14ac:dyDescent="0.25">
      <c r="A15">
        <v>590027830</v>
      </c>
      <c r="B15" t="s">
        <v>43</v>
      </c>
      <c r="C15" t="s">
        <v>44</v>
      </c>
      <c r="D15">
        <v>25010104886</v>
      </c>
      <c r="E15" t="s">
        <v>158</v>
      </c>
      <c r="F15" t="s">
        <v>160</v>
      </c>
    </row>
    <row r="16" spans="1:7" x14ac:dyDescent="0.25">
      <c r="A16">
        <v>590028360</v>
      </c>
      <c r="B16" t="s">
        <v>45</v>
      </c>
      <c r="C16" t="s">
        <v>46</v>
      </c>
      <c r="D16">
        <v>25010104881</v>
      </c>
      <c r="E16" t="s">
        <v>158</v>
      </c>
      <c r="F16" t="s">
        <v>160</v>
      </c>
    </row>
    <row r="17" spans="1:7" x14ac:dyDescent="0.25">
      <c r="A17">
        <v>590029237</v>
      </c>
      <c r="B17" t="s">
        <v>47</v>
      </c>
      <c r="C17" t="s">
        <v>48</v>
      </c>
      <c r="D17">
        <v>25010104909</v>
      </c>
      <c r="E17" t="s">
        <v>158</v>
      </c>
      <c r="F17" t="s">
        <v>160</v>
      </c>
    </row>
    <row r="18" spans="1:7" x14ac:dyDescent="0.25">
      <c r="A18">
        <v>590029079</v>
      </c>
      <c r="B18" t="s">
        <v>49</v>
      </c>
      <c r="C18" t="s">
        <v>50</v>
      </c>
      <c r="D18">
        <v>25010104906</v>
      </c>
      <c r="E18" t="s">
        <v>158</v>
      </c>
      <c r="F18" t="s">
        <v>160</v>
      </c>
    </row>
    <row r="19" spans="1:7" x14ac:dyDescent="0.25">
      <c r="A19">
        <v>590029145</v>
      </c>
      <c r="B19" t="s">
        <v>51</v>
      </c>
      <c r="C19" t="s">
        <v>52</v>
      </c>
      <c r="D19">
        <v>25010104892</v>
      </c>
      <c r="E19" t="s">
        <v>158</v>
      </c>
      <c r="F19" t="s">
        <v>160</v>
      </c>
    </row>
    <row r="20" spans="1:7" x14ac:dyDescent="0.25">
      <c r="A20">
        <v>590029209</v>
      </c>
      <c r="B20" t="s">
        <v>53</v>
      </c>
      <c r="C20" t="s">
        <v>54</v>
      </c>
      <c r="D20">
        <v>25010104887</v>
      </c>
      <c r="E20" t="s">
        <v>158</v>
      </c>
      <c r="F20" t="s">
        <v>160</v>
      </c>
    </row>
    <row r="21" spans="1:7" x14ac:dyDescent="0.25">
      <c r="A21">
        <v>590027268</v>
      </c>
      <c r="B21" t="s">
        <v>55</v>
      </c>
      <c r="C21" t="s">
        <v>56</v>
      </c>
      <c r="D21">
        <v>25010104933</v>
      </c>
      <c r="E21" t="s">
        <v>161</v>
      </c>
      <c r="F21" t="s">
        <v>160</v>
      </c>
    </row>
    <row r="22" spans="1:7" x14ac:dyDescent="0.25">
      <c r="A22">
        <v>590029227</v>
      </c>
      <c r="B22" t="s">
        <v>57</v>
      </c>
      <c r="C22" t="s">
        <v>58</v>
      </c>
      <c r="D22">
        <v>25010104900</v>
      </c>
      <c r="E22" t="s">
        <v>158</v>
      </c>
      <c r="F22" t="s">
        <v>160</v>
      </c>
    </row>
    <row r="23" spans="1:7" x14ac:dyDescent="0.25">
      <c r="A23">
        <v>590029241</v>
      </c>
      <c r="B23" t="s">
        <v>59</v>
      </c>
      <c r="C23" t="s">
        <v>60</v>
      </c>
      <c r="D23">
        <v>25010104915</v>
      </c>
      <c r="E23" t="s">
        <v>158</v>
      </c>
      <c r="F23" t="s">
        <v>160</v>
      </c>
    </row>
    <row r="24" spans="1:7" x14ac:dyDescent="0.25">
      <c r="A24">
        <v>590023855</v>
      </c>
      <c r="B24" t="s">
        <v>61</v>
      </c>
      <c r="C24" t="s">
        <v>62</v>
      </c>
      <c r="D24">
        <v>25010104868</v>
      </c>
      <c r="E24" t="s">
        <v>158</v>
      </c>
      <c r="F24" t="s">
        <v>160</v>
      </c>
    </row>
    <row r="25" spans="1:7" x14ac:dyDescent="0.25">
      <c r="A25">
        <v>590029215</v>
      </c>
      <c r="B25" t="s">
        <v>63</v>
      </c>
      <c r="C25" t="s">
        <v>64</v>
      </c>
      <c r="D25">
        <v>25010104884</v>
      </c>
      <c r="E25" t="s">
        <v>158</v>
      </c>
      <c r="F25" t="s">
        <v>160</v>
      </c>
    </row>
    <row r="26" spans="1:7" x14ac:dyDescent="0.25">
      <c r="A26">
        <v>590029111</v>
      </c>
      <c r="B26" t="s">
        <v>65</v>
      </c>
      <c r="C26" t="s">
        <v>66</v>
      </c>
      <c r="D26">
        <v>25010104888</v>
      </c>
      <c r="E26" t="s">
        <v>158</v>
      </c>
      <c r="F26" t="s">
        <v>160</v>
      </c>
    </row>
    <row r="27" spans="1:7" x14ac:dyDescent="0.25">
      <c r="A27">
        <v>590028683</v>
      </c>
      <c r="B27" t="s">
        <v>67</v>
      </c>
      <c r="C27" t="s">
        <v>68</v>
      </c>
      <c r="D27">
        <v>25010104936</v>
      </c>
      <c r="E27" t="s">
        <v>158</v>
      </c>
      <c r="F27" t="s">
        <v>160</v>
      </c>
    </row>
    <row r="28" spans="1:7" x14ac:dyDescent="0.25">
      <c r="A28">
        <v>590029121</v>
      </c>
      <c r="B28" t="s">
        <v>69</v>
      </c>
      <c r="C28" t="s">
        <v>70</v>
      </c>
      <c r="D28">
        <v>25010104875</v>
      </c>
      <c r="E28" t="s">
        <v>158</v>
      </c>
      <c r="F28" t="s">
        <v>160</v>
      </c>
    </row>
    <row r="29" spans="1:7" x14ac:dyDescent="0.25">
      <c r="A29">
        <v>590029048</v>
      </c>
      <c r="B29" t="s">
        <v>71</v>
      </c>
      <c r="C29" t="s">
        <v>72</v>
      </c>
      <c r="D29">
        <v>25010104925</v>
      </c>
      <c r="E29" t="s">
        <v>158</v>
      </c>
      <c r="F29" t="s">
        <v>160</v>
      </c>
    </row>
    <row r="30" spans="1:7" x14ac:dyDescent="0.25">
      <c r="A30">
        <v>590029184</v>
      </c>
      <c r="B30" t="s">
        <v>73</v>
      </c>
      <c r="C30" t="s">
        <v>74</v>
      </c>
      <c r="D30">
        <v>25010104879</v>
      </c>
      <c r="E30" t="s">
        <v>158</v>
      </c>
      <c r="F30" t="s">
        <v>160</v>
      </c>
    </row>
    <row r="31" spans="1:7" x14ac:dyDescent="0.25">
      <c r="A31">
        <v>590029330</v>
      </c>
      <c r="B31" t="s">
        <v>75</v>
      </c>
      <c r="C31" t="s">
        <v>76</v>
      </c>
      <c r="D31">
        <v>25010104997</v>
      </c>
      <c r="E31" t="s">
        <v>158</v>
      </c>
      <c r="F31" t="s">
        <v>159</v>
      </c>
      <c r="G31">
        <v>1</v>
      </c>
    </row>
    <row r="32" spans="1:7" x14ac:dyDescent="0.25">
      <c r="A32">
        <v>590027630</v>
      </c>
      <c r="B32" t="s">
        <v>77</v>
      </c>
      <c r="C32" t="s">
        <v>78</v>
      </c>
      <c r="D32">
        <v>25010105001</v>
      </c>
      <c r="E32" t="s">
        <v>158</v>
      </c>
      <c r="F32" t="s">
        <v>159</v>
      </c>
      <c r="G32">
        <v>1</v>
      </c>
    </row>
    <row r="33" spans="1:7" x14ac:dyDescent="0.25">
      <c r="A33">
        <v>590029219</v>
      </c>
      <c r="B33" t="s">
        <v>79</v>
      </c>
      <c r="C33" t="s">
        <v>80</v>
      </c>
      <c r="D33">
        <v>25010104956</v>
      </c>
      <c r="E33" t="s">
        <v>158</v>
      </c>
      <c r="F33" t="s">
        <v>159</v>
      </c>
      <c r="G33">
        <v>1</v>
      </c>
    </row>
    <row r="34" spans="1:7" x14ac:dyDescent="0.25">
      <c r="A34">
        <v>590028933</v>
      </c>
      <c r="B34" t="s">
        <v>81</v>
      </c>
      <c r="C34" t="s">
        <v>82</v>
      </c>
      <c r="D34">
        <v>25010104948</v>
      </c>
      <c r="E34" t="s">
        <v>158</v>
      </c>
      <c r="F34" t="s">
        <v>159</v>
      </c>
      <c r="G34">
        <v>1</v>
      </c>
    </row>
    <row r="35" spans="1:7" x14ac:dyDescent="0.25">
      <c r="A35">
        <v>590027859</v>
      </c>
      <c r="B35" t="s">
        <v>83</v>
      </c>
      <c r="C35" t="s">
        <v>84</v>
      </c>
      <c r="D35">
        <v>25010104974</v>
      </c>
      <c r="E35" t="s">
        <v>158</v>
      </c>
      <c r="F35" t="s">
        <v>159</v>
      </c>
      <c r="G35">
        <v>1</v>
      </c>
    </row>
    <row r="36" spans="1:7" x14ac:dyDescent="0.25">
      <c r="A36">
        <v>590028682</v>
      </c>
      <c r="B36" t="s">
        <v>85</v>
      </c>
      <c r="C36" t="s">
        <v>86</v>
      </c>
      <c r="D36">
        <v>25010104995</v>
      </c>
      <c r="E36" t="s">
        <v>158</v>
      </c>
      <c r="F36" t="s">
        <v>159</v>
      </c>
      <c r="G36">
        <v>2</v>
      </c>
    </row>
    <row r="37" spans="1:7" x14ac:dyDescent="0.25">
      <c r="A37">
        <v>590023917</v>
      </c>
      <c r="B37" t="s">
        <v>87</v>
      </c>
      <c r="C37" t="s">
        <v>88</v>
      </c>
      <c r="D37">
        <v>25010105012</v>
      </c>
      <c r="E37" t="s">
        <v>158</v>
      </c>
      <c r="F37" t="s">
        <v>159</v>
      </c>
      <c r="G37">
        <v>2</v>
      </c>
    </row>
    <row r="38" spans="1:7" x14ac:dyDescent="0.25">
      <c r="A38">
        <v>590023785</v>
      </c>
      <c r="B38" t="s">
        <v>89</v>
      </c>
      <c r="C38" t="s">
        <v>90</v>
      </c>
      <c r="D38">
        <v>25010104947</v>
      </c>
      <c r="E38" t="s">
        <v>158</v>
      </c>
      <c r="F38" t="s">
        <v>159</v>
      </c>
      <c r="G38">
        <v>2</v>
      </c>
    </row>
    <row r="39" spans="1:7" x14ac:dyDescent="0.25">
      <c r="A39">
        <v>590029264</v>
      </c>
      <c r="B39" t="s">
        <v>91</v>
      </c>
      <c r="C39" t="s">
        <v>92</v>
      </c>
      <c r="D39">
        <v>25010104986</v>
      </c>
      <c r="E39" t="s">
        <v>158</v>
      </c>
      <c r="F39" t="s">
        <v>159</v>
      </c>
      <c r="G39">
        <v>2</v>
      </c>
    </row>
    <row r="40" spans="1:7" x14ac:dyDescent="0.25">
      <c r="A40">
        <v>590029042</v>
      </c>
      <c r="B40" t="s">
        <v>93</v>
      </c>
      <c r="C40" t="s">
        <v>94</v>
      </c>
      <c r="D40">
        <v>25010104982</v>
      </c>
      <c r="E40" t="s">
        <v>158</v>
      </c>
      <c r="F40" t="s">
        <v>159</v>
      </c>
      <c r="G40">
        <v>2</v>
      </c>
    </row>
    <row r="41" spans="1:7" x14ac:dyDescent="0.25">
      <c r="A41">
        <v>590029336</v>
      </c>
      <c r="B41" t="s">
        <v>95</v>
      </c>
      <c r="C41" t="s">
        <v>96</v>
      </c>
      <c r="D41">
        <v>25010104998</v>
      </c>
      <c r="E41" t="s">
        <v>158</v>
      </c>
      <c r="F41" t="s">
        <v>159</v>
      </c>
      <c r="G41">
        <v>3</v>
      </c>
    </row>
    <row r="42" spans="1:7" x14ac:dyDescent="0.25">
      <c r="A42">
        <v>590029233</v>
      </c>
      <c r="B42" t="s">
        <v>97</v>
      </c>
      <c r="C42" t="s">
        <v>98</v>
      </c>
      <c r="D42">
        <v>25010104996</v>
      </c>
      <c r="E42" t="s">
        <v>158</v>
      </c>
      <c r="F42" t="s">
        <v>159</v>
      </c>
      <c r="G42">
        <v>3</v>
      </c>
    </row>
    <row r="43" spans="1:7" x14ac:dyDescent="0.25">
      <c r="A43">
        <v>590029328</v>
      </c>
      <c r="B43" t="s">
        <v>99</v>
      </c>
      <c r="C43" t="s">
        <v>100</v>
      </c>
      <c r="D43">
        <v>25010105010</v>
      </c>
      <c r="E43" t="s">
        <v>158</v>
      </c>
      <c r="F43" t="s">
        <v>159</v>
      </c>
      <c r="G43">
        <v>3</v>
      </c>
    </row>
    <row r="44" spans="1:7" x14ac:dyDescent="0.25">
      <c r="A44">
        <v>590028608</v>
      </c>
      <c r="B44" t="s">
        <v>101</v>
      </c>
      <c r="C44" t="s">
        <v>102</v>
      </c>
      <c r="D44">
        <v>25010104999</v>
      </c>
      <c r="E44" t="s">
        <v>158</v>
      </c>
      <c r="F44" t="s">
        <v>159</v>
      </c>
      <c r="G44">
        <v>3</v>
      </c>
    </row>
    <row r="45" spans="1:7" x14ac:dyDescent="0.25">
      <c r="A45">
        <v>590028605</v>
      </c>
      <c r="B45" t="s">
        <v>103</v>
      </c>
      <c r="C45" t="s">
        <v>104</v>
      </c>
      <c r="D45">
        <v>25010104326</v>
      </c>
      <c r="E45" t="s">
        <v>158</v>
      </c>
      <c r="F45" t="s">
        <v>159</v>
      </c>
      <c r="G45">
        <v>3</v>
      </c>
    </row>
    <row r="46" spans="1:7" x14ac:dyDescent="0.25">
      <c r="A46">
        <v>590026626</v>
      </c>
      <c r="B46" t="s">
        <v>105</v>
      </c>
      <c r="C46" t="s">
        <v>106</v>
      </c>
      <c r="D46">
        <v>25010104601</v>
      </c>
      <c r="E46" t="s">
        <v>158</v>
      </c>
      <c r="F46" t="s">
        <v>159</v>
      </c>
      <c r="G46">
        <v>4</v>
      </c>
    </row>
    <row r="47" spans="1:7" x14ac:dyDescent="0.25">
      <c r="A47">
        <v>590029310</v>
      </c>
      <c r="B47" t="s">
        <v>107</v>
      </c>
      <c r="C47" t="s">
        <v>108</v>
      </c>
      <c r="D47">
        <v>25010104970</v>
      </c>
      <c r="E47" t="s">
        <v>158</v>
      </c>
      <c r="F47" t="s">
        <v>159</v>
      </c>
      <c r="G47">
        <v>4</v>
      </c>
    </row>
    <row r="48" spans="1:7" x14ac:dyDescent="0.25">
      <c r="A48">
        <v>590029319</v>
      </c>
      <c r="B48" t="s">
        <v>109</v>
      </c>
      <c r="C48" t="s">
        <v>110</v>
      </c>
      <c r="D48">
        <v>25010105008</v>
      </c>
      <c r="E48" t="s">
        <v>158</v>
      </c>
      <c r="F48" t="s">
        <v>159</v>
      </c>
      <c r="G48">
        <v>4</v>
      </c>
    </row>
    <row r="49" spans="1:7" x14ac:dyDescent="0.25">
      <c r="A49">
        <v>590029339</v>
      </c>
      <c r="B49" t="s">
        <v>111</v>
      </c>
      <c r="C49" t="s">
        <v>112</v>
      </c>
      <c r="D49">
        <v>25010105011</v>
      </c>
      <c r="E49" t="s">
        <v>158</v>
      </c>
      <c r="F49" t="s">
        <v>159</v>
      </c>
      <c r="G49">
        <v>4</v>
      </c>
    </row>
    <row r="50" spans="1:7" x14ac:dyDescent="0.25">
      <c r="A50">
        <v>590029148</v>
      </c>
      <c r="B50" t="s">
        <v>113</v>
      </c>
      <c r="C50" t="s">
        <v>114</v>
      </c>
      <c r="D50">
        <v>25010104992</v>
      </c>
      <c r="E50" t="s">
        <v>158</v>
      </c>
      <c r="F50" t="s">
        <v>159</v>
      </c>
      <c r="G50">
        <v>4</v>
      </c>
    </row>
    <row r="51" spans="1:7" x14ac:dyDescent="0.25">
      <c r="A51">
        <v>590029309</v>
      </c>
      <c r="B51" t="s">
        <v>115</v>
      </c>
      <c r="C51" t="s">
        <v>116</v>
      </c>
      <c r="D51">
        <v>25010104979</v>
      </c>
      <c r="E51" t="s">
        <v>158</v>
      </c>
      <c r="F51" t="s">
        <v>159</v>
      </c>
      <c r="G51">
        <v>5</v>
      </c>
    </row>
    <row r="52" spans="1:7" x14ac:dyDescent="0.25">
      <c r="A52">
        <v>590028838</v>
      </c>
      <c r="B52" t="s">
        <v>117</v>
      </c>
      <c r="C52" t="s">
        <v>118</v>
      </c>
      <c r="D52">
        <v>25010104945</v>
      </c>
      <c r="E52" t="s">
        <v>158</v>
      </c>
      <c r="F52" t="s">
        <v>159</v>
      </c>
      <c r="G52">
        <v>5</v>
      </c>
    </row>
    <row r="53" spans="1:7" x14ac:dyDescent="0.25">
      <c r="A53">
        <v>590029107</v>
      </c>
      <c r="B53" t="s">
        <v>119</v>
      </c>
      <c r="C53" t="s">
        <v>120</v>
      </c>
      <c r="D53">
        <v>25010104988</v>
      </c>
      <c r="E53" t="s">
        <v>158</v>
      </c>
      <c r="F53" t="s">
        <v>159</v>
      </c>
      <c r="G53">
        <v>5</v>
      </c>
    </row>
    <row r="54" spans="1:7" x14ac:dyDescent="0.25">
      <c r="A54">
        <v>590029266</v>
      </c>
      <c r="B54" t="s">
        <v>121</v>
      </c>
      <c r="C54" t="s">
        <v>122</v>
      </c>
      <c r="D54">
        <v>25010104958</v>
      </c>
      <c r="E54" t="s">
        <v>158</v>
      </c>
      <c r="F54" t="s">
        <v>159</v>
      </c>
      <c r="G54">
        <v>5</v>
      </c>
    </row>
    <row r="55" spans="1:7" x14ac:dyDescent="0.25">
      <c r="A55">
        <v>590029354</v>
      </c>
      <c r="B55" t="s">
        <v>123</v>
      </c>
      <c r="C55" t="s">
        <v>124</v>
      </c>
      <c r="D55">
        <v>25010105018</v>
      </c>
      <c r="E55" t="s">
        <v>158</v>
      </c>
      <c r="F55" t="s">
        <v>159</v>
      </c>
      <c r="G55">
        <v>5</v>
      </c>
    </row>
    <row r="56" spans="1:7" x14ac:dyDescent="0.25">
      <c r="A56">
        <v>590029349</v>
      </c>
      <c r="B56" t="s">
        <v>125</v>
      </c>
      <c r="C56" t="s">
        <v>126</v>
      </c>
      <c r="D56">
        <v>25010105017</v>
      </c>
      <c r="E56" t="s">
        <v>158</v>
      </c>
      <c r="F56" t="s">
        <v>159</v>
      </c>
      <c r="G56">
        <v>6</v>
      </c>
    </row>
    <row r="57" spans="1:7" x14ac:dyDescent="0.25">
      <c r="A57">
        <v>590029302</v>
      </c>
      <c r="B57" t="s">
        <v>127</v>
      </c>
      <c r="C57" t="s">
        <v>128</v>
      </c>
      <c r="D57">
        <v>25010104954</v>
      </c>
      <c r="E57" t="s">
        <v>158</v>
      </c>
      <c r="F57" t="s">
        <v>159</v>
      </c>
      <c r="G57">
        <v>6</v>
      </c>
    </row>
    <row r="58" spans="1:7" x14ac:dyDescent="0.25">
      <c r="A58">
        <v>590029262</v>
      </c>
      <c r="B58" t="s">
        <v>129</v>
      </c>
      <c r="C58" t="s">
        <v>130</v>
      </c>
      <c r="D58">
        <v>25010104987</v>
      </c>
      <c r="E58" t="s">
        <v>158</v>
      </c>
      <c r="F58" t="s">
        <v>159</v>
      </c>
      <c r="G58">
        <v>6</v>
      </c>
    </row>
    <row r="59" spans="1:7" x14ac:dyDescent="0.25">
      <c r="A59">
        <v>590029285</v>
      </c>
      <c r="B59" t="s">
        <v>131</v>
      </c>
      <c r="C59" t="s">
        <v>132</v>
      </c>
      <c r="D59">
        <v>25010104949</v>
      </c>
      <c r="E59" t="s">
        <v>158</v>
      </c>
      <c r="F59" t="s">
        <v>159</v>
      </c>
      <c r="G59">
        <v>6</v>
      </c>
    </row>
    <row r="60" spans="1:7" x14ac:dyDescent="0.25">
      <c r="A60">
        <v>590029353</v>
      </c>
      <c r="B60" t="s">
        <v>133</v>
      </c>
      <c r="C60" t="s">
        <v>134</v>
      </c>
      <c r="D60">
        <v>122514758</v>
      </c>
      <c r="E60" t="s">
        <v>158</v>
      </c>
      <c r="F60" t="s">
        <v>159</v>
      </c>
      <c r="G6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2026-03-05T12:29:52Z</dcterms:modified>
  <cp:category/>
  <cp:contentStatus/>
</cp:coreProperties>
</file>