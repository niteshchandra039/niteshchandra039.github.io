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11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gusindia01-my.sharepoint.com/personal/nitesh_kumar_ddn_upes_ac_in/Documents/UPES/Jan-May-2026/Physics for Computer Engineers B77 B78/Marks/"/>
    </mc:Choice>
  </mc:AlternateContent>
  <xr:revisionPtr revIDLastSave="1765" documentId="11_3FC952BF37FB7C428065D6D94F732ED04C5A5A3E" xr6:coauthVersionLast="47" xr6:coauthVersionMax="47" xr10:uidLastSave="{ED9C0271-B13D-4288-B898-8EED8FA296B2}"/>
  <bookViews>
    <workbookView xWindow="10140" yWindow="0" windowWidth="10455" windowHeight="10905" tabRatio="553" firstSheet="3" activeTab="3" xr2:uid="{00000000-000D-0000-FFFF-FFFF00000000}"/>
  </bookViews>
  <sheets>
    <sheet name="Marksheet" sheetId="2" r:id="rId1"/>
    <sheet name="Mid Sem" sheetId="5" r:id="rId2"/>
    <sheet name="End Sem" sheetId="4" r:id="rId3"/>
    <sheet name="Quiz 2" sheetId="14" r:id="rId4"/>
    <sheet name="Quiz 1" sheetId="13" r:id="rId5"/>
    <sheet name="Assignment 1" sheetId="6" r:id="rId6"/>
    <sheet name="Assignment 2" sheetId="9" r:id="rId7"/>
    <sheet name="Class Test 1" sheetId="7" r:id="rId8"/>
    <sheet name="Class Test 2" sheetId="8" r:id="rId9"/>
    <sheet name="Sheet2" sheetId="11" state="hidden" r:id="rId10"/>
    <sheet name="Sheet3" sheetId="12" state="hidden" r:id="rId1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5" i="14" l="1"/>
  <c r="A65" i="14"/>
  <c r="B64" i="14"/>
  <c r="A64" i="14"/>
  <c r="B63" i="14"/>
  <c r="A63" i="14"/>
  <c r="B62" i="14"/>
  <c r="A62" i="14"/>
  <c r="B61" i="14"/>
  <c r="A61" i="14"/>
  <c r="B60" i="14"/>
  <c r="A60" i="14"/>
  <c r="B59" i="14"/>
  <c r="A59" i="14"/>
  <c r="B58" i="14"/>
  <c r="A58" i="14"/>
  <c r="B57" i="14"/>
  <c r="A57" i="14"/>
  <c r="B56" i="14"/>
  <c r="A56" i="14"/>
  <c r="B55" i="14"/>
  <c r="A55" i="14"/>
  <c r="B54" i="14"/>
  <c r="A54" i="14"/>
  <c r="B53" i="14"/>
  <c r="A53" i="14"/>
  <c r="B52" i="14"/>
  <c r="A52" i="14"/>
  <c r="B51" i="14"/>
  <c r="A51" i="14"/>
  <c r="B50" i="14"/>
  <c r="A50" i="14"/>
  <c r="B49" i="14"/>
  <c r="A49" i="14"/>
  <c r="B48" i="14"/>
  <c r="A48" i="14"/>
  <c r="B47" i="14"/>
  <c r="A47" i="14"/>
  <c r="B46" i="14"/>
  <c r="A46" i="14"/>
  <c r="B45" i="14"/>
  <c r="A45" i="14"/>
  <c r="B44" i="14"/>
  <c r="A44" i="14"/>
  <c r="B43" i="14"/>
  <c r="A43" i="14"/>
  <c r="B42" i="14"/>
  <c r="A42" i="14"/>
  <c r="B41" i="14"/>
  <c r="A41" i="14"/>
  <c r="B40" i="14"/>
  <c r="A40" i="14"/>
  <c r="B39" i="14"/>
  <c r="A39" i="14"/>
  <c r="B38" i="14"/>
  <c r="A38" i="14"/>
  <c r="B37" i="14"/>
  <c r="A37" i="14"/>
  <c r="B36" i="14"/>
  <c r="A36" i="14"/>
  <c r="B35" i="14"/>
  <c r="A35" i="14"/>
  <c r="B34" i="14"/>
  <c r="A34" i="14"/>
  <c r="B33" i="14"/>
  <c r="A33" i="14"/>
  <c r="B32" i="14"/>
  <c r="A32" i="14"/>
  <c r="B31" i="14"/>
  <c r="A31" i="14"/>
  <c r="B30" i="14"/>
  <c r="A30" i="14"/>
  <c r="B29" i="14"/>
  <c r="A29" i="14"/>
  <c r="B28" i="14"/>
  <c r="A28" i="14"/>
  <c r="B27" i="14"/>
  <c r="A27" i="14"/>
  <c r="B26" i="14"/>
  <c r="A26" i="14"/>
  <c r="B25" i="14"/>
  <c r="A25" i="14"/>
  <c r="B24" i="14"/>
  <c r="A24" i="14"/>
  <c r="B23" i="14"/>
  <c r="A23" i="14"/>
  <c r="B22" i="14"/>
  <c r="A22" i="14"/>
  <c r="B21" i="14"/>
  <c r="A21" i="14"/>
  <c r="B20" i="14"/>
  <c r="A20" i="14"/>
  <c r="B19" i="14"/>
  <c r="A19" i="14"/>
  <c r="B18" i="14"/>
  <c r="A18" i="14"/>
  <c r="B17" i="14"/>
  <c r="A17" i="14"/>
  <c r="B16" i="14"/>
  <c r="A16" i="14"/>
  <c r="B15" i="14"/>
  <c r="A15" i="14"/>
  <c r="B14" i="14"/>
  <c r="A14" i="14"/>
  <c r="B13" i="14"/>
  <c r="A13" i="14"/>
  <c r="B12" i="14"/>
  <c r="A12" i="14"/>
  <c r="B11" i="14"/>
  <c r="A11" i="14"/>
  <c r="B10" i="14"/>
  <c r="A10" i="14"/>
  <c r="B9" i="14"/>
  <c r="A9" i="14"/>
  <c r="B8" i="14"/>
  <c r="A8" i="14"/>
  <c r="B7" i="14"/>
  <c r="A7" i="14"/>
  <c r="B6" i="14"/>
  <c r="A6" i="14"/>
  <c r="A2" i="14"/>
  <c r="B65" i="13"/>
  <c r="A65" i="13"/>
  <c r="B64" i="13"/>
  <c r="A64" i="13"/>
  <c r="B63" i="13"/>
  <c r="A63" i="13"/>
  <c r="B62" i="13"/>
  <c r="A62" i="13"/>
  <c r="B61" i="13"/>
  <c r="A61" i="13"/>
  <c r="B60" i="13"/>
  <c r="A60" i="13"/>
  <c r="B59" i="13"/>
  <c r="A59" i="13"/>
  <c r="B58" i="13"/>
  <c r="A58" i="13"/>
  <c r="B57" i="13"/>
  <c r="A57" i="13"/>
  <c r="B56" i="13"/>
  <c r="A56" i="13"/>
  <c r="B55" i="13"/>
  <c r="A55" i="13"/>
  <c r="B54" i="13"/>
  <c r="A54" i="13"/>
  <c r="B53" i="13"/>
  <c r="A53" i="13"/>
  <c r="B52" i="13"/>
  <c r="A52" i="13"/>
  <c r="B51" i="13"/>
  <c r="A51" i="13"/>
  <c r="B50" i="13"/>
  <c r="A50" i="13"/>
  <c r="B49" i="13"/>
  <c r="A49" i="13"/>
  <c r="B48" i="13"/>
  <c r="A48" i="13"/>
  <c r="B47" i="13"/>
  <c r="A47" i="13"/>
  <c r="B46" i="13"/>
  <c r="A46" i="13"/>
  <c r="B45" i="13"/>
  <c r="A45" i="13"/>
  <c r="B44" i="13"/>
  <c r="A44" i="13"/>
  <c r="B43" i="13"/>
  <c r="A43" i="13"/>
  <c r="B42" i="13"/>
  <c r="A42" i="13"/>
  <c r="B41" i="13"/>
  <c r="A41" i="13"/>
  <c r="B40" i="13"/>
  <c r="A40" i="13"/>
  <c r="B39" i="13"/>
  <c r="A39" i="13"/>
  <c r="B38" i="13"/>
  <c r="A38" i="13"/>
  <c r="B37" i="13"/>
  <c r="A37" i="13"/>
  <c r="B36" i="13"/>
  <c r="A36" i="13"/>
  <c r="B35" i="13"/>
  <c r="A35" i="13"/>
  <c r="B34" i="13"/>
  <c r="A34" i="13"/>
  <c r="B33" i="13"/>
  <c r="A33" i="13"/>
  <c r="B32" i="13"/>
  <c r="A32" i="13"/>
  <c r="B31" i="13"/>
  <c r="A31" i="13"/>
  <c r="B30" i="13"/>
  <c r="A30" i="13"/>
  <c r="B29" i="13"/>
  <c r="A29" i="13"/>
  <c r="B28" i="13"/>
  <c r="A28" i="13"/>
  <c r="B27" i="13"/>
  <c r="A27" i="13"/>
  <c r="B26" i="13"/>
  <c r="A26" i="13"/>
  <c r="B25" i="13"/>
  <c r="A25" i="13"/>
  <c r="B24" i="13"/>
  <c r="A24" i="13"/>
  <c r="B23" i="13"/>
  <c r="A23" i="13"/>
  <c r="B22" i="13"/>
  <c r="A22" i="13"/>
  <c r="B21" i="13"/>
  <c r="A21" i="13"/>
  <c r="B20" i="13"/>
  <c r="A20" i="13"/>
  <c r="B19" i="13"/>
  <c r="A19" i="13"/>
  <c r="B18" i="13"/>
  <c r="A18" i="13"/>
  <c r="B17" i="13"/>
  <c r="A17" i="13"/>
  <c r="B16" i="13"/>
  <c r="A16" i="13"/>
  <c r="B15" i="13"/>
  <c r="A15" i="13"/>
  <c r="B14" i="13"/>
  <c r="A14" i="13"/>
  <c r="B13" i="13"/>
  <c r="A13" i="13"/>
  <c r="B12" i="13"/>
  <c r="A12" i="13"/>
  <c r="B11" i="13"/>
  <c r="A11" i="13"/>
  <c r="B10" i="13"/>
  <c r="A10" i="13"/>
  <c r="B9" i="13"/>
  <c r="A9" i="13"/>
  <c r="B8" i="13"/>
  <c r="A8" i="13"/>
  <c r="B7" i="13"/>
  <c r="A7" i="13"/>
  <c r="B6" i="13"/>
  <c r="A6" i="13"/>
  <c r="A2" i="13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B65" i="8"/>
  <c r="A65" i="8"/>
  <c r="A7" i="8"/>
  <c r="A8" i="8"/>
  <c r="A9" i="8"/>
  <c r="A10" i="8"/>
  <c r="A11" i="8"/>
  <c r="A12" i="8"/>
  <c r="A13" i="8"/>
  <c r="A14" i="8"/>
  <c r="A15" i="8"/>
  <c r="A16" i="8"/>
  <c r="A17" i="8"/>
  <c r="A18" i="8"/>
  <c r="A19" i="8"/>
  <c r="A20" i="8"/>
  <c r="A21" i="8"/>
  <c r="A22" i="8"/>
  <c r="A23" i="8"/>
  <c r="A24" i="8"/>
  <c r="A25" i="8"/>
  <c r="A26" i="8"/>
  <c r="A27" i="8"/>
  <c r="A28" i="8"/>
  <c r="A29" i="8"/>
  <c r="A30" i="8"/>
  <c r="A31" i="8"/>
  <c r="A32" i="8"/>
  <c r="A33" i="8"/>
  <c r="A34" i="8"/>
  <c r="A35" i="8"/>
  <c r="A36" i="8"/>
  <c r="A37" i="8"/>
  <c r="A38" i="8"/>
  <c r="A39" i="8"/>
  <c r="A40" i="8"/>
  <c r="A41" i="8"/>
  <c r="A42" i="8"/>
  <c r="A43" i="8"/>
  <c r="A44" i="8"/>
  <c r="A45" i="8"/>
  <c r="A46" i="8"/>
  <c r="A47" i="8"/>
  <c r="A48" i="8"/>
  <c r="A49" i="8"/>
  <c r="A50" i="8"/>
  <c r="A51" i="8"/>
  <c r="A52" i="8"/>
  <c r="A53" i="8"/>
  <c r="A54" i="8"/>
  <c r="A55" i="8"/>
  <c r="A56" i="8"/>
  <c r="A57" i="8"/>
  <c r="A58" i="8"/>
  <c r="A59" i="8"/>
  <c r="A60" i="8"/>
  <c r="A61" i="8"/>
  <c r="A62" i="8"/>
  <c r="A63" i="8"/>
  <c r="A64" i="8"/>
  <c r="B6" i="8"/>
  <c r="A6" i="8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B6" i="7"/>
  <c r="A6" i="7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A65" i="9"/>
  <c r="A66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A18" i="6"/>
  <c r="A19" i="6"/>
  <c r="A20" i="6"/>
  <c r="A21" i="6"/>
  <c r="A22" i="6"/>
  <c r="A23" i="6"/>
  <c r="A24" i="6"/>
  <c r="A25" i="6"/>
  <c r="A26" i="6"/>
  <c r="A27" i="6"/>
  <c r="A28" i="6"/>
  <c r="A29" i="6"/>
  <c r="A30" i="6"/>
  <c r="A31" i="6"/>
  <c r="A32" i="6"/>
  <c r="A33" i="6"/>
  <c r="A34" i="6"/>
  <c r="A35" i="6"/>
  <c r="A36" i="6"/>
  <c r="A37" i="6"/>
  <c r="A38" i="6"/>
  <c r="A39" i="6"/>
  <c r="A40" i="6"/>
  <c r="A41" i="6"/>
  <c r="A42" i="6"/>
  <c r="A43" i="6"/>
  <c r="A44" i="6"/>
  <c r="A45" i="6"/>
  <c r="A46" i="6"/>
  <c r="A47" i="6"/>
  <c r="A48" i="6"/>
  <c r="A49" i="6"/>
  <c r="A50" i="6"/>
  <c r="A51" i="6"/>
  <c r="A52" i="6"/>
  <c r="A53" i="6"/>
  <c r="A54" i="6"/>
  <c r="A55" i="6"/>
  <c r="A56" i="6"/>
  <c r="A57" i="6"/>
  <c r="A58" i="6"/>
  <c r="A59" i="6"/>
  <c r="A60" i="6"/>
  <c r="A61" i="6"/>
  <c r="A62" i="6"/>
  <c r="A63" i="6"/>
  <c r="A64" i="6"/>
  <c r="A65" i="6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A62" i="4"/>
  <c r="A63" i="4"/>
  <c r="A64" i="4"/>
  <c r="A65" i="4"/>
  <c r="A66" i="4"/>
  <c r="A56" i="4"/>
  <c r="A57" i="4"/>
  <c r="A58" i="4"/>
  <c r="A59" i="4"/>
  <c r="A60" i="4"/>
  <c r="A61" i="4"/>
  <c r="A48" i="4"/>
  <c r="A49" i="4"/>
  <c r="A50" i="4"/>
  <c r="A51" i="4"/>
  <c r="A52" i="4"/>
  <c r="A53" i="4"/>
  <c r="A54" i="4"/>
  <c r="A55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" i="5"/>
  <c r="A57" i="5"/>
  <c r="A58" i="5"/>
  <c r="A59" i="5"/>
  <c r="A60" i="5"/>
  <c r="A61" i="5"/>
  <c r="A62" i="5"/>
  <c r="A63" i="5"/>
  <c r="A64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B7" i="4" l="1"/>
  <c r="A7" i="9"/>
  <c r="B8" i="9"/>
  <c r="A8" i="9"/>
  <c r="B9" i="6"/>
  <c r="A9" i="9"/>
  <c r="B10" i="6"/>
  <c r="A10" i="9"/>
  <c r="B11" i="6"/>
  <c r="A11" i="6"/>
  <c r="B12" i="9"/>
  <c r="A12" i="9"/>
  <c r="B13" i="4"/>
  <c r="A13" i="9"/>
  <c r="B14" i="9"/>
  <c r="A14" i="4"/>
  <c r="B15" i="6"/>
  <c r="A15" i="4"/>
  <c r="B16" i="9"/>
  <c r="A16" i="4"/>
  <c r="B17" i="9"/>
  <c r="A17" i="4"/>
  <c r="A6" i="9"/>
  <c r="B6" i="9"/>
  <c r="N5" i="4"/>
  <c r="M4" i="2"/>
  <c r="J4" i="2"/>
  <c r="H4" i="2"/>
  <c r="N4" i="2" s="1"/>
  <c r="O5" i="7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5" i="5"/>
  <c r="A2" i="9"/>
  <c r="B7" i="9"/>
  <c r="A2" i="4"/>
  <c r="A2" i="8"/>
  <c r="A2" i="7"/>
  <c r="A2" i="6"/>
  <c r="A2" i="5"/>
  <c r="B14" i="6" l="1"/>
  <c r="B16" i="4"/>
  <c r="B15" i="4"/>
  <c r="B14" i="4"/>
  <c r="A13" i="4"/>
  <c r="B12" i="4"/>
  <c r="A6" i="6"/>
  <c r="A16" i="6"/>
  <c r="A15" i="6"/>
  <c r="A14" i="6"/>
  <c r="A13" i="6"/>
  <c r="A7" i="6"/>
  <c r="A6" i="4"/>
  <c r="B17" i="6"/>
  <c r="B16" i="6"/>
  <c r="B11" i="4"/>
  <c r="B15" i="9"/>
  <c r="B10" i="4"/>
  <c r="A17" i="9"/>
  <c r="B9" i="4"/>
  <c r="A16" i="9"/>
  <c r="B8" i="6"/>
  <c r="B8" i="4"/>
  <c r="A15" i="9"/>
  <c r="A7" i="4"/>
  <c r="A14" i="9"/>
  <c r="B17" i="4"/>
  <c r="A17" i="6"/>
  <c r="B6" i="4"/>
  <c r="A10" i="4"/>
  <c r="A9" i="4"/>
  <c r="A11" i="9"/>
  <c r="A10" i="6"/>
  <c r="A8" i="4"/>
  <c r="A9" i="6"/>
  <c r="A12" i="4"/>
  <c r="A11" i="4"/>
  <c r="B13" i="9"/>
  <c r="B13" i="6"/>
  <c r="B10" i="9"/>
  <c r="A12" i="6"/>
  <c r="B9" i="9"/>
  <c r="B6" i="6"/>
  <c r="B7" i="6"/>
  <c r="A8" i="6"/>
  <c r="B12" i="6"/>
  <c r="B11" i="9"/>
  <c r="I4" i="2"/>
</calcChain>
</file>

<file path=xl/sharedStrings.xml><?xml version="1.0" encoding="utf-8"?>
<sst xmlns="http://schemas.openxmlformats.org/spreadsheetml/2006/main" count="842" uniqueCount="163">
  <si>
    <t>Final Marks</t>
  </si>
  <si>
    <t xml:space="preserve">Computatioal Astrophysics (PHYS 8202) </t>
  </si>
  <si>
    <t xml:space="preserve">Name </t>
  </si>
  <si>
    <t>SAP ID</t>
  </si>
  <si>
    <t>Batch</t>
  </si>
  <si>
    <t>Assignment 1</t>
  </si>
  <si>
    <t>Assignment 2</t>
  </si>
  <si>
    <t>Class Test 1</t>
  </si>
  <si>
    <t>Class Test 2</t>
  </si>
  <si>
    <t>IA</t>
  </si>
  <si>
    <t>Mid Sem</t>
  </si>
  <si>
    <t>End Sem</t>
  </si>
  <si>
    <t>Total</t>
  </si>
  <si>
    <t>Sign</t>
  </si>
  <si>
    <t>Email Address</t>
  </si>
  <si>
    <t>Roll Number</t>
  </si>
  <si>
    <t>Max Marks</t>
  </si>
  <si>
    <t>Aadya Dubey</t>
  </si>
  <si>
    <t>aadya.29213@stu.upes.ac.in</t>
  </si>
  <si>
    <t>Aditya Vishwakarma</t>
  </si>
  <si>
    <t>aditya.29270@stu.upes.ac.in</t>
  </si>
  <si>
    <t>Arjun</t>
  </si>
  <si>
    <t>arjun.29204@stu.upes.ac.in</t>
  </si>
  <si>
    <t>Aryan Yadav</t>
  </si>
  <si>
    <t>aryan.29109@stu.upes.ac.in</t>
  </si>
  <si>
    <t>Astik Patel</t>
  </si>
  <si>
    <t>astik.29070@stu.upes.ac.in</t>
  </si>
  <si>
    <t>Ayush Mohan</t>
  </si>
  <si>
    <t>ayush.29157@stu.upes.ac.in</t>
  </si>
  <si>
    <t>Bhanu Purohit</t>
  </si>
  <si>
    <t>bhanu.27157@stu.upes.ac.in</t>
  </si>
  <si>
    <t>Biswabandya Mohanty</t>
  </si>
  <si>
    <t>biswabandya.29274@stu.upes.ac.in</t>
  </si>
  <si>
    <t>Eashan Vashisht</t>
  </si>
  <si>
    <t>eashan.28572@stu.upes.ac.in</t>
  </si>
  <si>
    <t>Hardik Joshi</t>
  </si>
  <si>
    <t>hardik.29230@stu.upes.ac.in</t>
  </si>
  <si>
    <t>Hrithvik Bhardwaj</t>
  </si>
  <si>
    <t>hrithvik.29169@stu.upes.ac.in</t>
  </si>
  <si>
    <t>Nitish Kumar</t>
  </si>
  <si>
    <t>nitish.29112@stu.upes.ac.in</t>
  </si>
  <si>
    <t>Omkareshwar Chaubey</t>
  </si>
  <si>
    <t>omkareshwar.25556@stu.upes.ac.in</t>
  </si>
  <si>
    <t>Pavani Jain</t>
  </si>
  <si>
    <t>pavani.27830@stu.upes.ac.in</t>
  </si>
  <si>
    <t>Prapti Uniyal</t>
  </si>
  <si>
    <t>prapti.28360@stu.upes.ac.in</t>
  </si>
  <si>
    <t>Priyadarshi Prabhakar</t>
  </si>
  <si>
    <t>priyadarshi.29237@stu.upes.ac.in</t>
  </si>
  <si>
    <t>Radhe Patel</t>
  </si>
  <si>
    <t>radhe.29079@stu.upes.ac.in</t>
  </si>
  <si>
    <t>Rishika Purushotham</t>
  </si>
  <si>
    <t>rishika.29145@stu.upes.ac.in</t>
  </si>
  <si>
    <t>Rishiv Kumar</t>
  </si>
  <si>
    <t>rishiv.29209@stu.upes.ac.in</t>
  </si>
  <si>
    <t>Sankalp Sunil Ronge</t>
  </si>
  <si>
    <t>sankalp.27268@stu.upes.ac.in</t>
  </si>
  <si>
    <t>Sartaj Singh</t>
  </si>
  <si>
    <t>sartaj.29227@stu.upes.ac.in</t>
  </si>
  <si>
    <t>Satakshi Gupta</t>
  </si>
  <si>
    <t>satakshi.29241@stu.upes.ac.in</t>
  </si>
  <si>
    <t>Shaswat Shantanu</t>
  </si>
  <si>
    <t>shaswat.23855@stu.upes.ac.in</t>
  </si>
  <si>
    <t>Siddhant Rai</t>
  </si>
  <si>
    <t>siddhant.29215@stu.upes.ac.in</t>
  </si>
  <si>
    <t>Sidhaant Singh Jyrwa</t>
  </si>
  <si>
    <t>sidhaant.29111@stu.upes.ac.in</t>
  </si>
  <si>
    <t>Subrat Singh Jadaun</t>
  </si>
  <si>
    <t>subrat.28683@stu.upes.ac.in</t>
  </si>
  <si>
    <t>Tushita Sharma</t>
  </si>
  <si>
    <t>tushita.29121@stu.upes.ac.in</t>
  </si>
  <si>
    <t>Vaishnavi Kumari</t>
  </si>
  <si>
    <t>vaishnavi.29048@stu.upes.ac.in</t>
  </si>
  <si>
    <t>Vivek Chauhan</t>
  </si>
  <si>
    <t>vivek.29184@stu.upes.ac.in</t>
  </si>
  <si>
    <t>Aadarshi Bisht</t>
  </si>
  <si>
    <t>aadarshi.29330@stu.upes.ac.in</t>
  </si>
  <si>
    <t>Aarush Prasad</t>
  </si>
  <si>
    <t>aarush.27630@stu.upes.ac.in</t>
  </si>
  <si>
    <t>Aditya Mishra</t>
  </si>
  <si>
    <t>aditya.29219@stu.upes.ac.in</t>
  </si>
  <si>
    <t>Aman Barnwal</t>
  </si>
  <si>
    <t>aman.28933@stu.upes.ac.in</t>
  </si>
  <si>
    <t>Ashutosh Shrivastava</t>
  </si>
  <si>
    <t>ashutosh.27859@stu.upes.ac.in</t>
  </si>
  <si>
    <t>Ayan Pande</t>
  </si>
  <si>
    <t>ayan.28682@stu.upes.ac.in</t>
  </si>
  <si>
    <t>Ayush Pratap Singh</t>
  </si>
  <si>
    <t>ayush.23917@stu.upes.ac.in</t>
  </si>
  <si>
    <t>Gayatri Bhatt</t>
  </si>
  <si>
    <t>gayatri.23785@stu.upes.ac.in</t>
  </si>
  <si>
    <t>Harsh Mudgal</t>
  </si>
  <si>
    <t>harsh.29264@stu.upes.ac.in</t>
  </si>
  <si>
    <t>Kanan Nidhania</t>
  </si>
  <si>
    <t>kanan.29042@stu.upes.ac.in</t>
  </si>
  <si>
    <t>Kanishka Diwakar</t>
  </si>
  <si>
    <t>kanishka.29336@stu.upes.ac.in</t>
  </si>
  <si>
    <t>Keshav Chahda</t>
  </si>
  <si>
    <t>keshav.29233@stu.upes.ac.in</t>
  </si>
  <si>
    <t>Lakshay Dhanda</t>
  </si>
  <si>
    <t>lakshaydhanda.29328@stu.upes.ac.in</t>
  </si>
  <si>
    <t>Lakshya Singh</t>
  </si>
  <si>
    <t>lakshya.28608@stu.upes.ac.in</t>
  </si>
  <si>
    <t>Mayank Chand Ramola</t>
  </si>
  <si>
    <t>mayank.28605@stu.upes.ac.in</t>
  </si>
  <si>
    <t>Mukesh Patel</t>
  </si>
  <si>
    <t>mukesh.26626@stu.upes.ac.in</t>
  </si>
  <si>
    <t>Nipun Singh</t>
  </si>
  <si>
    <t>nipun.29310@stu.upes.ac.in</t>
  </si>
  <si>
    <t>Paras Bhall</t>
  </si>
  <si>
    <t>parasbhall.29319@stu.upes.ac.in</t>
  </si>
  <si>
    <t>Raghav Kumar Goyal</t>
  </si>
  <si>
    <t>raghav.29339@stu.upes.ac.in</t>
  </si>
  <si>
    <t>Rahul</t>
  </si>
  <si>
    <t>rahul.29148@stu.upes.ac.in</t>
  </si>
  <si>
    <t>Rahul Singh</t>
  </si>
  <si>
    <t>rahul.29309@stu.upes.ac.in</t>
  </si>
  <si>
    <t>Satyam Singh</t>
  </si>
  <si>
    <t>satyam.28838@stu.upes.ac.in</t>
  </si>
  <si>
    <t>Shashwat Agrawal</t>
  </si>
  <si>
    <t>shashwat.29107@stu.upes.ac.in</t>
  </si>
  <si>
    <t>Siddhant Gurung</t>
  </si>
  <si>
    <t>siddhant.29266@stu.upes.ac.in</t>
  </si>
  <si>
    <t>Simarjot Kaur Gill</t>
  </si>
  <si>
    <t>simarjot.29354@stu.upes.ac.in</t>
  </si>
  <si>
    <t>Tanishq Bansal</t>
  </si>
  <si>
    <t>tanishq.29349@stu.upes.ac.in</t>
  </si>
  <si>
    <t>Tanmay Amit Verma</t>
  </si>
  <si>
    <t>tanmay.29302@stu.upes.ac.in</t>
  </si>
  <si>
    <t>Vandana Yadav</t>
  </si>
  <si>
    <t>vandana.29262@stu.upes.ac.in</t>
  </si>
  <si>
    <t>Vidit Ahuja</t>
  </si>
  <si>
    <t>vidit.29285@stu.upes.ac.in</t>
  </si>
  <si>
    <t>Vinit Kumar</t>
  </si>
  <si>
    <t>vinit.29353@stu.upes.ac.in</t>
  </si>
  <si>
    <t>Mid Sem Examination</t>
  </si>
  <si>
    <t>CO1</t>
  </si>
  <si>
    <t>CO2</t>
  </si>
  <si>
    <t>CO3</t>
  </si>
  <si>
    <t>Name</t>
  </si>
  <si>
    <t>Student ID</t>
  </si>
  <si>
    <t>Q1</t>
  </si>
  <si>
    <t>Q2</t>
  </si>
  <si>
    <t>Q3</t>
  </si>
  <si>
    <t>Q4</t>
  </si>
  <si>
    <t>Q5</t>
  </si>
  <si>
    <t>Q6</t>
  </si>
  <si>
    <t>Q7</t>
  </si>
  <si>
    <t>Q8</t>
  </si>
  <si>
    <t>Q9</t>
  </si>
  <si>
    <t>Q10</t>
  </si>
  <si>
    <t>Q11</t>
  </si>
  <si>
    <t>End Sem Examination</t>
  </si>
  <si>
    <t>CO4</t>
  </si>
  <si>
    <t>Student Id</t>
  </si>
  <si>
    <t>Email</t>
  </si>
  <si>
    <t xml:space="preserve">Roll Number </t>
  </si>
  <si>
    <t>Column1</t>
  </si>
  <si>
    <t>Active</t>
  </si>
  <si>
    <t>BT-CSE-II-B78_Physics for Computer Engineers</t>
  </si>
  <si>
    <t>BT-CSE-II-B77_Physics for Computer Engineers</t>
  </si>
  <si>
    <t>Fee Hold</t>
  </si>
  <si>
    <t>Group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</si>
</sst>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sz val="12"/>
      <color rgb="FFFFFFFF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8"/>
      <color theme="1"/>
      <name val="Baguet Script"/>
    </font>
    <font>
      <sz val="18"/>
      <color theme="1"/>
      <name val="Monotype Corsiva"/>
      <family val="4"/>
    </font>
  </fonts>
  <fills count="5">
    <fill>
      <patternFill patternType="none"/>
    </fill>
    <fill>
      <patternFill patternType="gray125"/>
    </fill>
    <fill>
      <patternFill patternType="solid">
        <fgColor rgb="FF7A7A7A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4" fillId="2" borderId="0" xfId="0" applyFont="1" applyFill="1" applyAlignment="1">
      <alignment horizontal="center"/>
    </xf>
    <xf numFmtId="0" fontId="0" fillId="0" borderId="1" xfId="0" applyBorder="1"/>
    <xf numFmtId="0" fontId="2" fillId="3" borderId="1" xfId="0" applyFont="1" applyFill="1" applyBorder="1"/>
    <xf numFmtId="0" fontId="1" fillId="2" borderId="1" xfId="0" applyFont="1" applyFill="1" applyBorder="1" applyAlignment="1">
      <alignment vertical="top"/>
    </xf>
    <xf numFmtId="0" fontId="0" fillId="0" borderId="1" xfId="0" applyBorder="1" applyAlignment="1">
      <alignment vertical="top"/>
    </xf>
    <xf numFmtId="0" fontId="1" fillId="4" borderId="1" xfId="0" applyFont="1" applyFill="1" applyBorder="1" applyAlignment="1">
      <alignment vertical="top"/>
    </xf>
    <xf numFmtId="0" fontId="1" fillId="0" borderId="0" xfId="0" applyFont="1" applyAlignment="1">
      <alignment vertical="top"/>
    </xf>
    <xf numFmtId="0" fontId="1" fillId="2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top"/>
    </xf>
    <xf numFmtId="0" fontId="0" fillId="0" borderId="3" xfId="0" applyBorder="1"/>
    <xf numFmtId="0" fontId="0" fillId="0" borderId="4" xfId="0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1" fillId="2" borderId="1" xfId="0" applyFont="1" applyFill="1" applyBorder="1" applyAlignment="1">
      <alignment horizontal="center" vertical="top"/>
    </xf>
    <xf numFmtId="0" fontId="0" fillId="0" borderId="5" xfId="0" applyBorder="1"/>
    <xf numFmtId="0" fontId="1" fillId="4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right"/>
    </xf>
    <xf numFmtId="0" fontId="1" fillId="2" borderId="1" xfId="0" applyFont="1" applyFill="1" applyBorder="1" applyAlignment="1">
      <alignment horizontal="right" vertical="top"/>
    </xf>
    <xf numFmtId="0" fontId="1" fillId="4" borderId="1" xfId="0" applyFont="1" applyFill="1" applyBorder="1" applyAlignment="1">
      <alignment horizontal="right" vertical="top"/>
    </xf>
    <xf numFmtId="0" fontId="0" fillId="0" borderId="1" xfId="0" applyBorder="1" applyAlignment="1">
      <alignment horizontal="right" vertical="top"/>
    </xf>
    <xf numFmtId="0" fontId="0" fillId="0" borderId="0" xfId="0" applyAlignment="1">
      <alignment horizontal="right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1" fillId="4" borderId="0" xfId="0" applyFont="1" applyFill="1" applyAlignment="1">
      <alignment horizontal="center" vertical="top"/>
    </xf>
    <xf numFmtId="0" fontId="1" fillId="4" borderId="0" xfId="0" applyFont="1" applyFill="1" applyAlignment="1">
      <alignment horizontal="center" vertical="center"/>
    </xf>
    <xf numFmtId="0" fontId="1" fillId="4" borderId="0" xfId="0" applyFont="1" applyFill="1" applyAlignment="1">
      <alignment vertical="top"/>
    </xf>
    <xf numFmtId="0" fontId="0" fillId="0" borderId="0" xfId="0" applyAlignment="1">
      <alignment vertical="center"/>
    </xf>
    <xf numFmtId="0" fontId="4" fillId="2" borderId="0" xfId="0" applyFont="1" applyFill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top"/>
    </xf>
    <xf numFmtId="0" fontId="6" fillId="0" borderId="7" xfId="0" applyFont="1" applyBorder="1"/>
    <xf numFmtId="0" fontId="7" fillId="0" borderId="7" xfId="0" applyFont="1" applyBorder="1"/>
    <xf numFmtId="0" fontId="4" fillId="2" borderId="8" xfId="0" applyFont="1" applyFill="1" applyBorder="1" applyAlignment="1">
      <alignment vertical="top"/>
    </xf>
    <xf numFmtId="0" fontId="4" fillId="2" borderId="0" xfId="0" applyFont="1" applyFill="1" applyAlignment="1">
      <alignment horizontal="center" vertical="top"/>
    </xf>
    <xf numFmtId="0" fontId="4" fillId="2" borderId="0" xfId="0" applyFont="1" applyFill="1" applyAlignment="1">
      <alignment horizontal="center" vertical="center"/>
    </xf>
    <xf numFmtId="0" fontId="4" fillId="2" borderId="9" xfId="0" applyFont="1" applyFill="1" applyBorder="1" applyAlignment="1">
      <alignment horizontal="center"/>
    </xf>
    <xf numFmtId="0" fontId="5" fillId="0" borderId="9" xfId="0" applyFont="1" applyBorder="1"/>
    <xf numFmtId="0" fontId="5" fillId="0" borderId="10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top"/>
    </xf>
    <xf numFmtId="0" fontId="1" fillId="0" borderId="10" xfId="0" applyFon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1" fillId="0" borderId="10" xfId="0" applyFont="1" applyBorder="1" applyAlignment="1">
      <alignment vertical="top"/>
    </xf>
    <xf numFmtId="0" fontId="5" fillId="0" borderId="11" xfId="0" applyFont="1" applyBorder="1"/>
    <xf numFmtId="0" fontId="6" fillId="0" borderId="2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</cellXfs>
  <cellStyles count="1">
    <cellStyle name="Normal" xfId="0" builtinId="0"/>
  </cellStyles>
  <dxfs count="8"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50451EC-8F8D-483E-8700-AC40F1E844EE}" name="Table1" displayName="Table1" ref="A1:F60" totalsRowShown="0" headerRowDxfId="7" dataDxfId="6">
  <autoFilter ref="A1:F60" xr:uid="{350451EC-8F8D-483E-8700-AC40F1E844EE}">
    <filterColumn colId="5">
      <filters>
        <filter val="BT-CSE-II-B78_Physics for Computer Engineers"/>
      </filters>
    </filterColumn>
  </autoFilter>
  <sortState xmlns:xlrd2="http://schemas.microsoft.com/office/spreadsheetml/2017/richdata2" ref="A3:F48">
    <sortCondition ref="B1:B60"/>
  </sortState>
  <tableColumns count="6">
    <tableColumn id="1" xr3:uid="{7E15E4DF-7B6A-4D9E-8C24-C95D38FC6981}" name="SAP ID" dataDxfId="5"/>
    <tableColumn id="2" xr3:uid="{02B3B33C-E719-4715-B89B-EDE7363D49E8}" name="Name" dataDxfId="4"/>
    <tableColumn id="3" xr3:uid="{7F2FEB0D-DD82-4FE5-96E7-1FA382E85869}" name="Email" dataDxfId="3"/>
    <tableColumn id="4" xr3:uid="{108DA682-5517-4F07-8D41-C287C33F5513}" name="Roll Number " dataDxfId="2"/>
    <tableColumn id="5" xr3:uid="{980C6DB2-87F4-4F1D-9D34-93B7D8A65906}" name="Column1" dataDxfId="1"/>
    <tableColumn id="6" xr3:uid="{71B2FD01-6815-4795-8346-F2AB4A8501AF}" name="Batch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F76A9-80AB-4236-8B1F-676ADE76CB37}">
  <sheetPr>
    <pageSetUpPr fitToPage="1"/>
  </sheetPr>
  <dimension ref="A1:R63"/>
  <sheetViews>
    <sheetView zoomScaleNormal="100" workbookViewId="0">
      <selection activeCell="C5" sqref="C5"/>
    </sheetView>
  </sheetViews>
  <sheetFormatPr defaultRowHeight="15"/>
  <cols>
    <col min="1" max="1" width="27.140625" customWidth="1"/>
    <col min="2" max="2" width="22.85546875" style="13" customWidth="1"/>
    <col min="3" max="3" width="10.28515625" bestFit="1" customWidth="1"/>
    <col min="4" max="4" width="13.85546875" customWidth="1"/>
    <col min="5" max="5" width="14.42578125" customWidth="1"/>
    <col min="6" max="6" width="16.140625" customWidth="1"/>
    <col min="7" max="7" width="14.28515625" customWidth="1"/>
    <col min="8" max="8" width="11.85546875" style="13" customWidth="1"/>
    <col min="9" max="9" width="11.85546875" customWidth="1"/>
    <col min="10" max="10" width="11.85546875" style="18" customWidth="1"/>
    <col min="11" max="14" width="13.42578125" customWidth="1"/>
    <col min="15" max="15" width="12.5703125" customWidth="1"/>
    <col min="17" max="17" width="28.7109375" customWidth="1"/>
    <col min="18" max="18" width="15.7109375" style="24" customWidth="1"/>
    <col min="19" max="19" width="15.28515625" customWidth="1"/>
    <col min="20" max="20" width="17.85546875" customWidth="1"/>
    <col min="22" max="22" width="16" customWidth="1"/>
  </cols>
  <sheetData>
    <row r="1" spans="1:18" ht="24.75">
      <c r="A1" s="46" t="s">
        <v>0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8"/>
      <c r="P1" s="33"/>
    </row>
    <row r="2" spans="1:18" ht="24.75">
      <c r="A2" s="46" t="s">
        <v>1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8"/>
      <c r="P2" s="34"/>
    </row>
    <row r="3" spans="1:18" ht="15.75">
      <c r="A3" s="35" t="s">
        <v>2</v>
      </c>
      <c r="B3" s="36" t="s">
        <v>3</v>
      </c>
      <c r="C3" s="15" t="s">
        <v>4</v>
      </c>
      <c r="D3" s="1" t="s">
        <v>5</v>
      </c>
      <c r="E3" s="1" t="s">
        <v>6</v>
      </c>
      <c r="F3" s="1" t="s">
        <v>7</v>
      </c>
      <c r="G3" s="1" t="s">
        <v>8</v>
      </c>
      <c r="H3" s="1" t="s">
        <v>9</v>
      </c>
      <c r="I3" s="1" t="s">
        <v>9</v>
      </c>
      <c r="J3" s="37" t="s">
        <v>10</v>
      </c>
      <c r="K3" s="1" t="s">
        <v>10</v>
      </c>
      <c r="L3" s="1" t="s">
        <v>11</v>
      </c>
      <c r="M3" s="1" t="s">
        <v>11</v>
      </c>
      <c r="N3" s="1" t="s">
        <v>12</v>
      </c>
      <c r="O3" s="38" t="s">
        <v>13</v>
      </c>
      <c r="Q3" s="1" t="s">
        <v>14</v>
      </c>
      <c r="R3" s="30" t="s">
        <v>15</v>
      </c>
    </row>
    <row r="4" spans="1:18">
      <c r="A4" s="6"/>
      <c r="B4" s="9" t="s">
        <v>16</v>
      </c>
      <c r="C4" s="9"/>
      <c r="D4" s="17">
        <v>10</v>
      </c>
      <c r="E4" s="17">
        <v>10</v>
      </c>
      <c r="F4" s="17">
        <v>20</v>
      </c>
      <c r="G4" s="17">
        <v>20</v>
      </c>
      <c r="H4" s="17">
        <f>(0.5*(D4+E4) + F4 + G4)</f>
        <v>50</v>
      </c>
      <c r="I4" s="17">
        <f>H4*2</f>
        <v>100</v>
      </c>
      <c r="J4" s="17">
        <f>K4/5</f>
        <v>20</v>
      </c>
      <c r="K4" s="17">
        <v>100</v>
      </c>
      <c r="L4" s="17">
        <v>100</v>
      </c>
      <c r="M4" s="17">
        <f>L4*0.3</f>
        <v>30</v>
      </c>
      <c r="N4" s="6">
        <f>SUM(H4,J4,M4)</f>
        <v>100</v>
      </c>
      <c r="O4" s="6"/>
      <c r="P4" s="7"/>
    </row>
    <row r="5" spans="1:18" ht="15.75">
      <c r="A5" t="s">
        <v>17</v>
      </c>
      <c r="B5" s="18">
        <v>590029213</v>
      </c>
      <c r="C5" s="14">
        <v>77</v>
      </c>
      <c r="D5" s="25"/>
      <c r="E5" s="25"/>
      <c r="F5" s="25"/>
      <c r="G5" s="25"/>
      <c r="H5" s="26"/>
      <c r="I5" s="31"/>
      <c r="J5" s="27"/>
      <c r="K5" s="18"/>
      <c r="L5" s="18"/>
      <c r="M5" s="27"/>
      <c r="N5" s="28"/>
      <c r="O5" s="39"/>
      <c r="Q5" t="s">
        <v>18</v>
      </c>
      <c r="R5">
        <v>122507103</v>
      </c>
    </row>
    <row r="6" spans="1:18" ht="15.75">
      <c r="A6" t="s">
        <v>19</v>
      </c>
      <c r="B6" s="18">
        <v>590029270</v>
      </c>
      <c r="C6" s="14">
        <v>77</v>
      </c>
      <c r="D6" s="25"/>
      <c r="E6" s="25"/>
      <c r="F6" s="25"/>
      <c r="G6" s="25"/>
      <c r="H6" s="26"/>
      <c r="I6" s="31"/>
      <c r="J6" s="27"/>
      <c r="K6" s="18"/>
      <c r="L6" s="18"/>
      <c r="M6" s="27"/>
      <c r="N6" s="28"/>
      <c r="O6" s="39"/>
      <c r="Q6" t="s">
        <v>20</v>
      </c>
      <c r="R6">
        <v>25010104938</v>
      </c>
    </row>
    <row r="7" spans="1:18" ht="15.75">
      <c r="A7" t="s">
        <v>21</v>
      </c>
      <c r="B7" s="18">
        <v>590029204</v>
      </c>
      <c r="C7" s="14">
        <v>77</v>
      </c>
      <c r="D7" s="25"/>
      <c r="E7" s="25"/>
      <c r="F7" s="25"/>
      <c r="G7" s="25"/>
      <c r="H7" s="26"/>
      <c r="I7" s="31"/>
      <c r="J7" s="27"/>
      <c r="K7" s="18"/>
      <c r="L7" s="18"/>
      <c r="M7" s="27"/>
      <c r="N7" s="28"/>
      <c r="O7" s="39"/>
      <c r="Q7" t="s">
        <v>22</v>
      </c>
      <c r="R7">
        <v>25010104918</v>
      </c>
    </row>
    <row r="8" spans="1:18" ht="15.75">
      <c r="A8" t="s">
        <v>23</v>
      </c>
      <c r="B8" s="18">
        <v>590029109</v>
      </c>
      <c r="C8" s="14">
        <v>77</v>
      </c>
      <c r="D8" s="25"/>
      <c r="E8" s="25"/>
      <c r="F8" s="25"/>
      <c r="G8" s="25"/>
      <c r="H8" s="26"/>
      <c r="I8" s="31"/>
      <c r="J8" s="27"/>
      <c r="K8" s="18"/>
      <c r="L8" s="18"/>
      <c r="M8" s="27"/>
      <c r="N8" s="28"/>
      <c r="O8" s="39"/>
      <c r="Q8" t="s">
        <v>24</v>
      </c>
      <c r="R8">
        <v>25010104943</v>
      </c>
    </row>
    <row r="9" spans="1:18" ht="15.75">
      <c r="A9" t="s">
        <v>25</v>
      </c>
      <c r="B9" s="18">
        <v>590029070</v>
      </c>
      <c r="C9" s="14">
        <v>77</v>
      </c>
      <c r="D9" s="25"/>
      <c r="E9" s="25"/>
      <c r="F9" s="25"/>
      <c r="G9" s="25"/>
      <c r="H9" s="26"/>
      <c r="I9" s="31"/>
      <c r="J9" s="27"/>
      <c r="K9" s="18"/>
      <c r="L9" s="18"/>
      <c r="M9" s="27"/>
      <c r="N9" s="28"/>
      <c r="O9" s="39"/>
      <c r="Q9" t="s">
        <v>26</v>
      </c>
      <c r="R9">
        <v>25010104926</v>
      </c>
    </row>
    <row r="10" spans="1:18" ht="15.75">
      <c r="A10" t="s">
        <v>27</v>
      </c>
      <c r="B10" s="18">
        <v>590029157</v>
      </c>
      <c r="C10" s="14">
        <v>77</v>
      </c>
      <c r="D10" s="25"/>
      <c r="E10" s="25"/>
      <c r="F10" s="25"/>
      <c r="G10" s="25"/>
      <c r="H10" s="26"/>
      <c r="I10" s="31"/>
      <c r="J10" s="27"/>
      <c r="K10" s="18"/>
      <c r="L10" s="18"/>
      <c r="M10" s="27"/>
      <c r="N10" s="28"/>
      <c r="O10" s="39"/>
      <c r="Q10" t="s">
        <v>28</v>
      </c>
      <c r="R10">
        <v>25010104890</v>
      </c>
    </row>
    <row r="11" spans="1:18" ht="15.75">
      <c r="A11" t="s">
        <v>29</v>
      </c>
      <c r="B11" s="18">
        <v>590027157</v>
      </c>
      <c r="C11" s="14">
        <v>77</v>
      </c>
      <c r="D11" s="25"/>
      <c r="E11" s="25"/>
      <c r="F11" s="25"/>
      <c r="G11" s="25"/>
      <c r="H11" s="26"/>
      <c r="I11" s="31"/>
      <c r="J11" s="27"/>
      <c r="K11" s="18"/>
      <c r="L11" s="18"/>
      <c r="M11" s="27"/>
      <c r="N11" s="28"/>
      <c r="O11" s="39"/>
      <c r="Q11" t="s">
        <v>30</v>
      </c>
      <c r="R11">
        <v>25010104880</v>
      </c>
    </row>
    <row r="12" spans="1:18" ht="15.75">
      <c r="A12" t="s">
        <v>31</v>
      </c>
      <c r="B12" s="18">
        <v>590029274</v>
      </c>
      <c r="C12" s="14">
        <v>77</v>
      </c>
      <c r="D12" s="25"/>
      <c r="E12" s="25"/>
      <c r="F12" s="25"/>
      <c r="G12" s="25"/>
      <c r="H12" s="26"/>
      <c r="I12" s="31"/>
      <c r="J12" s="27"/>
      <c r="K12" s="18"/>
      <c r="L12" s="18"/>
      <c r="M12" s="27"/>
      <c r="N12" s="28"/>
      <c r="O12" s="39"/>
      <c r="Q12" t="s">
        <v>32</v>
      </c>
      <c r="R12">
        <v>25010104928</v>
      </c>
    </row>
    <row r="13" spans="1:18" ht="15.75">
      <c r="A13" t="s">
        <v>33</v>
      </c>
      <c r="B13" s="18">
        <v>590028572</v>
      </c>
      <c r="C13" s="14">
        <v>77</v>
      </c>
      <c r="D13" s="25"/>
      <c r="E13" s="25"/>
      <c r="F13" s="25"/>
      <c r="G13" s="25"/>
      <c r="H13" s="26"/>
      <c r="I13" s="31"/>
      <c r="J13" s="27"/>
      <c r="K13" s="18"/>
      <c r="L13" s="18"/>
      <c r="M13" s="27"/>
      <c r="N13" s="28"/>
      <c r="O13" s="39"/>
      <c r="Q13" t="s">
        <v>34</v>
      </c>
      <c r="R13">
        <v>25010104903</v>
      </c>
    </row>
    <row r="14" spans="1:18" ht="15.75">
      <c r="A14" t="s">
        <v>35</v>
      </c>
      <c r="B14" s="18">
        <v>590029230</v>
      </c>
      <c r="C14" s="14">
        <v>77</v>
      </c>
      <c r="D14" s="25"/>
      <c r="E14" s="25"/>
      <c r="F14" s="25"/>
      <c r="G14" s="25"/>
      <c r="H14" s="26"/>
      <c r="I14" s="31"/>
      <c r="J14" s="27"/>
      <c r="K14" s="18"/>
      <c r="L14" s="18"/>
      <c r="M14" s="27"/>
      <c r="N14" s="28"/>
      <c r="O14" s="39"/>
      <c r="Q14" t="s">
        <v>36</v>
      </c>
      <c r="R14">
        <v>25010104910</v>
      </c>
    </row>
    <row r="15" spans="1:18" ht="15.75">
      <c r="A15" t="s">
        <v>37</v>
      </c>
      <c r="B15" s="18">
        <v>590029169</v>
      </c>
      <c r="C15" s="14">
        <v>77</v>
      </c>
      <c r="D15" s="25"/>
      <c r="E15" s="25"/>
      <c r="F15" s="25"/>
      <c r="G15" s="25"/>
      <c r="H15" s="26"/>
      <c r="I15" s="31"/>
      <c r="J15" s="27"/>
      <c r="K15" s="18"/>
      <c r="L15" s="18"/>
      <c r="M15" s="27"/>
      <c r="N15" s="28"/>
      <c r="O15" s="39"/>
      <c r="Q15" t="s">
        <v>38</v>
      </c>
      <c r="R15">
        <v>25010104944</v>
      </c>
    </row>
    <row r="16" spans="1:18" ht="15.75">
      <c r="A16" t="s">
        <v>39</v>
      </c>
      <c r="B16" s="18">
        <v>590029112</v>
      </c>
      <c r="C16" s="14">
        <v>77</v>
      </c>
      <c r="D16" s="25"/>
      <c r="E16" s="25"/>
      <c r="F16" s="25"/>
      <c r="G16" s="25"/>
      <c r="H16" s="26"/>
      <c r="I16" s="31"/>
      <c r="J16" s="27"/>
      <c r="K16" s="18"/>
      <c r="L16" s="18"/>
      <c r="M16" s="27"/>
      <c r="N16" s="28"/>
      <c r="O16" s="39"/>
      <c r="Q16" t="s">
        <v>40</v>
      </c>
      <c r="R16">
        <v>25010104876</v>
      </c>
    </row>
    <row r="17" spans="1:18" ht="15.75">
      <c r="A17" t="s">
        <v>41</v>
      </c>
      <c r="B17" s="18">
        <v>590025556</v>
      </c>
      <c r="C17" s="14">
        <v>77</v>
      </c>
      <c r="D17" s="40"/>
      <c r="E17" s="40"/>
      <c r="F17" s="40"/>
      <c r="G17" s="40"/>
      <c r="H17" s="41"/>
      <c r="I17" s="42"/>
      <c r="J17" s="42"/>
      <c r="K17" s="43"/>
      <c r="L17" s="43"/>
      <c r="M17" s="42"/>
      <c r="N17" s="44"/>
      <c r="O17" s="45"/>
      <c r="Q17" t="s">
        <v>42</v>
      </c>
      <c r="R17">
        <v>122515743</v>
      </c>
    </row>
    <row r="18" spans="1:18" ht="15.75">
      <c r="A18" t="s">
        <v>43</v>
      </c>
      <c r="B18" s="18">
        <v>590027830</v>
      </c>
      <c r="C18" s="14">
        <v>77</v>
      </c>
      <c r="D18" s="25"/>
      <c r="E18" s="25"/>
      <c r="F18" s="25"/>
      <c r="G18" s="25"/>
      <c r="H18" s="32"/>
      <c r="I18" s="31"/>
      <c r="J18" s="31"/>
      <c r="K18" s="18"/>
      <c r="L18" s="18"/>
      <c r="M18" s="31"/>
      <c r="N18" s="7"/>
      <c r="Q18" t="s">
        <v>44</v>
      </c>
      <c r="R18">
        <v>25010104886</v>
      </c>
    </row>
    <row r="19" spans="1:18" ht="15.75">
      <c r="A19" t="s">
        <v>45</v>
      </c>
      <c r="B19" s="18">
        <v>590028360</v>
      </c>
      <c r="C19" s="14">
        <v>77</v>
      </c>
      <c r="D19" s="25"/>
      <c r="E19" s="25"/>
      <c r="F19" s="25"/>
      <c r="G19" s="25"/>
      <c r="H19" s="32"/>
      <c r="I19" s="31"/>
      <c r="J19" s="31"/>
      <c r="K19" s="18"/>
      <c r="L19" s="18"/>
      <c r="M19" s="31"/>
      <c r="N19" s="7"/>
      <c r="Q19" t="s">
        <v>46</v>
      </c>
      <c r="R19">
        <v>25010104881</v>
      </c>
    </row>
    <row r="20" spans="1:18" ht="15.75">
      <c r="A20" t="s">
        <v>47</v>
      </c>
      <c r="B20" s="18">
        <v>590029237</v>
      </c>
      <c r="C20" s="14">
        <v>77</v>
      </c>
      <c r="D20" s="25"/>
      <c r="E20" s="25"/>
      <c r="F20" s="25"/>
      <c r="G20" s="25"/>
      <c r="H20" s="32"/>
      <c r="I20" s="31"/>
      <c r="J20" s="31"/>
      <c r="K20" s="18"/>
      <c r="L20" s="18"/>
      <c r="M20" s="31"/>
      <c r="N20" s="7"/>
      <c r="Q20" t="s">
        <v>48</v>
      </c>
      <c r="R20">
        <v>25010104909</v>
      </c>
    </row>
    <row r="21" spans="1:18">
      <c r="A21" t="s">
        <v>49</v>
      </c>
      <c r="B21" s="18">
        <v>590029079</v>
      </c>
      <c r="C21" s="14">
        <v>77</v>
      </c>
      <c r="Q21" t="s">
        <v>50</v>
      </c>
      <c r="R21">
        <v>25010104906</v>
      </c>
    </row>
    <row r="22" spans="1:18">
      <c r="A22" t="s">
        <v>51</v>
      </c>
      <c r="B22" s="18">
        <v>590029145</v>
      </c>
      <c r="C22" s="14">
        <v>77</v>
      </c>
      <c r="Q22" t="s">
        <v>52</v>
      </c>
      <c r="R22">
        <v>25010104892</v>
      </c>
    </row>
    <row r="23" spans="1:18">
      <c r="A23" t="s">
        <v>53</v>
      </c>
      <c r="B23" s="18">
        <v>590029209</v>
      </c>
      <c r="C23" s="14">
        <v>77</v>
      </c>
      <c r="F23" s="13"/>
      <c r="H23" s="18"/>
      <c r="J23"/>
      <c r="Q23" t="s">
        <v>54</v>
      </c>
      <c r="R23">
        <v>25010104887</v>
      </c>
    </row>
    <row r="24" spans="1:18">
      <c r="A24" t="s">
        <v>55</v>
      </c>
      <c r="B24" s="18">
        <v>590027268</v>
      </c>
      <c r="C24" s="14">
        <v>77</v>
      </c>
      <c r="E24" s="18"/>
      <c r="H24"/>
      <c r="J24"/>
      <c r="O24" s="24"/>
      <c r="Q24" t="s">
        <v>56</v>
      </c>
      <c r="R24">
        <v>25010104933</v>
      </c>
    </row>
    <row r="25" spans="1:18">
      <c r="A25" t="s">
        <v>57</v>
      </c>
      <c r="B25" s="18">
        <v>590029227</v>
      </c>
      <c r="C25" s="14">
        <v>77</v>
      </c>
      <c r="E25" s="18"/>
      <c r="H25"/>
      <c r="J25"/>
      <c r="O25" s="24"/>
      <c r="Q25" t="s">
        <v>58</v>
      </c>
      <c r="R25">
        <v>25010104900</v>
      </c>
    </row>
    <row r="26" spans="1:18">
      <c r="A26" t="s">
        <v>59</v>
      </c>
      <c r="B26" s="18">
        <v>590029241</v>
      </c>
      <c r="C26" s="14">
        <v>77</v>
      </c>
      <c r="E26" s="18"/>
      <c r="H26"/>
      <c r="J26"/>
      <c r="O26" s="24"/>
      <c r="Q26" t="s">
        <v>60</v>
      </c>
      <c r="R26">
        <v>25010104915</v>
      </c>
    </row>
    <row r="27" spans="1:18">
      <c r="A27" t="s">
        <v>61</v>
      </c>
      <c r="B27" s="18">
        <v>590023855</v>
      </c>
      <c r="C27" s="14">
        <v>77</v>
      </c>
      <c r="E27" s="18"/>
      <c r="H27"/>
      <c r="J27"/>
      <c r="O27" s="24"/>
      <c r="Q27" t="s">
        <v>62</v>
      </c>
      <c r="R27">
        <v>25010104868</v>
      </c>
    </row>
    <row r="28" spans="1:18">
      <c r="A28" t="s">
        <v>63</v>
      </c>
      <c r="B28" s="18">
        <v>590029215</v>
      </c>
      <c r="C28" s="14">
        <v>77</v>
      </c>
      <c r="E28" s="18"/>
      <c r="H28"/>
      <c r="J28"/>
      <c r="O28" s="24"/>
      <c r="Q28" t="s">
        <v>64</v>
      </c>
      <c r="R28">
        <v>25010104884</v>
      </c>
    </row>
    <row r="29" spans="1:18">
      <c r="A29" t="s">
        <v>65</v>
      </c>
      <c r="B29" s="18">
        <v>590029111</v>
      </c>
      <c r="C29" s="14">
        <v>77</v>
      </c>
      <c r="E29" s="18"/>
      <c r="H29"/>
      <c r="J29"/>
      <c r="O29" s="24"/>
      <c r="Q29" t="s">
        <v>66</v>
      </c>
      <c r="R29">
        <v>25010104888</v>
      </c>
    </row>
    <row r="30" spans="1:18">
      <c r="A30" t="s">
        <v>67</v>
      </c>
      <c r="B30" s="18">
        <v>590028683</v>
      </c>
      <c r="C30" s="14">
        <v>77</v>
      </c>
      <c r="E30" s="18"/>
      <c r="H30"/>
      <c r="J30"/>
      <c r="O30" s="24"/>
      <c r="Q30" t="s">
        <v>68</v>
      </c>
      <c r="R30">
        <v>25010104936</v>
      </c>
    </row>
    <row r="31" spans="1:18">
      <c r="A31" t="s">
        <v>69</v>
      </c>
      <c r="B31" s="18">
        <v>590029121</v>
      </c>
      <c r="C31" s="14">
        <v>77</v>
      </c>
      <c r="E31" s="18"/>
      <c r="H31"/>
      <c r="J31"/>
      <c r="O31" s="24"/>
      <c r="Q31" t="s">
        <v>70</v>
      </c>
      <c r="R31">
        <v>25010104875</v>
      </c>
    </row>
    <row r="32" spans="1:18">
      <c r="A32" t="s">
        <v>71</v>
      </c>
      <c r="B32" s="18">
        <v>590029048</v>
      </c>
      <c r="C32" s="14">
        <v>77</v>
      </c>
      <c r="E32" s="18"/>
      <c r="H32"/>
      <c r="J32"/>
      <c r="O32" s="24"/>
      <c r="Q32" t="s">
        <v>72</v>
      </c>
      <c r="R32">
        <v>25010104925</v>
      </c>
    </row>
    <row r="33" spans="1:18">
      <c r="A33" t="s">
        <v>73</v>
      </c>
      <c r="B33" s="18">
        <v>590029184</v>
      </c>
      <c r="C33" s="14">
        <v>77</v>
      </c>
      <c r="E33" s="18"/>
      <c r="H33"/>
      <c r="J33"/>
      <c r="O33" s="24"/>
      <c r="Q33" t="s">
        <v>74</v>
      </c>
      <c r="R33">
        <v>25010104879</v>
      </c>
    </row>
    <row r="34" spans="1:18">
      <c r="A34" t="s">
        <v>75</v>
      </c>
      <c r="B34" s="18">
        <v>590029330</v>
      </c>
      <c r="C34" s="14">
        <v>78</v>
      </c>
      <c r="E34" s="18"/>
      <c r="H34"/>
      <c r="J34"/>
      <c r="O34" s="24"/>
      <c r="Q34" t="s">
        <v>76</v>
      </c>
      <c r="R34">
        <v>25010104997</v>
      </c>
    </row>
    <row r="35" spans="1:18">
      <c r="A35" t="s">
        <v>77</v>
      </c>
      <c r="B35" s="18">
        <v>590027630</v>
      </c>
      <c r="C35" s="14">
        <v>78</v>
      </c>
      <c r="E35" s="18"/>
      <c r="H35"/>
      <c r="J35"/>
      <c r="O35" s="24"/>
      <c r="Q35" t="s">
        <v>78</v>
      </c>
      <c r="R35">
        <v>25010105001</v>
      </c>
    </row>
    <row r="36" spans="1:18">
      <c r="A36" t="s">
        <v>79</v>
      </c>
      <c r="B36" s="18">
        <v>590029219</v>
      </c>
      <c r="C36" s="14">
        <v>78</v>
      </c>
      <c r="E36" s="18"/>
      <c r="H36"/>
      <c r="J36"/>
      <c r="O36" s="24"/>
      <c r="Q36" t="s">
        <v>80</v>
      </c>
      <c r="R36">
        <v>25010104956</v>
      </c>
    </row>
    <row r="37" spans="1:18">
      <c r="A37" t="s">
        <v>81</v>
      </c>
      <c r="B37" s="18">
        <v>590028933</v>
      </c>
      <c r="C37" s="14">
        <v>78</v>
      </c>
      <c r="E37" s="18"/>
      <c r="H37"/>
      <c r="J37"/>
      <c r="O37" s="24"/>
      <c r="Q37" t="s">
        <v>82</v>
      </c>
      <c r="R37">
        <v>25010104948</v>
      </c>
    </row>
    <row r="38" spans="1:18">
      <c r="A38" t="s">
        <v>83</v>
      </c>
      <c r="B38" s="18">
        <v>590027859</v>
      </c>
      <c r="C38" s="14">
        <v>78</v>
      </c>
      <c r="Q38" t="s">
        <v>84</v>
      </c>
      <c r="R38">
        <v>25010104974</v>
      </c>
    </row>
    <row r="39" spans="1:18">
      <c r="A39" t="s">
        <v>85</v>
      </c>
      <c r="B39" s="18">
        <v>590028682</v>
      </c>
      <c r="C39" s="14">
        <v>78</v>
      </c>
      <c r="Q39" t="s">
        <v>86</v>
      </c>
      <c r="R39">
        <v>25010104995</v>
      </c>
    </row>
    <row r="40" spans="1:18">
      <c r="A40" t="s">
        <v>87</v>
      </c>
      <c r="B40" s="18">
        <v>590023917</v>
      </c>
      <c r="C40" s="14">
        <v>78</v>
      </c>
      <c r="Q40" t="s">
        <v>88</v>
      </c>
      <c r="R40">
        <v>25010105012</v>
      </c>
    </row>
    <row r="41" spans="1:18">
      <c r="A41" t="s">
        <v>89</v>
      </c>
      <c r="B41" s="18">
        <v>590023785</v>
      </c>
      <c r="C41" s="14">
        <v>78</v>
      </c>
      <c r="Q41" t="s">
        <v>90</v>
      </c>
      <c r="R41">
        <v>25010104947</v>
      </c>
    </row>
    <row r="42" spans="1:18">
      <c r="A42" t="s">
        <v>91</v>
      </c>
      <c r="B42" s="18">
        <v>590029264</v>
      </c>
      <c r="C42" s="14">
        <v>78</v>
      </c>
      <c r="Q42" t="s">
        <v>92</v>
      </c>
      <c r="R42">
        <v>25010104986</v>
      </c>
    </row>
    <row r="43" spans="1:18">
      <c r="A43" t="s">
        <v>93</v>
      </c>
      <c r="B43" s="18">
        <v>590029042</v>
      </c>
      <c r="C43" s="14">
        <v>78</v>
      </c>
      <c r="Q43" t="s">
        <v>94</v>
      </c>
      <c r="R43">
        <v>25010104982</v>
      </c>
    </row>
    <row r="44" spans="1:18">
      <c r="A44" t="s">
        <v>95</v>
      </c>
      <c r="B44" s="18">
        <v>590029336</v>
      </c>
      <c r="C44" s="14">
        <v>78</v>
      </c>
      <c r="Q44" t="s">
        <v>96</v>
      </c>
      <c r="R44">
        <v>25010104998</v>
      </c>
    </row>
    <row r="45" spans="1:18">
      <c r="A45" t="s">
        <v>97</v>
      </c>
      <c r="B45" s="18">
        <v>590029233</v>
      </c>
      <c r="C45" s="14">
        <v>78</v>
      </c>
      <c r="Q45" t="s">
        <v>98</v>
      </c>
      <c r="R45">
        <v>25010104996</v>
      </c>
    </row>
    <row r="46" spans="1:18">
      <c r="A46" t="s">
        <v>99</v>
      </c>
      <c r="B46" s="18">
        <v>590029328</v>
      </c>
      <c r="C46" s="14">
        <v>78</v>
      </c>
      <c r="Q46" t="s">
        <v>100</v>
      </c>
      <c r="R46">
        <v>25010105010</v>
      </c>
    </row>
    <row r="47" spans="1:18">
      <c r="A47" t="s">
        <v>101</v>
      </c>
      <c r="B47" s="18">
        <v>590028608</v>
      </c>
      <c r="C47" s="14">
        <v>78</v>
      </c>
      <c r="Q47" t="s">
        <v>102</v>
      </c>
      <c r="R47">
        <v>25010104999</v>
      </c>
    </row>
    <row r="48" spans="1:18">
      <c r="A48" t="s">
        <v>103</v>
      </c>
      <c r="B48" s="18">
        <v>590028605</v>
      </c>
      <c r="C48" s="14">
        <v>78</v>
      </c>
      <c r="Q48" t="s">
        <v>104</v>
      </c>
      <c r="R48">
        <v>25010104326</v>
      </c>
    </row>
    <row r="49" spans="1:18">
      <c r="A49" t="s">
        <v>105</v>
      </c>
      <c r="B49" s="18">
        <v>590026626</v>
      </c>
      <c r="C49" s="14">
        <v>78</v>
      </c>
      <c r="Q49" t="s">
        <v>106</v>
      </c>
      <c r="R49">
        <v>25010104601</v>
      </c>
    </row>
    <row r="50" spans="1:18">
      <c r="A50" t="s">
        <v>107</v>
      </c>
      <c r="B50" s="18">
        <v>590029310</v>
      </c>
      <c r="C50" s="14">
        <v>78</v>
      </c>
      <c r="Q50" t="s">
        <v>108</v>
      </c>
      <c r="R50">
        <v>25010104970</v>
      </c>
    </row>
    <row r="51" spans="1:18">
      <c r="A51" t="s">
        <v>109</v>
      </c>
      <c r="B51" s="18">
        <v>590029319</v>
      </c>
      <c r="C51" s="14">
        <v>78</v>
      </c>
      <c r="Q51" t="s">
        <v>110</v>
      </c>
      <c r="R51">
        <v>25010105008</v>
      </c>
    </row>
    <row r="52" spans="1:18">
      <c r="A52" t="s">
        <v>111</v>
      </c>
      <c r="B52" s="18">
        <v>590029339</v>
      </c>
      <c r="C52" s="14">
        <v>78</v>
      </c>
      <c r="Q52" t="s">
        <v>112</v>
      </c>
      <c r="R52">
        <v>25010105011</v>
      </c>
    </row>
    <row r="53" spans="1:18">
      <c r="A53" t="s">
        <v>113</v>
      </c>
      <c r="B53" s="18">
        <v>590029148</v>
      </c>
      <c r="C53" s="14">
        <v>78</v>
      </c>
      <c r="Q53" t="s">
        <v>114</v>
      </c>
      <c r="R53">
        <v>25010104992</v>
      </c>
    </row>
    <row r="54" spans="1:18">
      <c r="A54" t="s">
        <v>115</v>
      </c>
      <c r="B54" s="18">
        <v>590029309</v>
      </c>
      <c r="C54" s="14">
        <v>78</v>
      </c>
      <c r="Q54" t="s">
        <v>116</v>
      </c>
      <c r="R54">
        <v>25010104979</v>
      </c>
    </row>
    <row r="55" spans="1:18">
      <c r="A55" t="s">
        <v>117</v>
      </c>
      <c r="B55" s="18">
        <v>590028838</v>
      </c>
      <c r="C55" s="14">
        <v>78</v>
      </c>
      <c r="Q55" t="s">
        <v>118</v>
      </c>
      <c r="R55">
        <v>25010104945</v>
      </c>
    </row>
    <row r="56" spans="1:18">
      <c r="A56" t="s">
        <v>119</v>
      </c>
      <c r="B56" s="18">
        <v>590029107</v>
      </c>
      <c r="C56" s="14">
        <v>78</v>
      </c>
      <c r="Q56" t="s">
        <v>120</v>
      </c>
      <c r="R56">
        <v>25010104988</v>
      </c>
    </row>
    <row r="57" spans="1:18">
      <c r="A57" t="s">
        <v>121</v>
      </c>
      <c r="B57" s="18">
        <v>590029266</v>
      </c>
      <c r="C57" s="14">
        <v>78</v>
      </c>
      <c r="Q57" t="s">
        <v>122</v>
      </c>
      <c r="R57">
        <v>25010104958</v>
      </c>
    </row>
    <row r="58" spans="1:18">
      <c r="A58" t="s">
        <v>123</v>
      </c>
      <c r="B58" s="18">
        <v>590029354</v>
      </c>
      <c r="C58" s="14">
        <v>78</v>
      </c>
      <c r="Q58" t="s">
        <v>124</v>
      </c>
      <c r="R58">
        <v>25010105018</v>
      </c>
    </row>
    <row r="59" spans="1:18">
      <c r="A59" t="s">
        <v>125</v>
      </c>
      <c r="B59" s="18">
        <v>590029349</v>
      </c>
      <c r="C59" s="14">
        <v>78</v>
      </c>
      <c r="Q59" t="s">
        <v>126</v>
      </c>
      <c r="R59">
        <v>25010105017</v>
      </c>
    </row>
    <row r="60" spans="1:18">
      <c r="A60" t="s">
        <v>127</v>
      </c>
      <c r="B60" s="18">
        <v>590029302</v>
      </c>
      <c r="C60" s="14">
        <v>78</v>
      </c>
      <c r="Q60" t="s">
        <v>128</v>
      </c>
      <c r="R60">
        <v>25010104954</v>
      </c>
    </row>
    <row r="61" spans="1:18">
      <c r="A61" t="s">
        <v>129</v>
      </c>
      <c r="B61" s="18">
        <v>590029262</v>
      </c>
      <c r="C61" s="14">
        <v>78</v>
      </c>
      <c r="Q61" t="s">
        <v>130</v>
      </c>
      <c r="R61">
        <v>25010104987</v>
      </c>
    </row>
    <row r="62" spans="1:18">
      <c r="A62" t="s">
        <v>131</v>
      </c>
      <c r="B62" s="18">
        <v>590029285</v>
      </c>
      <c r="C62" s="14">
        <v>78</v>
      </c>
      <c r="Q62" t="s">
        <v>132</v>
      </c>
      <c r="R62">
        <v>25010104949</v>
      </c>
    </row>
    <row r="63" spans="1:18">
      <c r="A63" t="s">
        <v>133</v>
      </c>
      <c r="B63" s="18">
        <v>590029353</v>
      </c>
      <c r="C63" s="14">
        <v>78</v>
      </c>
      <c r="Q63" t="s">
        <v>134</v>
      </c>
      <c r="R63">
        <v>122514758</v>
      </c>
    </row>
  </sheetData>
  <mergeCells count="2">
    <mergeCell ref="A1:O1"/>
    <mergeCell ref="A2:O2"/>
  </mergeCells>
  <conditionalFormatting sqref="N5:N20">
    <cfRule type="colorScale" priority="1">
      <colorScale>
        <cfvo type="num" val="34"/>
        <cfvo type="num" val="35"/>
        <color rgb="FFFF7128"/>
        <color rgb="FF92D050"/>
      </colorScale>
    </cfRule>
  </conditionalFormatting>
  <printOptions gridLines="1"/>
  <pageMargins left="0.7" right="0.7" top="0.75" bottom="0.75" header="0.3" footer="0.3"/>
  <pageSetup paperSize="9" scale="83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5320EC-5887-4CA4-8B00-C82693C60F77}">
  <sheetPr>
    <pageSetUpPr fitToPage="1"/>
  </sheetPr>
  <dimension ref="A1:P65"/>
  <sheetViews>
    <sheetView topLeftCell="A4" workbookViewId="0">
      <selection activeCell="C4" sqref="C4"/>
    </sheetView>
  </sheetViews>
  <sheetFormatPr defaultRowHeight="15"/>
  <cols>
    <col min="1" max="1" width="25" customWidth="1"/>
    <col min="2" max="3" width="24.5703125" style="13" customWidth="1"/>
    <col min="16" max="16" width="13.140625" customWidth="1"/>
  </cols>
  <sheetData>
    <row r="1" spans="1:16" ht="24.75">
      <c r="A1" s="49" t="s">
        <v>135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</row>
    <row r="2" spans="1:16" ht="24.75">
      <c r="A2" s="49" t="str">
        <f>Marksheet!A2</f>
        <v xml:space="preserve">Computatioal Astrophysics (PHYS 8202) 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</row>
    <row r="3" spans="1:16">
      <c r="A3" s="2"/>
      <c r="B3" s="14"/>
      <c r="C3" s="14"/>
      <c r="D3" s="3" t="s">
        <v>136</v>
      </c>
      <c r="E3" s="3" t="s">
        <v>136</v>
      </c>
      <c r="F3" s="3" t="s">
        <v>136</v>
      </c>
      <c r="G3" s="3" t="s">
        <v>136</v>
      </c>
      <c r="H3" s="3" t="s">
        <v>137</v>
      </c>
      <c r="I3" s="3" t="s">
        <v>138</v>
      </c>
      <c r="J3" s="3"/>
      <c r="K3" s="3"/>
      <c r="L3" s="3"/>
      <c r="M3" s="3"/>
      <c r="N3" s="3"/>
      <c r="O3" s="2"/>
      <c r="P3" s="2"/>
    </row>
    <row r="4" spans="1:16">
      <c r="A4" s="4" t="s">
        <v>139</v>
      </c>
      <c r="B4" s="15" t="s">
        <v>140</v>
      </c>
      <c r="C4" s="15" t="s">
        <v>4</v>
      </c>
      <c r="D4" s="8" t="s">
        <v>141</v>
      </c>
      <c r="E4" s="8" t="s">
        <v>142</v>
      </c>
      <c r="F4" s="8" t="s">
        <v>143</v>
      </c>
      <c r="G4" s="8" t="s">
        <v>144</v>
      </c>
      <c r="H4" s="8" t="s">
        <v>145</v>
      </c>
      <c r="I4" s="8" t="s">
        <v>146</v>
      </c>
      <c r="J4" s="8" t="s">
        <v>147</v>
      </c>
      <c r="K4" s="8" t="s">
        <v>148</v>
      </c>
      <c r="L4" s="8" t="s">
        <v>149</v>
      </c>
      <c r="M4" s="8" t="s">
        <v>150</v>
      </c>
      <c r="N4" s="8" t="s">
        <v>151</v>
      </c>
      <c r="O4" s="8" t="s">
        <v>12</v>
      </c>
      <c r="P4" s="8" t="s">
        <v>13</v>
      </c>
    </row>
    <row r="5" spans="1:16">
      <c r="A5" s="6"/>
      <c r="B5" s="9" t="s">
        <v>16</v>
      </c>
      <c r="C5" s="9"/>
      <c r="D5" s="9">
        <v>5</v>
      </c>
      <c r="E5" s="9">
        <v>5</v>
      </c>
      <c r="F5" s="9">
        <v>5</v>
      </c>
      <c r="G5" s="9">
        <v>5</v>
      </c>
      <c r="H5" s="9">
        <v>15</v>
      </c>
      <c r="I5" s="9">
        <v>15</v>
      </c>
      <c r="J5" s="9"/>
      <c r="K5" s="9"/>
      <c r="L5" s="9"/>
      <c r="M5" s="9"/>
      <c r="N5" s="9"/>
      <c r="O5" s="9">
        <f>SUM(D5:I5)</f>
        <v>50</v>
      </c>
      <c r="P5" s="9"/>
    </row>
    <row r="6" spans="1:16">
      <c r="A6" s="5" t="str">
        <f>Marksheet!A5</f>
        <v>Aadya Dubey</v>
      </c>
      <c r="B6" s="14">
        <f>Marksheet!B5</f>
        <v>590029213</v>
      </c>
      <c r="C6" s="14">
        <v>77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9">
        <f t="shared" ref="O6:O21" si="0">SUM(D6:I6)</f>
        <v>0</v>
      </c>
      <c r="P6" s="2"/>
    </row>
    <row r="7" spans="1:16">
      <c r="A7" s="5" t="str">
        <f>Marksheet!A6</f>
        <v>Aditya Vishwakarma</v>
      </c>
      <c r="B7" s="14">
        <f>Marksheet!B6</f>
        <v>590029270</v>
      </c>
      <c r="C7" s="14">
        <v>77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9">
        <f t="shared" si="0"/>
        <v>0</v>
      </c>
      <c r="P7" s="2"/>
    </row>
    <row r="8" spans="1:16">
      <c r="A8" s="5" t="str">
        <f>Marksheet!A7</f>
        <v>Arjun</v>
      </c>
      <c r="B8" s="14">
        <f>Marksheet!B7</f>
        <v>590029204</v>
      </c>
      <c r="C8" s="14">
        <v>77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9">
        <f t="shared" si="0"/>
        <v>0</v>
      </c>
      <c r="P8" s="2"/>
    </row>
    <row r="9" spans="1:16">
      <c r="A9" s="5" t="str">
        <f>Marksheet!A8</f>
        <v>Aryan Yadav</v>
      </c>
      <c r="B9" s="14">
        <f>Marksheet!B8</f>
        <v>590029109</v>
      </c>
      <c r="C9" s="14">
        <v>77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9">
        <f t="shared" si="0"/>
        <v>0</v>
      </c>
      <c r="P9" s="2"/>
    </row>
    <row r="10" spans="1:16">
      <c r="A10" s="5" t="str">
        <f>Marksheet!A9</f>
        <v>Astik Patel</v>
      </c>
      <c r="B10" s="14">
        <f>Marksheet!B9</f>
        <v>590029070</v>
      </c>
      <c r="C10" s="14">
        <v>77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9">
        <f t="shared" si="0"/>
        <v>0</v>
      </c>
      <c r="P10" s="2"/>
    </row>
    <row r="11" spans="1:16">
      <c r="A11" s="5" t="str">
        <f>Marksheet!A10</f>
        <v>Ayush Mohan</v>
      </c>
      <c r="B11" s="14">
        <f>Marksheet!B10</f>
        <v>590029157</v>
      </c>
      <c r="C11" s="14">
        <v>77</v>
      </c>
      <c r="D11" s="16"/>
      <c r="E11" s="16"/>
      <c r="F11" s="16"/>
      <c r="G11" s="16"/>
      <c r="H11" s="16"/>
      <c r="I11" s="16"/>
      <c r="J11" s="2"/>
      <c r="K11" s="2"/>
      <c r="L11" s="2"/>
      <c r="M11" s="2"/>
      <c r="N11" s="2"/>
      <c r="O11" s="9">
        <f t="shared" si="0"/>
        <v>0</v>
      </c>
      <c r="P11" s="2"/>
    </row>
    <row r="12" spans="1:16">
      <c r="A12" s="5" t="str">
        <f>Marksheet!A11</f>
        <v>Bhanu Purohit</v>
      </c>
      <c r="B12" s="14">
        <f>Marksheet!B11</f>
        <v>590027157</v>
      </c>
      <c r="C12" s="14">
        <v>77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9">
        <f t="shared" si="0"/>
        <v>0</v>
      </c>
      <c r="P12" s="2"/>
    </row>
    <row r="13" spans="1:16">
      <c r="A13" s="5" t="str">
        <f>Marksheet!A12</f>
        <v>Biswabandya Mohanty</v>
      </c>
      <c r="B13" s="14">
        <f>Marksheet!B12</f>
        <v>590029274</v>
      </c>
      <c r="C13" s="14">
        <v>77</v>
      </c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9">
        <f t="shared" si="0"/>
        <v>0</v>
      </c>
      <c r="P13" s="2"/>
    </row>
    <row r="14" spans="1:16">
      <c r="A14" s="5" t="str">
        <f>Marksheet!A13</f>
        <v>Eashan Vashisht</v>
      </c>
      <c r="B14" s="14">
        <f>Marksheet!B13</f>
        <v>590028572</v>
      </c>
      <c r="C14" s="14">
        <v>77</v>
      </c>
      <c r="D14" s="12"/>
      <c r="E14" s="12"/>
      <c r="F14" s="12"/>
      <c r="G14" s="12"/>
      <c r="H14" s="12"/>
      <c r="I14" s="12"/>
      <c r="J14" s="2"/>
      <c r="K14" s="2"/>
      <c r="L14" s="2"/>
      <c r="M14" s="2"/>
      <c r="N14" s="2"/>
      <c r="O14" s="9">
        <f t="shared" si="0"/>
        <v>0</v>
      </c>
      <c r="P14" s="2"/>
    </row>
    <row r="15" spans="1:16">
      <c r="A15" s="5" t="str">
        <f>Marksheet!A14</f>
        <v>Hardik Joshi</v>
      </c>
      <c r="B15" s="14">
        <f>Marksheet!B14</f>
        <v>590029230</v>
      </c>
      <c r="C15" s="14">
        <v>77</v>
      </c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9">
        <f t="shared" si="0"/>
        <v>0</v>
      </c>
      <c r="P15" s="2"/>
    </row>
    <row r="16" spans="1:16">
      <c r="A16" s="5" t="str">
        <f>Marksheet!A15</f>
        <v>Hrithvik Bhardwaj</v>
      </c>
      <c r="B16" s="14">
        <f>Marksheet!B15</f>
        <v>590029169</v>
      </c>
      <c r="C16" s="14">
        <v>77</v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9">
        <f t="shared" si="0"/>
        <v>0</v>
      </c>
      <c r="P16" s="2"/>
    </row>
    <row r="17" spans="1:16">
      <c r="A17" s="5" t="str">
        <f>Marksheet!A16</f>
        <v>Nitish Kumar</v>
      </c>
      <c r="B17" s="14">
        <f>Marksheet!B16</f>
        <v>590029112</v>
      </c>
      <c r="C17" s="14">
        <v>77</v>
      </c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9">
        <f t="shared" si="0"/>
        <v>0</v>
      </c>
      <c r="P17" s="2"/>
    </row>
    <row r="18" spans="1:16">
      <c r="A18" s="5" t="str">
        <f>Marksheet!A17</f>
        <v>Omkareshwar Chaubey</v>
      </c>
      <c r="B18" s="14">
        <f>Marksheet!B17</f>
        <v>590025556</v>
      </c>
      <c r="C18" s="14">
        <v>77</v>
      </c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9">
        <f t="shared" si="0"/>
        <v>0</v>
      </c>
      <c r="P18" s="2"/>
    </row>
    <row r="19" spans="1:16">
      <c r="A19" s="5" t="str">
        <f>Marksheet!A18</f>
        <v>Pavani Jain</v>
      </c>
      <c r="B19" s="14">
        <f>Marksheet!B18</f>
        <v>590027830</v>
      </c>
      <c r="C19" s="14">
        <v>77</v>
      </c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9">
        <f t="shared" si="0"/>
        <v>0</v>
      </c>
      <c r="P19" s="2"/>
    </row>
    <row r="20" spans="1:16">
      <c r="A20" s="5" t="str">
        <f>Marksheet!A19</f>
        <v>Prapti Uniyal</v>
      </c>
      <c r="B20" s="14">
        <f>Marksheet!B19</f>
        <v>590028360</v>
      </c>
      <c r="C20" s="14">
        <v>77</v>
      </c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9">
        <f t="shared" si="0"/>
        <v>0</v>
      </c>
      <c r="P20" s="2"/>
    </row>
    <row r="21" spans="1:16">
      <c r="A21" s="5" t="str">
        <f>Marksheet!A20</f>
        <v>Priyadarshi Prabhakar</v>
      </c>
      <c r="B21" s="14">
        <f>Marksheet!B20</f>
        <v>590029237</v>
      </c>
      <c r="C21" s="14">
        <v>77</v>
      </c>
      <c r="D21" s="2"/>
      <c r="E21" s="2"/>
      <c r="F21" s="2"/>
      <c r="G21" s="2"/>
      <c r="H21" s="2"/>
      <c r="I21" s="2"/>
      <c r="J21" s="2"/>
      <c r="K21" s="2"/>
      <c r="L21" s="2"/>
      <c r="M21" s="2"/>
      <c r="N21" s="10"/>
      <c r="O21" s="9">
        <f t="shared" si="0"/>
        <v>0</v>
      </c>
      <c r="P21" s="10"/>
    </row>
    <row r="22" spans="1:16">
      <c r="A22" s="5" t="str">
        <f>Marksheet!A21</f>
        <v>Radhe Patel</v>
      </c>
      <c r="B22" s="14">
        <f>Marksheet!B21</f>
        <v>590029079</v>
      </c>
      <c r="C22" s="14">
        <v>77</v>
      </c>
      <c r="N22" s="11"/>
      <c r="O22" s="11"/>
      <c r="P22" s="11"/>
    </row>
    <row r="23" spans="1:16">
      <c r="A23" s="5" t="str">
        <f>Marksheet!A22</f>
        <v>Rishika Purushotham</v>
      </c>
      <c r="B23" s="14">
        <f>Marksheet!B22</f>
        <v>590029145</v>
      </c>
      <c r="C23" s="14">
        <v>77</v>
      </c>
    </row>
    <row r="24" spans="1:16">
      <c r="A24" s="5" t="str">
        <f>Marksheet!A23</f>
        <v>Rishiv Kumar</v>
      </c>
      <c r="B24" s="14">
        <f>Marksheet!B23</f>
        <v>590029209</v>
      </c>
      <c r="C24" s="14">
        <v>77</v>
      </c>
    </row>
    <row r="25" spans="1:16">
      <c r="A25" s="5" t="str">
        <f>Marksheet!A24</f>
        <v>Sankalp Sunil Ronge</v>
      </c>
      <c r="B25" s="14">
        <f>Marksheet!B24</f>
        <v>590027268</v>
      </c>
      <c r="C25" s="14">
        <v>77</v>
      </c>
    </row>
    <row r="26" spans="1:16">
      <c r="A26" s="5" t="str">
        <f>Marksheet!A25</f>
        <v>Sartaj Singh</v>
      </c>
      <c r="B26" s="14">
        <f>Marksheet!B25</f>
        <v>590029227</v>
      </c>
      <c r="C26" s="14">
        <v>77</v>
      </c>
    </row>
    <row r="27" spans="1:16">
      <c r="A27" s="5" t="str">
        <f>Marksheet!A26</f>
        <v>Satakshi Gupta</v>
      </c>
      <c r="B27" s="14">
        <f>Marksheet!B26</f>
        <v>590029241</v>
      </c>
      <c r="C27" s="14">
        <v>77</v>
      </c>
    </row>
    <row r="28" spans="1:16">
      <c r="A28" s="5" t="str">
        <f>Marksheet!A27</f>
        <v>Shaswat Shantanu</v>
      </c>
      <c r="B28" s="14">
        <f>Marksheet!B27</f>
        <v>590023855</v>
      </c>
      <c r="C28" s="14">
        <v>77</v>
      </c>
    </row>
    <row r="29" spans="1:16">
      <c r="A29" s="5" t="str">
        <f>Marksheet!A28</f>
        <v>Siddhant Rai</v>
      </c>
      <c r="B29" s="14">
        <f>Marksheet!B28</f>
        <v>590029215</v>
      </c>
      <c r="C29" s="14">
        <v>77</v>
      </c>
    </row>
    <row r="30" spans="1:16">
      <c r="A30" s="5" t="str">
        <f>Marksheet!A29</f>
        <v>Sidhaant Singh Jyrwa</v>
      </c>
      <c r="B30" s="14">
        <f>Marksheet!B29</f>
        <v>590029111</v>
      </c>
      <c r="C30" s="14">
        <v>77</v>
      </c>
    </row>
    <row r="31" spans="1:16">
      <c r="A31" s="5" t="str">
        <f>Marksheet!A30</f>
        <v>Subrat Singh Jadaun</v>
      </c>
      <c r="B31" s="14">
        <f>Marksheet!B30</f>
        <v>590028683</v>
      </c>
      <c r="C31" s="14">
        <v>77</v>
      </c>
    </row>
    <row r="32" spans="1:16">
      <c r="A32" s="5" t="str">
        <f>Marksheet!A31</f>
        <v>Tushita Sharma</v>
      </c>
      <c r="B32" s="14">
        <f>Marksheet!B31</f>
        <v>590029121</v>
      </c>
      <c r="C32" s="14">
        <v>77</v>
      </c>
    </row>
    <row r="33" spans="1:3">
      <c r="A33" s="5" t="str">
        <f>Marksheet!A32</f>
        <v>Vaishnavi Kumari</v>
      </c>
      <c r="B33" s="14">
        <f>Marksheet!B32</f>
        <v>590029048</v>
      </c>
      <c r="C33" s="14">
        <v>77</v>
      </c>
    </row>
    <row r="34" spans="1:3">
      <c r="A34" s="5" t="str">
        <f>Marksheet!A33</f>
        <v>Vivek Chauhan</v>
      </c>
      <c r="B34" s="14">
        <f>Marksheet!B33</f>
        <v>590029184</v>
      </c>
      <c r="C34" s="14">
        <v>77</v>
      </c>
    </row>
    <row r="35" spans="1:3">
      <c r="A35" s="5" t="str">
        <f>Marksheet!A34</f>
        <v>Aadarshi Bisht</v>
      </c>
      <c r="B35" s="14">
        <f>Marksheet!B34</f>
        <v>590029330</v>
      </c>
      <c r="C35" s="14">
        <v>78</v>
      </c>
    </row>
    <row r="36" spans="1:3">
      <c r="A36" s="5" t="str">
        <f>Marksheet!A35</f>
        <v>Aarush Prasad</v>
      </c>
      <c r="B36" s="14">
        <f>Marksheet!B35</f>
        <v>590027630</v>
      </c>
      <c r="C36" s="14">
        <v>78</v>
      </c>
    </row>
    <row r="37" spans="1:3">
      <c r="A37" s="5" t="str">
        <f>Marksheet!A36</f>
        <v>Aditya Mishra</v>
      </c>
      <c r="B37" s="14">
        <f>Marksheet!B36</f>
        <v>590029219</v>
      </c>
      <c r="C37" s="14">
        <v>78</v>
      </c>
    </row>
    <row r="38" spans="1:3">
      <c r="A38" s="5" t="str">
        <f>Marksheet!A37</f>
        <v>Aman Barnwal</v>
      </c>
      <c r="B38" s="14">
        <f>Marksheet!B37</f>
        <v>590028933</v>
      </c>
      <c r="C38" s="14">
        <v>78</v>
      </c>
    </row>
    <row r="39" spans="1:3">
      <c r="A39" s="5" t="str">
        <f>Marksheet!A38</f>
        <v>Ashutosh Shrivastava</v>
      </c>
      <c r="B39" s="14">
        <f>Marksheet!B38</f>
        <v>590027859</v>
      </c>
      <c r="C39" s="14">
        <v>78</v>
      </c>
    </row>
    <row r="40" spans="1:3">
      <c r="A40" s="5" t="str">
        <f>Marksheet!A39</f>
        <v>Ayan Pande</v>
      </c>
      <c r="B40" s="14">
        <f>Marksheet!B39</f>
        <v>590028682</v>
      </c>
      <c r="C40" s="14">
        <v>78</v>
      </c>
    </row>
    <row r="41" spans="1:3">
      <c r="A41" s="5" t="str">
        <f>Marksheet!A40</f>
        <v>Ayush Pratap Singh</v>
      </c>
      <c r="B41" s="14">
        <f>Marksheet!B40</f>
        <v>590023917</v>
      </c>
      <c r="C41" s="14">
        <v>78</v>
      </c>
    </row>
    <row r="42" spans="1:3">
      <c r="A42" s="5" t="str">
        <f>Marksheet!A41</f>
        <v>Gayatri Bhatt</v>
      </c>
      <c r="B42" s="14">
        <f>Marksheet!B41</f>
        <v>590023785</v>
      </c>
      <c r="C42" s="14">
        <v>78</v>
      </c>
    </row>
    <row r="43" spans="1:3">
      <c r="A43" s="5" t="str">
        <f>Marksheet!A42</f>
        <v>Harsh Mudgal</v>
      </c>
      <c r="B43" s="14">
        <f>Marksheet!B42</f>
        <v>590029264</v>
      </c>
      <c r="C43" s="14">
        <v>78</v>
      </c>
    </row>
    <row r="44" spans="1:3">
      <c r="A44" s="5" t="str">
        <f>Marksheet!A43</f>
        <v>Kanan Nidhania</v>
      </c>
      <c r="B44" s="14">
        <f>Marksheet!B43</f>
        <v>590029042</v>
      </c>
      <c r="C44" s="14">
        <v>78</v>
      </c>
    </row>
    <row r="45" spans="1:3">
      <c r="A45" s="5" t="str">
        <f>Marksheet!A44</f>
        <v>Kanishka Diwakar</v>
      </c>
      <c r="B45" s="14">
        <f>Marksheet!B44</f>
        <v>590029336</v>
      </c>
      <c r="C45" s="14">
        <v>78</v>
      </c>
    </row>
    <row r="46" spans="1:3">
      <c r="A46" s="5" t="str">
        <f>Marksheet!A45</f>
        <v>Keshav Chahda</v>
      </c>
      <c r="B46" s="14">
        <f>Marksheet!B45</f>
        <v>590029233</v>
      </c>
      <c r="C46" s="14">
        <v>78</v>
      </c>
    </row>
    <row r="47" spans="1:3">
      <c r="A47" s="5" t="str">
        <f>Marksheet!A46</f>
        <v>Lakshay Dhanda</v>
      </c>
      <c r="B47" s="14">
        <f>Marksheet!B46</f>
        <v>590029328</v>
      </c>
      <c r="C47" s="14">
        <v>78</v>
      </c>
    </row>
    <row r="48" spans="1:3">
      <c r="A48" s="5" t="str">
        <f>Marksheet!A47</f>
        <v>Lakshya Singh</v>
      </c>
      <c r="B48" s="14">
        <f>Marksheet!B47</f>
        <v>590028608</v>
      </c>
      <c r="C48" s="14">
        <v>78</v>
      </c>
    </row>
    <row r="49" spans="1:3">
      <c r="A49" s="5" t="str">
        <f>Marksheet!A48</f>
        <v>Mayank Chand Ramola</v>
      </c>
      <c r="B49" s="14">
        <f>Marksheet!B48</f>
        <v>590028605</v>
      </c>
      <c r="C49" s="14">
        <v>78</v>
      </c>
    </row>
    <row r="50" spans="1:3">
      <c r="A50" s="5" t="str">
        <f>Marksheet!A49</f>
        <v>Mukesh Patel</v>
      </c>
      <c r="B50" s="14">
        <f>Marksheet!B49</f>
        <v>590026626</v>
      </c>
      <c r="C50" s="14">
        <v>78</v>
      </c>
    </row>
    <row r="51" spans="1:3">
      <c r="A51" s="5" t="str">
        <f>Marksheet!A50</f>
        <v>Nipun Singh</v>
      </c>
      <c r="B51" s="14">
        <f>Marksheet!B50</f>
        <v>590029310</v>
      </c>
      <c r="C51" s="14">
        <v>78</v>
      </c>
    </row>
    <row r="52" spans="1:3">
      <c r="A52" s="5" t="str">
        <f>Marksheet!A51</f>
        <v>Paras Bhall</v>
      </c>
      <c r="B52" s="14">
        <f>Marksheet!B51</f>
        <v>590029319</v>
      </c>
      <c r="C52" s="14">
        <v>78</v>
      </c>
    </row>
    <row r="53" spans="1:3">
      <c r="A53" s="5" t="str">
        <f>Marksheet!A52</f>
        <v>Raghav Kumar Goyal</v>
      </c>
      <c r="B53" s="14">
        <f>Marksheet!B52</f>
        <v>590029339</v>
      </c>
      <c r="C53" s="14">
        <v>78</v>
      </c>
    </row>
    <row r="54" spans="1:3">
      <c r="A54" s="5" t="str">
        <f>Marksheet!A53</f>
        <v>Rahul</v>
      </c>
      <c r="B54" s="14">
        <f>Marksheet!B53</f>
        <v>590029148</v>
      </c>
      <c r="C54" s="14">
        <v>78</v>
      </c>
    </row>
    <row r="55" spans="1:3">
      <c r="A55" s="5" t="str">
        <f>Marksheet!A54</f>
        <v>Rahul Singh</v>
      </c>
      <c r="B55" s="14">
        <f>Marksheet!B54</f>
        <v>590029309</v>
      </c>
      <c r="C55" s="14">
        <v>78</v>
      </c>
    </row>
    <row r="56" spans="1:3">
      <c r="A56" s="5" t="str">
        <f>Marksheet!A55</f>
        <v>Satyam Singh</v>
      </c>
      <c r="B56" s="14">
        <f>Marksheet!B55</f>
        <v>590028838</v>
      </c>
      <c r="C56" s="14">
        <v>78</v>
      </c>
    </row>
    <row r="57" spans="1:3">
      <c r="A57" s="5" t="str">
        <f>Marksheet!A56</f>
        <v>Shashwat Agrawal</v>
      </c>
      <c r="B57" s="14">
        <f>Marksheet!B56</f>
        <v>590029107</v>
      </c>
      <c r="C57" s="14">
        <v>78</v>
      </c>
    </row>
    <row r="58" spans="1:3">
      <c r="A58" s="5" t="str">
        <f>Marksheet!A57</f>
        <v>Siddhant Gurung</v>
      </c>
      <c r="B58" s="14">
        <f>Marksheet!B57</f>
        <v>590029266</v>
      </c>
      <c r="C58" s="14">
        <v>78</v>
      </c>
    </row>
    <row r="59" spans="1:3">
      <c r="A59" s="5" t="str">
        <f>Marksheet!A58</f>
        <v>Simarjot Kaur Gill</v>
      </c>
      <c r="B59" s="14">
        <f>Marksheet!B58</f>
        <v>590029354</v>
      </c>
      <c r="C59" s="14">
        <v>78</v>
      </c>
    </row>
    <row r="60" spans="1:3">
      <c r="A60" s="5" t="str">
        <f>Marksheet!A59</f>
        <v>Tanishq Bansal</v>
      </c>
      <c r="B60" s="14">
        <f>Marksheet!B59</f>
        <v>590029349</v>
      </c>
      <c r="C60" s="14">
        <v>78</v>
      </c>
    </row>
    <row r="61" spans="1:3">
      <c r="A61" s="5" t="str">
        <f>Marksheet!A60</f>
        <v>Tanmay Amit Verma</v>
      </c>
      <c r="B61" s="14">
        <f>Marksheet!B60</f>
        <v>590029302</v>
      </c>
      <c r="C61" s="14">
        <v>78</v>
      </c>
    </row>
    <row r="62" spans="1:3">
      <c r="A62" s="5" t="str">
        <f>Marksheet!A61</f>
        <v>Vandana Yadav</v>
      </c>
      <c r="B62" s="14">
        <f>Marksheet!B61</f>
        <v>590029262</v>
      </c>
      <c r="C62" s="14">
        <v>78</v>
      </c>
    </row>
    <row r="63" spans="1:3">
      <c r="A63" s="5" t="str">
        <f>Marksheet!A62</f>
        <v>Vidit Ahuja</v>
      </c>
      <c r="B63" s="14">
        <f>Marksheet!B62</f>
        <v>590029285</v>
      </c>
      <c r="C63" s="14">
        <v>78</v>
      </c>
    </row>
    <row r="64" spans="1:3">
      <c r="A64" s="5" t="str">
        <f>Marksheet!A63</f>
        <v>Vinit Kumar</v>
      </c>
      <c r="B64" s="14">
        <f>Marksheet!B63</f>
        <v>590029353</v>
      </c>
      <c r="C64" s="14">
        <v>78</v>
      </c>
    </row>
    <row r="65" spans="1:3">
      <c r="A65" s="5"/>
      <c r="C65" s="14"/>
    </row>
  </sheetData>
  <mergeCells count="2">
    <mergeCell ref="A1:P1"/>
    <mergeCell ref="A2:P2"/>
  </mergeCells>
  <phoneticPr fontId="3" type="noConversion"/>
  <pageMargins left="0.7" right="0.7" top="0.75" bottom="0.75" header="0.3" footer="0.3"/>
  <pageSetup paperSize="9" scale="76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6A9C77-33C1-4CBC-91FC-1994BECB7B48}">
  <sheetPr>
    <pageSetUpPr fitToPage="1"/>
  </sheetPr>
  <dimension ref="A1:O66"/>
  <sheetViews>
    <sheetView workbookViewId="0">
      <selection activeCell="B17" sqref="B17"/>
    </sheetView>
  </sheetViews>
  <sheetFormatPr defaultRowHeight="15"/>
  <cols>
    <col min="1" max="1" width="20.7109375" style="23" customWidth="1"/>
    <col min="2" max="2" width="24.5703125" customWidth="1"/>
    <col min="15" max="15" width="13.140625" customWidth="1"/>
  </cols>
  <sheetData>
    <row r="1" spans="1:15" ht="24.75">
      <c r="A1" s="49" t="s">
        <v>152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</row>
    <row r="2" spans="1:15" ht="24.75">
      <c r="A2" s="49" t="str">
        <f>Marksheet!A2</f>
        <v xml:space="preserve">Computatioal Astrophysics (PHYS 8202) 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</row>
    <row r="3" spans="1:15">
      <c r="A3" s="19"/>
      <c r="B3" s="2"/>
      <c r="C3" s="3" t="s">
        <v>136</v>
      </c>
      <c r="D3" s="3" t="s">
        <v>137</v>
      </c>
      <c r="E3" s="3" t="s">
        <v>138</v>
      </c>
      <c r="F3" s="3" t="s">
        <v>136</v>
      </c>
      <c r="G3" s="3" t="s">
        <v>137</v>
      </c>
      <c r="H3" s="3" t="s">
        <v>136</v>
      </c>
      <c r="I3" s="3" t="s">
        <v>138</v>
      </c>
      <c r="J3" s="3" t="s">
        <v>138</v>
      </c>
      <c r="K3" s="3" t="s">
        <v>153</v>
      </c>
      <c r="L3" s="3" t="s">
        <v>138</v>
      </c>
      <c r="M3" s="3" t="s">
        <v>153</v>
      </c>
      <c r="N3" s="2"/>
      <c r="O3" s="2"/>
    </row>
    <row r="4" spans="1:15">
      <c r="A4" s="20" t="s">
        <v>154</v>
      </c>
      <c r="B4" s="4" t="s">
        <v>139</v>
      </c>
      <c r="C4" s="4" t="s">
        <v>141</v>
      </c>
      <c r="D4" s="4" t="s">
        <v>142</v>
      </c>
      <c r="E4" s="4" t="s">
        <v>143</v>
      </c>
      <c r="F4" s="4" t="s">
        <v>144</v>
      </c>
      <c r="G4" s="4" t="s">
        <v>145</v>
      </c>
      <c r="H4" s="4" t="s">
        <v>146</v>
      </c>
      <c r="I4" s="4" t="s">
        <v>147</v>
      </c>
      <c r="J4" s="4" t="s">
        <v>148</v>
      </c>
      <c r="K4" s="4" t="s">
        <v>149</v>
      </c>
      <c r="L4" s="4" t="s">
        <v>150</v>
      </c>
      <c r="M4" s="4" t="s">
        <v>151</v>
      </c>
      <c r="N4" s="4" t="s">
        <v>12</v>
      </c>
      <c r="O4" s="4" t="s">
        <v>13</v>
      </c>
    </row>
    <row r="5" spans="1:15">
      <c r="A5" s="21"/>
      <c r="B5" s="6" t="s">
        <v>16</v>
      </c>
      <c r="C5" s="6">
        <v>4</v>
      </c>
      <c r="D5" s="6">
        <v>4</v>
      </c>
      <c r="E5" s="6">
        <v>4</v>
      </c>
      <c r="F5" s="6">
        <v>4</v>
      </c>
      <c r="G5" s="6">
        <v>4</v>
      </c>
      <c r="H5" s="6">
        <v>10</v>
      </c>
      <c r="I5" s="6">
        <v>10</v>
      </c>
      <c r="J5" s="6">
        <v>10</v>
      </c>
      <c r="K5" s="6">
        <v>10</v>
      </c>
      <c r="L5" s="6">
        <v>20</v>
      </c>
      <c r="M5" s="6">
        <v>20</v>
      </c>
      <c r="N5" s="6">
        <f>SUM(C5:M5)</f>
        <v>100</v>
      </c>
      <c r="O5" s="6"/>
    </row>
    <row r="6" spans="1:15">
      <c r="A6" s="22">
        <f>'Mid Sem'!B6</f>
        <v>590029213</v>
      </c>
      <c r="B6" s="5" t="str">
        <f>'Mid Sem'!A6</f>
        <v>Aadya Dubey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6"/>
      <c r="O6" s="2"/>
    </row>
    <row r="7" spans="1:15">
      <c r="A7" s="22">
        <f>'Mid Sem'!B7</f>
        <v>590029270</v>
      </c>
      <c r="B7" s="5" t="str">
        <f>'Mid Sem'!A7</f>
        <v>Aditya Vishwakarma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6"/>
      <c r="O7" s="2"/>
    </row>
    <row r="8" spans="1:15">
      <c r="A8" s="22">
        <f>'Mid Sem'!B8</f>
        <v>590029204</v>
      </c>
      <c r="B8" s="5" t="str">
        <f>'Mid Sem'!A8</f>
        <v>Arjun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6"/>
      <c r="O8" s="2"/>
    </row>
    <row r="9" spans="1:15">
      <c r="A9" s="22">
        <f>'Mid Sem'!B9</f>
        <v>590029109</v>
      </c>
      <c r="B9" s="5" t="str">
        <f>'Mid Sem'!A9</f>
        <v>Aryan Yadav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6"/>
      <c r="O9" s="2"/>
    </row>
    <row r="10" spans="1:15">
      <c r="A10" s="22">
        <f>'Mid Sem'!B10</f>
        <v>590029070</v>
      </c>
      <c r="B10" s="5" t="str">
        <f>'Mid Sem'!A10</f>
        <v>Astik Patel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6"/>
      <c r="O10" s="2"/>
    </row>
    <row r="11" spans="1:15">
      <c r="A11" s="22">
        <f>'Mid Sem'!B11</f>
        <v>590029157</v>
      </c>
      <c r="B11" s="5" t="str">
        <f>'Mid Sem'!A11</f>
        <v>Ayush Mohan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6"/>
      <c r="O11" s="2"/>
    </row>
    <row r="12" spans="1:15">
      <c r="A12" s="22">
        <f>'Mid Sem'!B12</f>
        <v>590027157</v>
      </c>
      <c r="B12" s="5" t="str">
        <f>'Mid Sem'!A12</f>
        <v>Bhanu Purohit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6"/>
      <c r="O12" s="2"/>
    </row>
    <row r="13" spans="1:15">
      <c r="A13" s="22">
        <f>'Mid Sem'!B13</f>
        <v>590029274</v>
      </c>
      <c r="B13" s="5" t="str">
        <f>'Mid Sem'!A13</f>
        <v>Biswabandya Mohanty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6"/>
      <c r="O13" s="2"/>
    </row>
    <row r="14" spans="1:15">
      <c r="A14" s="22">
        <f>'Mid Sem'!B14</f>
        <v>590028572</v>
      </c>
      <c r="B14" s="5" t="str">
        <f>'Mid Sem'!A14</f>
        <v>Eashan Vashisht</v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6"/>
      <c r="O14" s="2"/>
    </row>
    <row r="15" spans="1:15">
      <c r="A15" s="22">
        <f>'Mid Sem'!B15</f>
        <v>590029230</v>
      </c>
      <c r="B15" s="5" t="str">
        <f>'Mid Sem'!A15</f>
        <v>Hardik Joshi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6"/>
      <c r="O15" s="2"/>
    </row>
    <row r="16" spans="1:15">
      <c r="A16" s="22">
        <f>'Mid Sem'!B16</f>
        <v>590029169</v>
      </c>
      <c r="B16" s="5" t="str">
        <f>'Mid Sem'!A16</f>
        <v>Hrithvik Bhardwaj</v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6"/>
      <c r="O16" s="2"/>
    </row>
    <row r="17" spans="1:15">
      <c r="A17" s="22">
        <f>'Mid Sem'!B17</f>
        <v>590029112</v>
      </c>
      <c r="B17" s="5" t="str">
        <f>'Mid Sem'!A17</f>
        <v>Nitish Kumar</v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6"/>
      <c r="O17" s="2"/>
    </row>
    <row r="18" spans="1:15">
      <c r="A18" s="22">
        <f>'Mid Sem'!B18</f>
        <v>590025556</v>
      </c>
      <c r="B18" s="5" t="str">
        <f>'Mid Sem'!A18</f>
        <v>Omkareshwar Chaubey</v>
      </c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6"/>
      <c r="O18" s="2"/>
    </row>
    <row r="19" spans="1:15">
      <c r="A19" s="22">
        <f>'Mid Sem'!B19</f>
        <v>590027830</v>
      </c>
      <c r="B19" s="5" t="str">
        <f>'Mid Sem'!A19</f>
        <v>Pavani Jain</v>
      </c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6"/>
      <c r="O19" s="2"/>
    </row>
    <row r="20" spans="1:15">
      <c r="A20" s="22">
        <f>'Mid Sem'!B20</f>
        <v>590028360</v>
      </c>
      <c r="B20" s="5" t="str">
        <f>'Mid Sem'!A20</f>
        <v>Prapti Uniyal</v>
      </c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6"/>
      <c r="O20" s="2"/>
    </row>
    <row r="21" spans="1:15">
      <c r="A21" s="22">
        <f>'Mid Sem'!B21</f>
        <v>590029237</v>
      </c>
      <c r="B21" s="5" t="str">
        <f>'Mid Sem'!A21</f>
        <v>Priyadarshi Prabhakar</v>
      </c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6"/>
      <c r="O21" s="2"/>
    </row>
    <row r="22" spans="1:15">
      <c r="A22" s="22">
        <f>'Mid Sem'!B22</f>
        <v>590029079</v>
      </c>
      <c r="B22" s="5" t="str">
        <f>'Mid Sem'!A22</f>
        <v>Radhe Patel</v>
      </c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  <row r="23" spans="1:15">
      <c r="A23" s="22">
        <f>'Mid Sem'!B23</f>
        <v>590029145</v>
      </c>
      <c r="B23" s="5" t="str">
        <f>'Mid Sem'!A23</f>
        <v>Rishika Purushotham</v>
      </c>
    </row>
    <row r="24" spans="1:15">
      <c r="A24" s="22">
        <f>'Mid Sem'!B24</f>
        <v>590029209</v>
      </c>
      <c r="B24" s="5" t="str">
        <f>'Mid Sem'!A24</f>
        <v>Rishiv Kumar</v>
      </c>
    </row>
    <row r="25" spans="1:15">
      <c r="A25" s="22">
        <f>'Mid Sem'!B25</f>
        <v>590027268</v>
      </c>
      <c r="B25" s="5" t="str">
        <f>'Mid Sem'!A25</f>
        <v>Sankalp Sunil Ronge</v>
      </c>
    </row>
    <row r="26" spans="1:15">
      <c r="A26" s="22">
        <f>'Mid Sem'!B26</f>
        <v>590029227</v>
      </c>
      <c r="B26" s="5" t="str">
        <f>'Mid Sem'!A26</f>
        <v>Sartaj Singh</v>
      </c>
    </row>
    <row r="27" spans="1:15">
      <c r="A27" s="22">
        <f>'Mid Sem'!B27</f>
        <v>590029241</v>
      </c>
      <c r="B27" s="5" t="str">
        <f>'Mid Sem'!A27</f>
        <v>Satakshi Gupta</v>
      </c>
    </row>
    <row r="28" spans="1:15">
      <c r="A28" s="22">
        <f>'Mid Sem'!B28</f>
        <v>590023855</v>
      </c>
      <c r="B28" s="5" t="str">
        <f>'Mid Sem'!A28</f>
        <v>Shaswat Shantanu</v>
      </c>
    </row>
    <row r="29" spans="1:15">
      <c r="A29" s="22">
        <f>'Mid Sem'!B29</f>
        <v>590029215</v>
      </c>
      <c r="B29" s="5" t="str">
        <f>'Mid Sem'!A29</f>
        <v>Siddhant Rai</v>
      </c>
    </row>
    <row r="30" spans="1:15">
      <c r="A30" s="22">
        <f>'Mid Sem'!B30</f>
        <v>590029111</v>
      </c>
      <c r="B30" s="5" t="str">
        <f>'Mid Sem'!A30</f>
        <v>Sidhaant Singh Jyrwa</v>
      </c>
    </row>
    <row r="31" spans="1:15">
      <c r="A31" s="22">
        <f>'Mid Sem'!B31</f>
        <v>590028683</v>
      </c>
      <c r="B31" s="5" t="str">
        <f>'Mid Sem'!A31</f>
        <v>Subrat Singh Jadaun</v>
      </c>
    </row>
    <row r="32" spans="1:15">
      <c r="A32" s="22">
        <f>'Mid Sem'!B32</f>
        <v>590029121</v>
      </c>
      <c r="B32" s="5" t="str">
        <f>'Mid Sem'!A32</f>
        <v>Tushita Sharma</v>
      </c>
    </row>
    <row r="33" spans="1:2">
      <c r="A33" s="22">
        <f>'Mid Sem'!B33</f>
        <v>590029048</v>
      </c>
      <c r="B33" s="5" t="str">
        <f>'Mid Sem'!A33</f>
        <v>Vaishnavi Kumari</v>
      </c>
    </row>
    <row r="34" spans="1:2">
      <c r="A34" s="22">
        <f>'Mid Sem'!B34</f>
        <v>590029184</v>
      </c>
      <c r="B34" s="5" t="str">
        <f>'Mid Sem'!A34</f>
        <v>Vivek Chauhan</v>
      </c>
    </row>
    <row r="35" spans="1:2">
      <c r="A35" s="22">
        <f>'Mid Sem'!B35</f>
        <v>590029330</v>
      </c>
      <c r="B35" s="5" t="str">
        <f>'Mid Sem'!A35</f>
        <v>Aadarshi Bisht</v>
      </c>
    </row>
    <row r="36" spans="1:2">
      <c r="A36" s="22">
        <f>'Mid Sem'!B36</f>
        <v>590027630</v>
      </c>
      <c r="B36" s="5" t="str">
        <f>'Mid Sem'!A36</f>
        <v>Aarush Prasad</v>
      </c>
    </row>
    <row r="37" spans="1:2">
      <c r="A37" s="22">
        <f>'Mid Sem'!B37</f>
        <v>590029219</v>
      </c>
      <c r="B37" s="5" t="str">
        <f>'Mid Sem'!A37</f>
        <v>Aditya Mishra</v>
      </c>
    </row>
    <row r="38" spans="1:2">
      <c r="A38" s="22">
        <f>'Mid Sem'!B38</f>
        <v>590028933</v>
      </c>
      <c r="B38" s="5" t="str">
        <f>'Mid Sem'!A38</f>
        <v>Aman Barnwal</v>
      </c>
    </row>
    <row r="39" spans="1:2">
      <c r="A39" s="22">
        <f>'Mid Sem'!B39</f>
        <v>590027859</v>
      </c>
      <c r="B39" s="5" t="str">
        <f>'Mid Sem'!A39</f>
        <v>Ashutosh Shrivastava</v>
      </c>
    </row>
    <row r="40" spans="1:2">
      <c r="A40" s="22">
        <f>'Mid Sem'!B40</f>
        <v>590028682</v>
      </c>
      <c r="B40" s="5" t="str">
        <f>'Mid Sem'!A40</f>
        <v>Ayan Pande</v>
      </c>
    </row>
    <row r="41" spans="1:2">
      <c r="A41" s="22">
        <f>'Mid Sem'!B41</f>
        <v>590023917</v>
      </c>
      <c r="B41" s="5" t="str">
        <f>'Mid Sem'!A41</f>
        <v>Ayush Pratap Singh</v>
      </c>
    </row>
    <row r="42" spans="1:2">
      <c r="A42" s="22">
        <f>'Mid Sem'!B42</f>
        <v>590023785</v>
      </c>
      <c r="B42" s="5" t="str">
        <f>'Mid Sem'!A42</f>
        <v>Gayatri Bhatt</v>
      </c>
    </row>
    <row r="43" spans="1:2">
      <c r="A43" s="22">
        <f>'Mid Sem'!B43</f>
        <v>590029264</v>
      </c>
      <c r="B43" s="5" t="str">
        <f>'Mid Sem'!A43</f>
        <v>Harsh Mudgal</v>
      </c>
    </row>
    <row r="44" spans="1:2">
      <c r="A44" s="22">
        <f>'Mid Sem'!B44</f>
        <v>590029042</v>
      </c>
      <c r="B44" s="5" t="str">
        <f>'Mid Sem'!A44</f>
        <v>Kanan Nidhania</v>
      </c>
    </row>
    <row r="45" spans="1:2">
      <c r="A45" s="22">
        <f>'Mid Sem'!B45</f>
        <v>590029336</v>
      </c>
      <c r="B45" s="5" t="str">
        <f>'Mid Sem'!A45</f>
        <v>Kanishka Diwakar</v>
      </c>
    </row>
    <row r="46" spans="1:2">
      <c r="A46" s="22">
        <f>'Mid Sem'!B46</f>
        <v>590029233</v>
      </c>
      <c r="B46" s="5" t="str">
        <f>'Mid Sem'!A46</f>
        <v>Keshav Chahda</v>
      </c>
    </row>
    <row r="47" spans="1:2">
      <c r="A47" s="22">
        <f>'Mid Sem'!B47</f>
        <v>590029328</v>
      </c>
      <c r="B47" s="5" t="str">
        <f>'Mid Sem'!A47</f>
        <v>Lakshay Dhanda</v>
      </c>
    </row>
    <row r="48" spans="1:2">
      <c r="A48" s="22">
        <f>'Mid Sem'!B48</f>
        <v>590028608</v>
      </c>
      <c r="B48" s="5" t="str">
        <f>'Mid Sem'!A48</f>
        <v>Lakshya Singh</v>
      </c>
    </row>
    <row r="49" spans="1:2">
      <c r="A49" s="22">
        <f>'Mid Sem'!B49</f>
        <v>590028605</v>
      </c>
      <c r="B49" s="5" t="str">
        <f>'Mid Sem'!A49</f>
        <v>Mayank Chand Ramola</v>
      </c>
    </row>
    <row r="50" spans="1:2">
      <c r="A50" s="22">
        <f>'Mid Sem'!B50</f>
        <v>590026626</v>
      </c>
      <c r="B50" s="5" t="str">
        <f>'Mid Sem'!A50</f>
        <v>Mukesh Patel</v>
      </c>
    </row>
    <row r="51" spans="1:2">
      <c r="A51" s="22">
        <f>'Mid Sem'!B51</f>
        <v>590029310</v>
      </c>
      <c r="B51" s="5" t="str">
        <f>'Mid Sem'!A51</f>
        <v>Nipun Singh</v>
      </c>
    </row>
    <row r="52" spans="1:2">
      <c r="A52" s="22">
        <f>'Mid Sem'!B52</f>
        <v>590029319</v>
      </c>
      <c r="B52" s="5" t="str">
        <f>'Mid Sem'!A52</f>
        <v>Paras Bhall</v>
      </c>
    </row>
    <row r="53" spans="1:2">
      <c r="A53" s="22">
        <f>'Mid Sem'!B53</f>
        <v>590029339</v>
      </c>
      <c r="B53" s="5" t="str">
        <f>'Mid Sem'!A53</f>
        <v>Raghav Kumar Goyal</v>
      </c>
    </row>
    <row r="54" spans="1:2">
      <c r="A54" s="22">
        <f>'Mid Sem'!B54</f>
        <v>590029148</v>
      </c>
      <c r="B54" s="5" t="str">
        <f>'Mid Sem'!A54</f>
        <v>Rahul</v>
      </c>
    </row>
    <row r="55" spans="1:2">
      <c r="A55" s="22">
        <f>'Mid Sem'!B55</f>
        <v>590029309</v>
      </c>
      <c r="B55" s="5" t="str">
        <f>'Mid Sem'!A55</f>
        <v>Rahul Singh</v>
      </c>
    </row>
    <row r="56" spans="1:2">
      <c r="A56" s="22">
        <f>'Mid Sem'!B56</f>
        <v>590028838</v>
      </c>
      <c r="B56" s="5" t="str">
        <f>'Mid Sem'!A56</f>
        <v>Satyam Singh</v>
      </c>
    </row>
    <row r="57" spans="1:2">
      <c r="A57" s="22">
        <f>'Mid Sem'!B57</f>
        <v>590029107</v>
      </c>
      <c r="B57" s="5" t="str">
        <f>'Mid Sem'!A57</f>
        <v>Shashwat Agrawal</v>
      </c>
    </row>
    <row r="58" spans="1:2">
      <c r="A58" s="22">
        <f>'Mid Sem'!B58</f>
        <v>590029266</v>
      </c>
      <c r="B58" s="5" t="str">
        <f>'Mid Sem'!A58</f>
        <v>Siddhant Gurung</v>
      </c>
    </row>
    <row r="59" spans="1:2">
      <c r="A59" s="22">
        <f>'Mid Sem'!B59</f>
        <v>590029354</v>
      </c>
      <c r="B59" s="5" t="str">
        <f>'Mid Sem'!A59</f>
        <v>Simarjot Kaur Gill</v>
      </c>
    </row>
    <row r="60" spans="1:2">
      <c r="A60" s="22">
        <f>'Mid Sem'!B60</f>
        <v>590029349</v>
      </c>
      <c r="B60" s="5" t="str">
        <f>'Mid Sem'!A60</f>
        <v>Tanishq Bansal</v>
      </c>
    </row>
    <row r="61" spans="1:2">
      <c r="A61" s="22">
        <f>'Mid Sem'!B61</f>
        <v>590029302</v>
      </c>
      <c r="B61" s="5" t="str">
        <f>'Mid Sem'!A61</f>
        <v>Tanmay Amit Verma</v>
      </c>
    </row>
    <row r="62" spans="1:2">
      <c r="A62" s="22">
        <f>'Mid Sem'!B62</f>
        <v>590029262</v>
      </c>
      <c r="B62" s="5" t="str">
        <f>'Mid Sem'!A62</f>
        <v>Vandana Yadav</v>
      </c>
    </row>
    <row r="63" spans="1:2">
      <c r="A63" s="22">
        <f>'Mid Sem'!B63</f>
        <v>590029285</v>
      </c>
      <c r="B63" s="5" t="str">
        <f>'Mid Sem'!A63</f>
        <v>Vidit Ahuja</v>
      </c>
    </row>
    <row r="64" spans="1:2">
      <c r="A64" s="22">
        <f>'Mid Sem'!B64</f>
        <v>590029353</v>
      </c>
      <c r="B64" s="5" t="str">
        <f>'Mid Sem'!A64</f>
        <v>Vinit Kumar</v>
      </c>
    </row>
    <row r="65" spans="1:2">
      <c r="A65" s="22">
        <f>'Mid Sem'!B65</f>
        <v>0</v>
      </c>
      <c r="B65" s="5">
        <f>'Mid Sem'!A65</f>
        <v>0</v>
      </c>
    </row>
    <row r="66" spans="1:2">
      <c r="A66" s="22">
        <f>'Mid Sem'!B66</f>
        <v>0</v>
      </c>
      <c r="B66" s="5">
        <f>'Mid Sem'!A66</f>
        <v>0</v>
      </c>
    </row>
  </sheetData>
  <mergeCells count="2">
    <mergeCell ref="A1:O1"/>
    <mergeCell ref="A2:O2"/>
  </mergeCells>
  <pageMargins left="0.7" right="0.7" top="0.75" bottom="0.75" header="0.3" footer="0.3"/>
  <pageSetup paperSize="9" scale="78" orientation="landscape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DBEBFD-2930-4660-B24B-DD7AF4E41CF2}">
  <dimension ref="A1:O65"/>
  <sheetViews>
    <sheetView tabSelected="1" workbookViewId="0">
      <selection activeCell="N6" sqref="N6:N17"/>
    </sheetView>
  </sheetViews>
  <sheetFormatPr defaultRowHeight="15"/>
  <cols>
    <col min="1" max="1" width="19" customWidth="1"/>
    <col min="2" max="2" width="24.28515625" bestFit="1" customWidth="1"/>
    <col min="3" max="13" width="4.5703125" bestFit="1" customWidth="1"/>
    <col min="14" max="14" width="5.42578125" bestFit="1" customWidth="1"/>
    <col min="15" max="15" width="4.7109375" bestFit="1" customWidth="1"/>
  </cols>
  <sheetData>
    <row r="1" spans="1:15" ht="24.75">
      <c r="A1" s="49" t="s">
        <v>5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</row>
    <row r="2" spans="1:15" ht="24.75">
      <c r="A2" s="49" t="str">
        <f>Marksheet!A2</f>
        <v xml:space="preserve">Computatioal Astrophysics (PHYS 8202) 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</row>
    <row r="3" spans="1:15">
      <c r="A3" s="2"/>
      <c r="B3" s="2"/>
      <c r="C3" s="3" t="s">
        <v>136</v>
      </c>
      <c r="D3" s="3" t="s">
        <v>137</v>
      </c>
      <c r="E3" s="3" t="s">
        <v>138</v>
      </c>
      <c r="F3" s="3" t="s">
        <v>136</v>
      </c>
      <c r="G3" s="3" t="s">
        <v>137</v>
      </c>
      <c r="H3" s="3" t="s">
        <v>136</v>
      </c>
      <c r="I3" s="3" t="s">
        <v>138</v>
      </c>
      <c r="J3" s="3" t="s">
        <v>138</v>
      </c>
      <c r="K3" s="3" t="s">
        <v>153</v>
      </c>
      <c r="L3" s="3" t="s">
        <v>138</v>
      </c>
      <c r="M3" s="3" t="s">
        <v>153</v>
      </c>
      <c r="N3" s="2"/>
      <c r="O3" s="2"/>
    </row>
    <row r="4" spans="1:15">
      <c r="A4" s="4" t="s">
        <v>154</v>
      </c>
      <c r="B4" s="4" t="s">
        <v>139</v>
      </c>
      <c r="C4" s="4" t="s">
        <v>141</v>
      </c>
      <c r="D4" s="4" t="s">
        <v>142</v>
      </c>
      <c r="E4" s="4" t="s">
        <v>143</v>
      </c>
      <c r="F4" s="4" t="s">
        <v>144</v>
      </c>
      <c r="G4" s="4" t="s">
        <v>145</v>
      </c>
      <c r="H4" s="4" t="s">
        <v>146</v>
      </c>
      <c r="I4" s="4" t="s">
        <v>147</v>
      </c>
      <c r="J4" s="4" t="s">
        <v>148</v>
      </c>
      <c r="K4" s="4" t="s">
        <v>149</v>
      </c>
      <c r="L4" s="4" t="s">
        <v>150</v>
      </c>
      <c r="M4" s="4" t="s">
        <v>151</v>
      </c>
      <c r="N4" s="4" t="s">
        <v>12</v>
      </c>
      <c r="O4" s="4" t="s">
        <v>13</v>
      </c>
    </row>
    <row r="5" spans="1:15">
      <c r="A5" s="6"/>
      <c r="B5" s="6" t="s">
        <v>16</v>
      </c>
      <c r="C5" s="6">
        <v>5</v>
      </c>
      <c r="D5" s="6">
        <v>5</v>
      </c>
      <c r="E5" s="6">
        <v>5</v>
      </c>
      <c r="F5" s="6">
        <v>5</v>
      </c>
      <c r="G5" s="6">
        <v>15</v>
      </c>
      <c r="H5" s="6">
        <v>15</v>
      </c>
      <c r="I5" s="6"/>
      <c r="J5" s="6"/>
      <c r="K5" s="6"/>
      <c r="L5" s="6"/>
      <c r="M5" s="6"/>
      <c r="N5" s="6">
        <v>10</v>
      </c>
      <c r="O5" s="6"/>
    </row>
    <row r="6" spans="1:15">
      <c r="A6" s="5">
        <f>'Mid Sem'!B6</f>
        <v>590029213</v>
      </c>
      <c r="B6" s="5" t="str">
        <f>'Mid Sem'!A6</f>
        <v>Aadya Dubey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</row>
    <row r="7" spans="1:15">
      <c r="A7" s="5">
        <f>'Mid Sem'!B7</f>
        <v>590029270</v>
      </c>
      <c r="B7" s="5" t="str">
        <f>'Mid Sem'!A7</f>
        <v>Aditya Vishwakarma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</row>
    <row r="8" spans="1:15">
      <c r="A8" s="5">
        <f>'Mid Sem'!B8</f>
        <v>590029204</v>
      </c>
      <c r="B8" s="5" t="str">
        <f>'Mid Sem'!A8</f>
        <v>Arjun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</row>
    <row r="9" spans="1:15">
      <c r="A9" s="5">
        <f>'Mid Sem'!B9</f>
        <v>590029109</v>
      </c>
      <c r="B9" s="5" t="str">
        <f>'Mid Sem'!A9</f>
        <v>Aryan Yadav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</row>
    <row r="10" spans="1:15">
      <c r="A10" s="5">
        <f>'Mid Sem'!B10</f>
        <v>590029070</v>
      </c>
      <c r="B10" s="5" t="str">
        <f>'Mid Sem'!A10</f>
        <v>Astik Patel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</row>
    <row r="11" spans="1:15">
      <c r="A11" s="5">
        <f>'Mid Sem'!B11</f>
        <v>590029157</v>
      </c>
      <c r="B11" s="5" t="str">
        <f>'Mid Sem'!A11</f>
        <v>Ayush Mohan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</row>
    <row r="12" spans="1:15">
      <c r="A12" s="5">
        <f>'Mid Sem'!B12</f>
        <v>590027157</v>
      </c>
      <c r="B12" s="5" t="str">
        <f>'Mid Sem'!A12</f>
        <v>Bhanu Purohit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</row>
    <row r="13" spans="1:15">
      <c r="A13" s="5">
        <f>'Mid Sem'!B13</f>
        <v>590029274</v>
      </c>
      <c r="B13" s="5" t="str">
        <f>'Mid Sem'!A13</f>
        <v>Biswabandya Mohanty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</row>
    <row r="14" spans="1:15">
      <c r="A14" s="5">
        <f>'Mid Sem'!B14</f>
        <v>590028572</v>
      </c>
      <c r="B14" s="5" t="str">
        <f>'Mid Sem'!A14</f>
        <v>Eashan Vashisht</v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</row>
    <row r="15" spans="1:15">
      <c r="A15" s="5">
        <f>'Mid Sem'!B15</f>
        <v>590029230</v>
      </c>
      <c r="B15" s="5" t="str">
        <f>'Mid Sem'!A15</f>
        <v>Hardik Joshi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</row>
    <row r="16" spans="1:15">
      <c r="A16" s="5">
        <f>'Mid Sem'!B16</f>
        <v>590029169</v>
      </c>
      <c r="B16" s="5" t="str">
        <f>'Mid Sem'!A16</f>
        <v>Hrithvik Bhardwaj</v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</row>
    <row r="17" spans="1:15">
      <c r="A17" s="5">
        <f>'Mid Sem'!B17</f>
        <v>590029112</v>
      </c>
      <c r="B17" s="5" t="str">
        <f>'Mid Sem'!A17</f>
        <v>Nitish Kumar</v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</row>
    <row r="18" spans="1:15">
      <c r="A18" s="5">
        <f>'Mid Sem'!B18</f>
        <v>590025556</v>
      </c>
      <c r="B18" s="5" t="str">
        <f>'Mid Sem'!A18</f>
        <v>Omkareshwar Chaubey</v>
      </c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spans="1:15">
      <c r="A19" s="5">
        <f>'Mid Sem'!B19</f>
        <v>590027830</v>
      </c>
      <c r="B19" s="5" t="str">
        <f>'Mid Sem'!A19</f>
        <v>Pavani Jain</v>
      </c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 spans="1:15">
      <c r="A20" s="5">
        <f>'Mid Sem'!B20</f>
        <v>590028360</v>
      </c>
      <c r="B20" s="5" t="str">
        <f>'Mid Sem'!A20</f>
        <v>Prapti Uniyal</v>
      </c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5">
      <c r="A21" s="5">
        <f>'Mid Sem'!B21</f>
        <v>590029237</v>
      </c>
      <c r="B21" s="5" t="str">
        <f>'Mid Sem'!A21</f>
        <v>Priyadarshi Prabhakar</v>
      </c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1:15">
      <c r="A22" s="5">
        <f>'Mid Sem'!B22</f>
        <v>590029079</v>
      </c>
      <c r="B22" s="5" t="str">
        <f>'Mid Sem'!A22</f>
        <v>Radhe Patel</v>
      </c>
    </row>
    <row r="23" spans="1:15">
      <c r="A23" s="5">
        <f>'Mid Sem'!B23</f>
        <v>590029145</v>
      </c>
      <c r="B23" s="5" t="str">
        <f>'Mid Sem'!A23</f>
        <v>Rishika Purushotham</v>
      </c>
    </row>
    <row r="24" spans="1:15">
      <c r="A24" s="5">
        <f>'Mid Sem'!B24</f>
        <v>590029209</v>
      </c>
      <c r="B24" s="5" t="str">
        <f>'Mid Sem'!A24</f>
        <v>Rishiv Kumar</v>
      </c>
    </row>
    <row r="25" spans="1:15">
      <c r="A25" s="5">
        <f>'Mid Sem'!B25</f>
        <v>590027268</v>
      </c>
      <c r="B25" s="5" t="str">
        <f>'Mid Sem'!A25</f>
        <v>Sankalp Sunil Ronge</v>
      </c>
    </row>
    <row r="26" spans="1:15">
      <c r="A26" s="5">
        <f>'Mid Sem'!B26</f>
        <v>590029227</v>
      </c>
      <c r="B26" s="5" t="str">
        <f>'Mid Sem'!A26</f>
        <v>Sartaj Singh</v>
      </c>
    </row>
    <row r="27" spans="1:15">
      <c r="A27" s="5">
        <f>'Mid Sem'!B27</f>
        <v>590029241</v>
      </c>
      <c r="B27" s="5" t="str">
        <f>'Mid Sem'!A27</f>
        <v>Satakshi Gupta</v>
      </c>
    </row>
    <row r="28" spans="1:15">
      <c r="A28" s="5">
        <f>'Mid Sem'!B28</f>
        <v>590023855</v>
      </c>
      <c r="B28" s="5" t="str">
        <f>'Mid Sem'!A28</f>
        <v>Shaswat Shantanu</v>
      </c>
    </row>
    <row r="29" spans="1:15">
      <c r="A29" s="5">
        <f>'Mid Sem'!B29</f>
        <v>590029215</v>
      </c>
      <c r="B29" s="5" t="str">
        <f>'Mid Sem'!A29</f>
        <v>Siddhant Rai</v>
      </c>
    </row>
    <row r="30" spans="1:15">
      <c r="A30" s="5">
        <f>'Mid Sem'!B30</f>
        <v>590029111</v>
      </c>
      <c r="B30" s="5" t="str">
        <f>'Mid Sem'!A30</f>
        <v>Sidhaant Singh Jyrwa</v>
      </c>
    </row>
    <row r="31" spans="1:15">
      <c r="A31" s="5">
        <f>'Mid Sem'!B31</f>
        <v>590028683</v>
      </c>
      <c r="B31" s="5" t="str">
        <f>'Mid Sem'!A31</f>
        <v>Subrat Singh Jadaun</v>
      </c>
    </row>
    <row r="32" spans="1:15">
      <c r="A32" s="5">
        <f>'Mid Sem'!B32</f>
        <v>590029121</v>
      </c>
      <c r="B32" s="5" t="str">
        <f>'Mid Sem'!A32</f>
        <v>Tushita Sharma</v>
      </c>
    </row>
    <row r="33" spans="1:2">
      <c r="A33" s="5">
        <f>'Mid Sem'!B33</f>
        <v>590029048</v>
      </c>
      <c r="B33" s="5" t="str">
        <f>'Mid Sem'!A33</f>
        <v>Vaishnavi Kumari</v>
      </c>
    </row>
    <row r="34" spans="1:2">
      <c r="A34" s="5">
        <f>'Mid Sem'!B34</f>
        <v>590029184</v>
      </c>
      <c r="B34" s="5" t="str">
        <f>'Mid Sem'!A34</f>
        <v>Vivek Chauhan</v>
      </c>
    </row>
    <row r="35" spans="1:2">
      <c r="A35" s="5">
        <f>'Mid Sem'!B35</f>
        <v>590029330</v>
      </c>
      <c r="B35" s="5" t="str">
        <f>'Mid Sem'!A35</f>
        <v>Aadarshi Bisht</v>
      </c>
    </row>
    <row r="36" spans="1:2">
      <c r="A36" s="5">
        <f>'Mid Sem'!B36</f>
        <v>590027630</v>
      </c>
      <c r="B36" s="5" t="str">
        <f>'Mid Sem'!A36</f>
        <v>Aarush Prasad</v>
      </c>
    </row>
    <row r="37" spans="1:2">
      <c r="A37" s="5">
        <f>'Mid Sem'!B37</f>
        <v>590029219</v>
      </c>
      <c r="B37" s="5" t="str">
        <f>'Mid Sem'!A37</f>
        <v>Aditya Mishra</v>
      </c>
    </row>
    <row r="38" spans="1:2">
      <c r="A38" s="5">
        <f>'Mid Sem'!B38</f>
        <v>590028933</v>
      </c>
      <c r="B38" s="5" t="str">
        <f>'Mid Sem'!A38</f>
        <v>Aman Barnwal</v>
      </c>
    </row>
    <row r="39" spans="1:2">
      <c r="A39" s="5">
        <f>'Mid Sem'!B39</f>
        <v>590027859</v>
      </c>
      <c r="B39" s="5" t="str">
        <f>'Mid Sem'!A39</f>
        <v>Ashutosh Shrivastava</v>
      </c>
    </row>
    <row r="40" spans="1:2">
      <c r="A40" s="5">
        <f>'Mid Sem'!B40</f>
        <v>590028682</v>
      </c>
      <c r="B40" s="5" t="str">
        <f>'Mid Sem'!A40</f>
        <v>Ayan Pande</v>
      </c>
    </row>
    <row r="41" spans="1:2">
      <c r="A41" s="5">
        <f>'Mid Sem'!B41</f>
        <v>590023917</v>
      </c>
      <c r="B41" s="5" t="str">
        <f>'Mid Sem'!A41</f>
        <v>Ayush Pratap Singh</v>
      </c>
    </row>
    <row r="42" spans="1:2">
      <c r="A42" s="5">
        <f>'Mid Sem'!B42</f>
        <v>590023785</v>
      </c>
      <c r="B42" s="5" t="str">
        <f>'Mid Sem'!A42</f>
        <v>Gayatri Bhatt</v>
      </c>
    </row>
    <row r="43" spans="1:2">
      <c r="A43" s="5">
        <f>'Mid Sem'!B43</f>
        <v>590029264</v>
      </c>
      <c r="B43" s="5" t="str">
        <f>'Mid Sem'!A43</f>
        <v>Harsh Mudgal</v>
      </c>
    </row>
    <row r="44" spans="1:2">
      <c r="A44" s="5">
        <f>'Mid Sem'!B44</f>
        <v>590029042</v>
      </c>
      <c r="B44" s="5" t="str">
        <f>'Mid Sem'!A44</f>
        <v>Kanan Nidhania</v>
      </c>
    </row>
    <row r="45" spans="1:2">
      <c r="A45" s="5">
        <f>'Mid Sem'!B45</f>
        <v>590029336</v>
      </c>
      <c r="B45" s="5" t="str">
        <f>'Mid Sem'!A45</f>
        <v>Kanishka Diwakar</v>
      </c>
    </row>
    <row r="46" spans="1:2">
      <c r="A46" s="5">
        <f>'Mid Sem'!B46</f>
        <v>590029233</v>
      </c>
      <c r="B46" s="5" t="str">
        <f>'Mid Sem'!A46</f>
        <v>Keshav Chahda</v>
      </c>
    </row>
    <row r="47" spans="1:2">
      <c r="A47" s="5">
        <f>'Mid Sem'!B47</f>
        <v>590029328</v>
      </c>
      <c r="B47" s="5" t="str">
        <f>'Mid Sem'!A47</f>
        <v>Lakshay Dhanda</v>
      </c>
    </row>
    <row r="48" spans="1:2">
      <c r="A48" s="5">
        <f>'Mid Sem'!B48</f>
        <v>590028608</v>
      </c>
      <c r="B48" s="5" t="str">
        <f>'Mid Sem'!A48</f>
        <v>Lakshya Singh</v>
      </c>
    </row>
    <row r="49" spans="1:2">
      <c r="A49" s="5">
        <f>'Mid Sem'!B49</f>
        <v>590028605</v>
      </c>
      <c r="B49" s="5" t="str">
        <f>'Mid Sem'!A49</f>
        <v>Mayank Chand Ramola</v>
      </c>
    </row>
    <row r="50" spans="1:2">
      <c r="A50" s="5">
        <f>'Mid Sem'!B50</f>
        <v>590026626</v>
      </c>
      <c r="B50" s="5" t="str">
        <f>'Mid Sem'!A50</f>
        <v>Mukesh Patel</v>
      </c>
    </row>
    <row r="51" spans="1:2">
      <c r="A51" s="5">
        <f>'Mid Sem'!B51</f>
        <v>590029310</v>
      </c>
      <c r="B51" s="5" t="str">
        <f>'Mid Sem'!A51</f>
        <v>Nipun Singh</v>
      </c>
    </row>
    <row r="52" spans="1:2">
      <c r="A52" s="5">
        <f>'Mid Sem'!B52</f>
        <v>590029319</v>
      </c>
      <c r="B52" s="5" t="str">
        <f>'Mid Sem'!A52</f>
        <v>Paras Bhall</v>
      </c>
    </row>
    <row r="53" spans="1:2">
      <c r="A53" s="5">
        <f>'Mid Sem'!B53</f>
        <v>590029339</v>
      </c>
      <c r="B53" s="5" t="str">
        <f>'Mid Sem'!A53</f>
        <v>Raghav Kumar Goyal</v>
      </c>
    </row>
    <row r="54" spans="1:2">
      <c r="A54" s="5">
        <f>'Mid Sem'!B54</f>
        <v>590029148</v>
      </c>
      <c r="B54" s="5" t="str">
        <f>'Mid Sem'!A54</f>
        <v>Rahul</v>
      </c>
    </row>
    <row r="55" spans="1:2">
      <c r="A55" s="5">
        <f>'Mid Sem'!B55</f>
        <v>590029309</v>
      </c>
      <c r="B55" s="5" t="str">
        <f>'Mid Sem'!A55</f>
        <v>Rahul Singh</v>
      </c>
    </row>
    <row r="56" spans="1:2">
      <c r="A56" s="5">
        <f>'Mid Sem'!B56</f>
        <v>590028838</v>
      </c>
      <c r="B56" s="5" t="str">
        <f>'Mid Sem'!A56</f>
        <v>Satyam Singh</v>
      </c>
    </row>
    <row r="57" spans="1:2">
      <c r="A57" s="5">
        <f>'Mid Sem'!B57</f>
        <v>590029107</v>
      </c>
      <c r="B57" s="5" t="str">
        <f>'Mid Sem'!A57</f>
        <v>Shashwat Agrawal</v>
      </c>
    </row>
    <row r="58" spans="1:2">
      <c r="A58" s="5">
        <f>'Mid Sem'!B58</f>
        <v>590029266</v>
      </c>
      <c r="B58" s="5" t="str">
        <f>'Mid Sem'!A58</f>
        <v>Siddhant Gurung</v>
      </c>
    </row>
    <row r="59" spans="1:2">
      <c r="A59" s="5">
        <f>'Mid Sem'!B59</f>
        <v>590029354</v>
      </c>
      <c r="B59" s="5" t="str">
        <f>'Mid Sem'!A59</f>
        <v>Simarjot Kaur Gill</v>
      </c>
    </row>
    <row r="60" spans="1:2">
      <c r="A60" s="5">
        <f>'Mid Sem'!B60</f>
        <v>590029349</v>
      </c>
      <c r="B60" s="5" t="str">
        <f>'Mid Sem'!A60</f>
        <v>Tanishq Bansal</v>
      </c>
    </row>
    <row r="61" spans="1:2">
      <c r="A61" s="5">
        <f>'Mid Sem'!B61</f>
        <v>590029302</v>
      </c>
      <c r="B61" s="5" t="str">
        <f>'Mid Sem'!A61</f>
        <v>Tanmay Amit Verma</v>
      </c>
    </row>
    <row r="62" spans="1:2">
      <c r="A62" s="5">
        <f>'Mid Sem'!B62</f>
        <v>590029262</v>
      </c>
      <c r="B62" s="5" t="str">
        <f>'Mid Sem'!A62</f>
        <v>Vandana Yadav</v>
      </c>
    </row>
    <row r="63" spans="1:2">
      <c r="A63" s="5">
        <f>'Mid Sem'!B63</f>
        <v>590029285</v>
      </c>
      <c r="B63" s="5" t="str">
        <f>'Mid Sem'!A63</f>
        <v>Vidit Ahuja</v>
      </c>
    </row>
    <row r="64" spans="1:2">
      <c r="A64" s="5">
        <f>'Mid Sem'!B64</f>
        <v>590029353</v>
      </c>
      <c r="B64" s="5" t="str">
        <f>'Mid Sem'!A64</f>
        <v>Vinit Kumar</v>
      </c>
    </row>
    <row r="65" spans="1:2">
      <c r="A65" s="5">
        <f>'Mid Sem'!B65</f>
        <v>0</v>
      </c>
      <c r="B65" s="5">
        <f>'Mid Sem'!A65</f>
        <v>0</v>
      </c>
    </row>
  </sheetData>
  <mergeCells count="2">
    <mergeCell ref="A1:O1"/>
    <mergeCell ref="A2:O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998B1E-82C0-4209-AE48-1BAE4688E389}">
  <dimension ref="A1:O65"/>
  <sheetViews>
    <sheetView workbookViewId="0"/>
  </sheetViews>
  <sheetFormatPr defaultRowHeight="15"/>
  <cols>
    <col min="1" max="1" width="19" customWidth="1"/>
    <col min="2" max="2" width="24.28515625" bestFit="1" customWidth="1"/>
    <col min="3" max="13" width="4.5703125" bestFit="1" customWidth="1"/>
    <col min="14" max="14" width="5.42578125" bestFit="1" customWidth="1"/>
    <col min="15" max="15" width="4.7109375" bestFit="1" customWidth="1"/>
  </cols>
  <sheetData>
    <row r="1" spans="1:15" ht="24.75">
      <c r="A1" s="49" t="s">
        <v>5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</row>
    <row r="2" spans="1:15" ht="24.75">
      <c r="A2" s="49" t="str">
        <f>Marksheet!A2</f>
        <v xml:space="preserve">Computatioal Astrophysics (PHYS 8202) 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</row>
    <row r="3" spans="1:15">
      <c r="A3" s="2"/>
      <c r="B3" s="2"/>
      <c r="C3" s="3" t="s">
        <v>136</v>
      </c>
      <c r="D3" s="3" t="s">
        <v>137</v>
      </c>
      <c r="E3" s="3" t="s">
        <v>138</v>
      </c>
      <c r="F3" s="3" t="s">
        <v>136</v>
      </c>
      <c r="G3" s="3" t="s">
        <v>137</v>
      </c>
      <c r="H3" s="3" t="s">
        <v>136</v>
      </c>
      <c r="I3" s="3" t="s">
        <v>138</v>
      </c>
      <c r="J3" s="3" t="s">
        <v>138</v>
      </c>
      <c r="K3" s="3" t="s">
        <v>153</v>
      </c>
      <c r="L3" s="3" t="s">
        <v>138</v>
      </c>
      <c r="M3" s="3" t="s">
        <v>153</v>
      </c>
      <c r="N3" s="2"/>
      <c r="O3" s="2"/>
    </row>
    <row r="4" spans="1:15">
      <c r="A4" s="4" t="s">
        <v>154</v>
      </c>
      <c r="B4" s="4" t="s">
        <v>139</v>
      </c>
      <c r="C4" s="4" t="s">
        <v>141</v>
      </c>
      <c r="D4" s="4" t="s">
        <v>142</v>
      </c>
      <c r="E4" s="4" t="s">
        <v>143</v>
      </c>
      <c r="F4" s="4" t="s">
        <v>144</v>
      </c>
      <c r="G4" s="4" t="s">
        <v>145</v>
      </c>
      <c r="H4" s="4" t="s">
        <v>146</v>
      </c>
      <c r="I4" s="4" t="s">
        <v>147</v>
      </c>
      <c r="J4" s="4" t="s">
        <v>148</v>
      </c>
      <c r="K4" s="4" t="s">
        <v>149</v>
      </c>
      <c r="L4" s="4" t="s">
        <v>150</v>
      </c>
      <c r="M4" s="4" t="s">
        <v>151</v>
      </c>
      <c r="N4" s="4" t="s">
        <v>12</v>
      </c>
      <c r="O4" s="4" t="s">
        <v>13</v>
      </c>
    </row>
    <row r="5" spans="1:15">
      <c r="A5" s="6"/>
      <c r="B5" s="6" t="s">
        <v>16</v>
      </c>
      <c r="C5" s="6">
        <v>5</v>
      </c>
      <c r="D5" s="6">
        <v>5</v>
      </c>
      <c r="E5" s="6">
        <v>5</v>
      </c>
      <c r="F5" s="6">
        <v>5</v>
      </c>
      <c r="G5" s="6">
        <v>15</v>
      </c>
      <c r="H5" s="6">
        <v>15</v>
      </c>
      <c r="I5" s="6"/>
      <c r="J5" s="6"/>
      <c r="K5" s="6"/>
      <c r="L5" s="6"/>
      <c r="M5" s="6"/>
      <c r="N5" s="6">
        <v>10</v>
      </c>
      <c r="O5" s="6"/>
    </row>
    <row r="6" spans="1:15">
      <c r="A6" s="5">
        <f>'Mid Sem'!B6</f>
        <v>590029213</v>
      </c>
      <c r="B6" s="5" t="str">
        <f>'Mid Sem'!A6</f>
        <v>Aadya Dubey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>
        <v>10</v>
      </c>
      <c r="O6" s="2"/>
    </row>
    <row r="7" spans="1:15">
      <c r="A7" s="5">
        <f>'Mid Sem'!B7</f>
        <v>590029270</v>
      </c>
      <c r="B7" s="5" t="str">
        <f>'Mid Sem'!A7</f>
        <v>Aditya Vishwakarma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>
        <v>10</v>
      </c>
      <c r="O7" s="2"/>
    </row>
    <row r="8" spans="1:15">
      <c r="A8" s="5">
        <f>'Mid Sem'!B8</f>
        <v>590029204</v>
      </c>
      <c r="B8" s="5" t="str">
        <f>'Mid Sem'!A8</f>
        <v>Arjun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>
        <v>10</v>
      </c>
      <c r="O8" s="2"/>
    </row>
    <row r="9" spans="1:15">
      <c r="A9" s="5">
        <f>'Mid Sem'!B9</f>
        <v>590029109</v>
      </c>
      <c r="B9" s="5" t="str">
        <f>'Mid Sem'!A9</f>
        <v>Aryan Yadav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>
        <v>10</v>
      </c>
      <c r="O9" s="2"/>
    </row>
    <row r="10" spans="1:15">
      <c r="A10" s="5">
        <f>'Mid Sem'!B10</f>
        <v>590029070</v>
      </c>
      <c r="B10" s="5" t="str">
        <f>'Mid Sem'!A10</f>
        <v>Astik Patel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>
        <v>10</v>
      </c>
      <c r="O10" s="2"/>
    </row>
    <row r="11" spans="1:15">
      <c r="A11" s="5">
        <f>'Mid Sem'!B11</f>
        <v>590029157</v>
      </c>
      <c r="B11" s="5" t="str">
        <f>'Mid Sem'!A11</f>
        <v>Ayush Mohan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>
        <v>10</v>
      </c>
      <c r="O11" s="2"/>
    </row>
    <row r="12" spans="1:15">
      <c r="A12" s="5">
        <f>'Mid Sem'!B12</f>
        <v>590027157</v>
      </c>
      <c r="B12" s="5" t="str">
        <f>'Mid Sem'!A12</f>
        <v>Bhanu Purohit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>
        <v>10</v>
      </c>
      <c r="O12" s="2"/>
    </row>
    <row r="13" spans="1:15">
      <c r="A13" s="5">
        <f>'Mid Sem'!B13</f>
        <v>590029274</v>
      </c>
      <c r="B13" s="5" t="str">
        <f>'Mid Sem'!A13</f>
        <v>Biswabandya Mohanty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>
        <v>10</v>
      </c>
      <c r="O13" s="2"/>
    </row>
    <row r="14" spans="1:15">
      <c r="A14" s="5">
        <f>'Mid Sem'!B14</f>
        <v>590028572</v>
      </c>
      <c r="B14" s="5" t="str">
        <f>'Mid Sem'!A14</f>
        <v>Eashan Vashisht</v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>
        <v>10</v>
      </c>
      <c r="O14" s="2"/>
    </row>
    <row r="15" spans="1:15">
      <c r="A15" s="5">
        <f>'Mid Sem'!B15</f>
        <v>590029230</v>
      </c>
      <c r="B15" s="5" t="str">
        <f>'Mid Sem'!A15</f>
        <v>Hardik Joshi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>
        <v>10</v>
      </c>
      <c r="O15" s="2"/>
    </row>
    <row r="16" spans="1:15">
      <c r="A16" s="5">
        <f>'Mid Sem'!B16</f>
        <v>590029169</v>
      </c>
      <c r="B16" s="5" t="str">
        <f>'Mid Sem'!A16</f>
        <v>Hrithvik Bhardwaj</v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>
        <v>10</v>
      </c>
      <c r="O16" s="2"/>
    </row>
    <row r="17" spans="1:15">
      <c r="A17" s="5">
        <f>'Mid Sem'!B17</f>
        <v>590029112</v>
      </c>
      <c r="B17" s="5" t="str">
        <f>'Mid Sem'!A17</f>
        <v>Nitish Kumar</v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>
        <v>10</v>
      </c>
      <c r="O17" s="2"/>
    </row>
    <row r="18" spans="1:15">
      <c r="A18" s="5">
        <f>'Mid Sem'!B18</f>
        <v>590025556</v>
      </c>
      <c r="B18" s="5" t="str">
        <f>'Mid Sem'!A18</f>
        <v>Omkareshwar Chaubey</v>
      </c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spans="1:15">
      <c r="A19" s="5">
        <f>'Mid Sem'!B19</f>
        <v>590027830</v>
      </c>
      <c r="B19" s="5" t="str">
        <f>'Mid Sem'!A19</f>
        <v>Pavani Jain</v>
      </c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 spans="1:15">
      <c r="A20" s="5">
        <f>'Mid Sem'!B20</f>
        <v>590028360</v>
      </c>
      <c r="B20" s="5" t="str">
        <f>'Mid Sem'!A20</f>
        <v>Prapti Uniyal</v>
      </c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5">
      <c r="A21" s="5">
        <f>'Mid Sem'!B21</f>
        <v>590029237</v>
      </c>
      <c r="B21" s="5" t="str">
        <f>'Mid Sem'!A21</f>
        <v>Priyadarshi Prabhakar</v>
      </c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1:15">
      <c r="A22" s="5">
        <f>'Mid Sem'!B22</f>
        <v>590029079</v>
      </c>
      <c r="B22" s="5" t="str">
        <f>'Mid Sem'!A22</f>
        <v>Radhe Patel</v>
      </c>
    </row>
    <row r="23" spans="1:15">
      <c r="A23" s="5">
        <f>'Mid Sem'!B23</f>
        <v>590029145</v>
      </c>
      <c r="B23" s="5" t="str">
        <f>'Mid Sem'!A23</f>
        <v>Rishika Purushotham</v>
      </c>
    </row>
    <row r="24" spans="1:15">
      <c r="A24" s="5">
        <f>'Mid Sem'!B24</f>
        <v>590029209</v>
      </c>
      <c r="B24" s="5" t="str">
        <f>'Mid Sem'!A24</f>
        <v>Rishiv Kumar</v>
      </c>
    </row>
    <row r="25" spans="1:15">
      <c r="A25" s="5">
        <f>'Mid Sem'!B25</f>
        <v>590027268</v>
      </c>
      <c r="B25" s="5" t="str">
        <f>'Mid Sem'!A25</f>
        <v>Sankalp Sunil Ronge</v>
      </c>
    </row>
    <row r="26" spans="1:15">
      <c r="A26" s="5">
        <f>'Mid Sem'!B26</f>
        <v>590029227</v>
      </c>
      <c r="B26" s="5" t="str">
        <f>'Mid Sem'!A26</f>
        <v>Sartaj Singh</v>
      </c>
    </row>
    <row r="27" spans="1:15">
      <c r="A27" s="5">
        <f>'Mid Sem'!B27</f>
        <v>590029241</v>
      </c>
      <c r="B27" s="5" t="str">
        <f>'Mid Sem'!A27</f>
        <v>Satakshi Gupta</v>
      </c>
    </row>
    <row r="28" spans="1:15">
      <c r="A28" s="5">
        <f>'Mid Sem'!B28</f>
        <v>590023855</v>
      </c>
      <c r="B28" s="5" t="str">
        <f>'Mid Sem'!A28</f>
        <v>Shaswat Shantanu</v>
      </c>
    </row>
    <row r="29" spans="1:15">
      <c r="A29" s="5">
        <f>'Mid Sem'!B29</f>
        <v>590029215</v>
      </c>
      <c r="B29" s="5" t="str">
        <f>'Mid Sem'!A29</f>
        <v>Siddhant Rai</v>
      </c>
    </row>
    <row r="30" spans="1:15">
      <c r="A30" s="5">
        <f>'Mid Sem'!B30</f>
        <v>590029111</v>
      </c>
      <c r="B30" s="5" t="str">
        <f>'Mid Sem'!A30</f>
        <v>Sidhaant Singh Jyrwa</v>
      </c>
    </row>
    <row r="31" spans="1:15">
      <c r="A31" s="5">
        <f>'Mid Sem'!B31</f>
        <v>590028683</v>
      </c>
      <c r="B31" s="5" t="str">
        <f>'Mid Sem'!A31</f>
        <v>Subrat Singh Jadaun</v>
      </c>
    </row>
    <row r="32" spans="1:15">
      <c r="A32" s="5">
        <f>'Mid Sem'!B32</f>
        <v>590029121</v>
      </c>
      <c r="B32" s="5" t="str">
        <f>'Mid Sem'!A32</f>
        <v>Tushita Sharma</v>
      </c>
    </row>
    <row r="33" spans="1:2">
      <c r="A33" s="5">
        <f>'Mid Sem'!B33</f>
        <v>590029048</v>
      </c>
      <c r="B33" s="5" t="str">
        <f>'Mid Sem'!A33</f>
        <v>Vaishnavi Kumari</v>
      </c>
    </row>
    <row r="34" spans="1:2">
      <c r="A34" s="5">
        <f>'Mid Sem'!B34</f>
        <v>590029184</v>
      </c>
      <c r="B34" s="5" t="str">
        <f>'Mid Sem'!A34</f>
        <v>Vivek Chauhan</v>
      </c>
    </row>
    <row r="35" spans="1:2">
      <c r="A35" s="5">
        <f>'Mid Sem'!B35</f>
        <v>590029330</v>
      </c>
      <c r="B35" s="5" t="str">
        <f>'Mid Sem'!A35</f>
        <v>Aadarshi Bisht</v>
      </c>
    </row>
    <row r="36" spans="1:2">
      <c r="A36" s="5">
        <f>'Mid Sem'!B36</f>
        <v>590027630</v>
      </c>
      <c r="B36" s="5" t="str">
        <f>'Mid Sem'!A36</f>
        <v>Aarush Prasad</v>
      </c>
    </row>
    <row r="37" spans="1:2">
      <c r="A37" s="5">
        <f>'Mid Sem'!B37</f>
        <v>590029219</v>
      </c>
      <c r="B37" s="5" t="str">
        <f>'Mid Sem'!A37</f>
        <v>Aditya Mishra</v>
      </c>
    </row>
    <row r="38" spans="1:2">
      <c r="A38" s="5">
        <f>'Mid Sem'!B38</f>
        <v>590028933</v>
      </c>
      <c r="B38" s="5" t="str">
        <f>'Mid Sem'!A38</f>
        <v>Aman Barnwal</v>
      </c>
    </row>
    <row r="39" spans="1:2">
      <c r="A39" s="5">
        <f>'Mid Sem'!B39</f>
        <v>590027859</v>
      </c>
      <c r="B39" s="5" t="str">
        <f>'Mid Sem'!A39</f>
        <v>Ashutosh Shrivastava</v>
      </c>
    </row>
    <row r="40" spans="1:2">
      <c r="A40" s="5">
        <f>'Mid Sem'!B40</f>
        <v>590028682</v>
      </c>
      <c r="B40" s="5" t="str">
        <f>'Mid Sem'!A40</f>
        <v>Ayan Pande</v>
      </c>
    </row>
    <row r="41" spans="1:2">
      <c r="A41" s="5">
        <f>'Mid Sem'!B41</f>
        <v>590023917</v>
      </c>
      <c r="B41" s="5" t="str">
        <f>'Mid Sem'!A41</f>
        <v>Ayush Pratap Singh</v>
      </c>
    </row>
    <row r="42" spans="1:2">
      <c r="A42" s="5">
        <f>'Mid Sem'!B42</f>
        <v>590023785</v>
      </c>
      <c r="B42" s="5" t="str">
        <f>'Mid Sem'!A42</f>
        <v>Gayatri Bhatt</v>
      </c>
    </row>
    <row r="43" spans="1:2">
      <c r="A43" s="5">
        <f>'Mid Sem'!B43</f>
        <v>590029264</v>
      </c>
      <c r="B43" s="5" t="str">
        <f>'Mid Sem'!A43</f>
        <v>Harsh Mudgal</v>
      </c>
    </row>
    <row r="44" spans="1:2">
      <c r="A44" s="5">
        <f>'Mid Sem'!B44</f>
        <v>590029042</v>
      </c>
      <c r="B44" s="5" t="str">
        <f>'Mid Sem'!A44</f>
        <v>Kanan Nidhania</v>
      </c>
    </row>
    <row r="45" spans="1:2">
      <c r="A45" s="5">
        <f>'Mid Sem'!B45</f>
        <v>590029336</v>
      </c>
      <c r="B45" s="5" t="str">
        <f>'Mid Sem'!A45</f>
        <v>Kanishka Diwakar</v>
      </c>
    </row>
    <row r="46" spans="1:2">
      <c r="A46" s="5">
        <f>'Mid Sem'!B46</f>
        <v>590029233</v>
      </c>
      <c r="B46" s="5" t="str">
        <f>'Mid Sem'!A46</f>
        <v>Keshav Chahda</v>
      </c>
    </row>
    <row r="47" spans="1:2">
      <c r="A47" s="5">
        <f>'Mid Sem'!B47</f>
        <v>590029328</v>
      </c>
      <c r="B47" s="5" t="str">
        <f>'Mid Sem'!A47</f>
        <v>Lakshay Dhanda</v>
      </c>
    </row>
    <row r="48" spans="1:2">
      <c r="A48" s="5">
        <f>'Mid Sem'!B48</f>
        <v>590028608</v>
      </c>
      <c r="B48" s="5" t="str">
        <f>'Mid Sem'!A48</f>
        <v>Lakshya Singh</v>
      </c>
    </row>
    <row r="49" spans="1:2">
      <c r="A49" s="5">
        <f>'Mid Sem'!B49</f>
        <v>590028605</v>
      </c>
      <c r="B49" s="5" t="str">
        <f>'Mid Sem'!A49</f>
        <v>Mayank Chand Ramola</v>
      </c>
    </row>
    <row r="50" spans="1:2">
      <c r="A50" s="5">
        <f>'Mid Sem'!B50</f>
        <v>590026626</v>
      </c>
      <c r="B50" s="5" t="str">
        <f>'Mid Sem'!A50</f>
        <v>Mukesh Patel</v>
      </c>
    </row>
    <row r="51" spans="1:2">
      <c r="A51" s="5">
        <f>'Mid Sem'!B51</f>
        <v>590029310</v>
      </c>
      <c r="B51" s="5" t="str">
        <f>'Mid Sem'!A51</f>
        <v>Nipun Singh</v>
      </c>
    </row>
    <row r="52" spans="1:2">
      <c r="A52" s="5">
        <f>'Mid Sem'!B52</f>
        <v>590029319</v>
      </c>
      <c r="B52" s="5" t="str">
        <f>'Mid Sem'!A52</f>
        <v>Paras Bhall</v>
      </c>
    </row>
    <row r="53" spans="1:2">
      <c r="A53" s="5">
        <f>'Mid Sem'!B53</f>
        <v>590029339</v>
      </c>
      <c r="B53" s="5" t="str">
        <f>'Mid Sem'!A53</f>
        <v>Raghav Kumar Goyal</v>
      </c>
    </row>
    <row r="54" spans="1:2">
      <c r="A54" s="5">
        <f>'Mid Sem'!B54</f>
        <v>590029148</v>
      </c>
      <c r="B54" s="5" t="str">
        <f>'Mid Sem'!A54</f>
        <v>Rahul</v>
      </c>
    </row>
    <row r="55" spans="1:2">
      <c r="A55" s="5">
        <f>'Mid Sem'!B55</f>
        <v>590029309</v>
      </c>
      <c r="B55" s="5" t="str">
        <f>'Mid Sem'!A55</f>
        <v>Rahul Singh</v>
      </c>
    </row>
    <row r="56" spans="1:2">
      <c r="A56" s="5">
        <f>'Mid Sem'!B56</f>
        <v>590028838</v>
      </c>
      <c r="B56" s="5" t="str">
        <f>'Mid Sem'!A56</f>
        <v>Satyam Singh</v>
      </c>
    </row>
    <row r="57" spans="1:2">
      <c r="A57" s="5">
        <f>'Mid Sem'!B57</f>
        <v>590029107</v>
      </c>
      <c r="B57" s="5" t="str">
        <f>'Mid Sem'!A57</f>
        <v>Shashwat Agrawal</v>
      </c>
    </row>
    <row r="58" spans="1:2">
      <c r="A58" s="5">
        <f>'Mid Sem'!B58</f>
        <v>590029266</v>
      </c>
      <c r="B58" s="5" t="str">
        <f>'Mid Sem'!A58</f>
        <v>Siddhant Gurung</v>
      </c>
    </row>
    <row r="59" spans="1:2">
      <c r="A59" s="5">
        <f>'Mid Sem'!B59</f>
        <v>590029354</v>
      </c>
      <c r="B59" s="5" t="str">
        <f>'Mid Sem'!A59</f>
        <v>Simarjot Kaur Gill</v>
      </c>
    </row>
    <row r="60" spans="1:2">
      <c r="A60" s="5">
        <f>'Mid Sem'!B60</f>
        <v>590029349</v>
      </c>
      <c r="B60" s="5" t="str">
        <f>'Mid Sem'!A60</f>
        <v>Tanishq Bansal</v>
      </c>
    </row>
    <row r="61" spans="1:2">
      <c r="A61" s="5">
        <f>'Mid Sem'!B61</f>
        <v>590029302</v>
      </c>
      <c r="B61" s="5" t="str">
        <f>'Mid Sem'!A61</f>
        <v>Tanmay Amit Verma</v>
      </c>
    </row>
    <row r="62" spans="1:2">
      <c r="A62" s="5">
        <f>'Mid Sem'!B62</f>
        <v>590029262</v>
      </c>
      <c r="B62" s="5" t="str">
        <f>'Mid Sem'!A62</f>
        <v>Vandana Yadav</v>
      </c>
    </row>
    <row r="63" spans="1:2">
      <c r="A63" s="5">
        <f>'Mid Sem'!B63</f>
        <v>590029285</v>
      </c>
      <c r="B63" s="5" t="str">
        <f>'Mid Sem'!A63</f>
        <v>Vidit Ahuja</v>
      </c>
    </row>
    <row r="64" spans="1:2">
      <c r="A64" s="5">
        <f>'Mid Sem'!B64</f>
        <v>590029353</v>
      </c>
      <c r="B64" s="5" t="str">
        <f>'Mid Sem'!A64</f>
        <v>Vinit Kumar</v>
      </c>
    </row>
    <row r="65" spans="1:2">
      <c r="A65" s="5">
        <f>'Mid Sem'!B65</f>
        <v>0</v>
      </c>
      <c r="B65" s="5">
        <f>'Mid Sem'!A65</f>
        <v>0</v>
      </c>
    </row>
  </sheetData>
  <mergeCells count="2">
    <mergeCell ref="A1:O1"/>
    <mergeCell ref="A2:O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02827-4102-4501-99F8-C9B7DD668F03}">
  <dimension ref="A1:O65"/>
  <sheetViews>
    <sheetView topLeftCell="B1" workbookViewId="0">
      <selection activeCell="B17" sqref="B17"/>
    </sheetView>
  </sheetViews>
  <sheetFormatPr defaultRowHeight="15"/>
  <cols>
    <col min="1" max="1" width="19" customWidth="1"/>
    <col min="2" max="2" width="24.28515625" bestFit="1" customWidth="1"/>
    <col min="3" max="13" width="4.5703125" bestFit="1" customWidth="1"/>
    <col min="14" max="14" width="5.42578125" bestFit="1" customWidth="1"/>
    <col min="15" max="15" width="4.7109375" bestFit="1" customWidth="1"/>
  </cols>
  <sheetData>
    <row r="1" spans="1:15" ht="24.75">
      <c r="A1" s="49" t="s">
        <v>5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</row>
    <row r="2" spans="1:15" ht="24.75">
      <c r="A2" s="49" t="str">
        <f>Marksheet!A2</f>
        <v xml:space="preserve">Computatioal Astrophysics (PHYS 8202) 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</row>
    <row r="3" spans="1:15">
      <c r="A3" s="2"/>
      <c r="B3" s="2"/>
      <c r="C3" s="3" t="s">
        <v>136</v>
      </c>
      <c r="D3" s="3" t="s">
        <v>137</v>
      </c>
      <c r="E3" s="3" t="s">
        <v>138</v>
      </c>
      <c r="F3" s="3" t="s">
        <v>136</v>
      </c>
      <c r="G3" s="3" t="s">
        <v>137</v>
      </c>
      <c r="H3" s="3" t="s">
        <v>136</v>
      </c>
      <c r="I3" s="3" t="s">
        <v>138</v>
      </c>
      <c r="J3" s="3" t="s">
        <v>138</v>
      </c>
      <c r="K3" s="3" t="s">
        <v>153</v>
      </c>
      <c r="L3" s="3" t="s">
        <v>138</v>
      </c>
      <c r="M3" s="3" t="s">
        <v>153</v>
      </c>
      <c r="N3" s="2"/>
      <c r="O3" s="2"/>
    </row>
    <row r="4" spans="1:15">
      <c r="A4" s="4" t="s">
        <v>154</v>
      </c>
      <c r="B4" s="4" t="s">
        <v>139</v>
      </c>
      <c r="C4" s="4" t="s">
        <v>141</v>
      </c>
      <c r="D4" s="4" t="s">
        <v>142</v>
      </c>
      <c r="E4" s="4" t="s">
        <v>143</v>
      </c>
      <c r="F4" s="4" t="s">
        <v>144</v>
      </c>
      <c r="G4" s="4" t="s">
        <v>145</v>
      </c>
      <c r="H4" s="4" t="s">
        <v>146</v>
      </c>
      <c r="I4" s="4" t="s">
        <v>147</v>
      </c>
      <c r="J4" s="4" t="s">
        <v>148</v>
      </c>
      <c r="K4" s="4" t="s">
        <v>149</v>
      </c>
      <c r="L4" s="4" t="s">
        <v>150</v>
      </c>
      <c r="M4" s="4" t="s">
        <v>151</v>
      </c>
      <c r="N4" s="4" t="s">
        <v>12</v>
      </c>
      <c r="O4" s="4" t="s">
        <v>13</v>
      </c>
    </row>
    <row r="5" spans="1:15">
      <c r="A5" s="6"/>
      <c r="B5" s="6" t="s">
        <v>16</v>
      </c>
      <c r="C5" s="6">
        <v>5</v>
      </c>
      <c r="D5" s="6">
        <v>5</v>
      </c>
      <c r="E5" s="6">
        <v>5</v>
      </c>
      <c r="F5" s="6">
        <v>5</v>
      </c>
      <c r="G5" s="6">
        <v>15</v>
      </c>
      <c r="H5" s="6">
        <v>15</v>
      </c>
      <c r="I5" s="6"/>
      <c r="J5" s="6"/>
      <c r="K5" s="6"/>
      <c r="L5" s="6"/>
      <c r="M5" s="6"/>
      <c r="N5" s="6">
        <v>10</v>
      </c>
      <c r="O5" s="6"/>
    </row>
    <row r="6" spans="1:15">
      <c r="A6" s="5">
        <f>'Mid Sem'!B6</f>
        <v>590029213</v>
      </c>
      <c r="B6" s="5" t="str">
        <f>'Mid Sem'!A6</f>
        <v>Aadya Dubey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>
        <v>10</v>
      </c>
      <c r="O6" s="2"/>
    </row>
    <row r="7" spans="1:15">
      <c r="A7" s="5">
        <f>'Mid Sem'!B7</f>
        <v>590029270</v>
      </c>
      <c r="B7" s="5" t="str">
        <f>'Mid Sem'!A7</f>
        <v>Aditya Vishwakarma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>
        <v>10</v>
      </c>
      <c r="O7" s="2"/>
    </row>
    <row r="8" spans="1:15">
      <c r="A8" s="5">
        <f>'Mid Sem'!B8</f>
        <v>590029204</v>
      </c>
      <c r="B8" s="5" t="str">
        <f>'Mid Sem'!A8</f>
        <v>Arjun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>
        <v>10</v>
      </c>
      <c r="O8" s="2"/>
    </row>
    <row r="9" spans="1:15">
      <c r="A9" s="5">
        <f>'Mid Sem'!B9</f>
        <v>590029109</v>
      </c>
      <c r="B9" s="5" t="str">
        <f>'Mid Sem'!A9</f>
        <v>Aryan Yadav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>
        <v>10</v>
      </c>
      <c r="O9" s="2"/>
    </row>
    <row r="10" spans="1:15">
      <c r="A10" s="5">
        <f>'Mid Sem'!B10</f>
        <v>590029070</v>
      </c>
      <c r="B10" s="5" t="str">
        <f>'Mid Sem'!A10</f>
        <v>Astik Patel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>
        <v>10</v>
      </c>
      <c r="O10" s="2"/>
    </row>
    <row r="11" spans="1:15">
      <c r="A11" s="5">
        <f>'Mid Sem'!B11</f>
        <v>590029157</v>
      </c>
      <c r="B11" s="5" t="str">
        <f>'Mid Sem'!A11</f>
        <v>Ayush Mohan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>
        <v>10</v>
      </c>
      <c r="O11" s="2"/>
    </row>
    <row r="12" spans="1:15">
      <c r="A12" s="5">
        <f>'Mid Sem'!B12</f>
        <v>590027157</v>
      </c>
      <c r="B12" s="5" t="str">
        <f>'Mid Sem'!A12</f>
        <v>Bhanu Purohit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>
        <v>10</v>
      </c>
      <c r="O12" s="2"/>
    </row>
    <row r="13" spans="1:15">
      <c r="A13" s="5">
        <f>'Mid Sem'!B13</f>
        <v>590029274</v>
      </c>
      <c r="B13" s="5" t="str">
        <f>'Mid Sem'!A13</f>
        <v>Biswabandya Mohanty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>
        <v>10</v>
      </c>
      <c r="O13" s="2"/>
    </row>
    <row r="14" spans="1:15">
      <c r="A14" s="5">
        <f>'Mid Sem'!B14</f>
        <v>590028572</v>
      </c>
      <c r="B14" s="5" t="str">
        <f>'Mid Sem'!A14</f>
        <v>Eashan Vashisht</v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>
        <v>10</v>
      </c>
      <c r="O14" s="2"/>
    </row>
    <row r="15" spans="1:15">
      <c r="A15" s="5">
        <f>'Mid Sem'!B15</f>
        <v>590029230</v>
      </c>
      <c r="B15" s="5" t="str">
        <f>'Mid Sem'!A15</f>
        <v>Hardik Joshi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>
        <v>10</v>
      </c>
      <c r="O15" s="2"/>
    </row>
    <row r="16" spans="1:15">
      <c r="A16" s="5">
        <f>'Mid Sem'!B16</f>
        <v>590029169</v>
      </c>
      <c r="B16" s="5" t="str">
        <f>'Mid Sem'!A16</f>
        <v>Hrithvik Bhardwaj</v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>
        <v>10</v>
      </c>
      <c r="O16" s="2"/>
    </row>
    <row r="17" spans="1:15">
      <c r="A17" s="5">
        <f>'Mid Sem'!B17</f>
        <v>590029112</v>
      </c>
      <c r="B17" s="5" t="str">
        <f>'Mid Sem'!A17</f>
        <v>Nitish Kumar</v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>
        <v>10</v>
      </c>
      <c r="O17" s="2"/>
    </row>
    <row r="18" spans="1:15">
      <c r="A18" s="5">
        <f>'Mid Sem'!B18</f>
        <v>590025556</v>
      </c>
      <c r="B18" s="5" t="str">
        <f>'Mid Sem'!A18</f>
        <v>Omkareshwar Chaubey</v>
      </c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spans="1:15">
      <c r="A19" s="5">
        <f>'Mid Sem'!B19</f>
        <v>590027830</v>
      </c>
      <c r="B19" s="5" t="str">
        <f>'Mid Sem'!A19</f>
        <v>Pavani Jain</v>
      </c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 spans="1:15">
      <c r="A20" s="5">
        <f>'Mid Sem'!B20</f>
        <v>590028360</v>
      </c>
      <c r="B20" s="5" t="str">
        <f>'Mid Sem'!A20</f>
        <v>Prapti Uniyal</v>
      </c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5">
      <c r="A21" s="5">
        <f>'Mid Sem'!B21</f>
        <v>590029237</v>
      </c>
      <c r="B21" s="5" t="str">
        <f>'Mid Sem'!A21</f>
        <v>Priyadarshi Prabhakar</v>
      </c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1:15">
      <c r="A22" s="5">
        <f>'Mid Sem'!B22</f>
        <v>590029079</v>
      </c>
      <c r="B22" s="5" t="str">
        <f>'Mid Sem'!A22</f>
        <v>Radhe Patel</v>
      </c>
    </row>
    <row r="23" spans="1:15">
      <c r="A23" s="5">
        <f>'Mid Sem'!B23</f>
        <v>590029145</v>
      </c>
      <c r="B23" s="5" t="str">
        <f>'Mid Sem'!A23</f>
        <v>Rishika Purushotham</v>
      </c>
    </row>
    <row r="24" spans="1:15">
      <c r="A24" s="5">
        <f>'Mid Sem'!B24</f>
        <v>590029209</v>
      </c>
      <c r="B24" s="5" t="str">
        <f>'Mid Sem'!A24</f>
        <v>Rishiv Kumar</v>
      </c>
    </row>
    <row r="25" spans="1:15">
      <c r="A25" s="5">
        <f>'Mid Sem'!B25</f>
        <v>590027268</v>
      </c>
      <c r="B25" s="5" t="str">
        <f>'Mid Sem'!A25</f>
        <v>Sankalp Sunil Ronge</v>
      </c>
    </row>
    <row r="26" spans="1:15">
      <c r="A26" s="5">
        <f>'Mid Sem'!B26</f>
        <v>590029227</v>
      </c>
      <c r="B26" s="5" t="str">
        <f>'Mid Sem'!A26</f>
        <v>Sartaj Singh</v>
      </c>
    </row>
    <row r="27" spans="1:15">
      <c r="A27" s="5">
        <f>'Mid Sem'!B27</f>
        <v>590029241</v>
      </c>
      <c r="B27" s="5" t="str">
        <f>'Mid Sem'!A27</f>
        <v>Satakshi Gupta</v>
      </c>
    </row>
    <row r="28" spans="1:15">
      <c r="A28" s="5">
        <f>'Mid Sem'!B28</f>
        <v>590023855</v>
      </c>
      <c r="B28" s="5" t="str">
        <f>'Mid Sem'!A28</f>
        <v>Shaswat Shantanu</v>
      </c>
    </row>
    <row r="29" spans="1:15">
      <c r="A29" s="5">
        <f>'Mid Sem'!B29</f>
        <v>590029215</v>
      </c>
      <c r="B29" s="5" t="str">
        <f>'Mid Sem'!A29</f>
        <v>Siddhant Rai</v>
      </c>
    </row>
    <row r="30" spans="1:15">
      <c r="A30" s="5">
        <f>'Mid Sem'!B30</f>
        <v>590029111</v>
      </c>
      <c r="B30" s="5" t="str">
        <f>'Mid Sem'!A30</f>
        <v>Sidhaant Singh Jyrwa</v>
      </c>
    </row>
    <row r="31" spans="1:15">
      <c r="A31" s="5">
        <f>'Mid Sem'!B31</f>
        <v>590028683</v>
      </c>
      <c r="B31" s="5" t="str">
        <f>'Mid Sem'!A31</f>
        <v>Subrat Singh Jadaun</v>
      </c>
    </row>
    <row r="32" spans="1:15">
      <c r="A32" s="5">
        <f>'Mid Sem'!B32</f>
        <v>590029121</v>
      </c>
      <c r="B32" s="5" t="str">
        <f>'Mid Sem'!A32</f>
        <v>Tushita Sharma</v>
      </c>
    </row>
    <row r="33" spans="1:2">
      <c r="A33" s="5">
        <f>'Mid Sem'!B33</f>
        <v>590029048</v>
      </c>
      <c r="B33" s="5" t="str">
        <f>'Mid Sem'!A33</f>
        <v>Vaishnavi Kumari</v>
      </c>
    </row>
    <row r="34" spans="1:2">
      <c r="A34" s="5">
        <f>'Mid Sem'!B34</f>
        <v>590029184</v>
      </c>
      <c r="B34" s="5" t="str">
        <f>'Mid Sem'!A34</f>
        <v>Vivek Chauhan</v>
      </c>
    </row>
    <row r="35" spans="1:2">
      <c r="A35" s="5">
        <f>'Mid Sem'!B35</f>
        <v>590029330</v>
      </c>
      <c r="B35" s="5" t="str">
        <f>'Mid Sem'!A35</f>
        <v>Aadarshi Bisht</v>
      </c>
    </row>
    <row r="36" spans="1:2">
      <c r="A36" s="5">
        <f>'Mid Sem'!B36</f>
        <v>590027630</v>
      </c>
      <c r="B36" s="5" t="str">
        <f>'Mid Sem'!A36</f>
        <v>Aarush Prasad</v>
      </c>
    </row>
    <row r="37" spans="1:2">
      <c r="A37" s="5">
        <f>'Mid Sem'!B37</f>
        <v>590029219</v>
      </c>
      <c r="B37" s="5" t="str">
        <f>'Mid Sem'!A37</f>
        <v>Aditya Mishra</v>
      </c>
    </row>
    <row r="38" spans="1:2">
      <c r="A38" s="5">
        <f>'Mid Sem'!B38</f>
        <v>590028933</v>
      </c>
      <c r="B38" s="5" t="str">
        <f>'Mid Sem'!A38</f>
        <v>Aman Barnwal</v>
      </c>
    </row>
    <row r="39" spans="1:2">
      <c r="A39" s="5">
        <f>'Mid Sem'!B39</f>
        <v>590027859</v>
      </c>
      <c r="B39" s="5" t="str">
        <f>'Mid Sem'!A39</f>
        <v>Ashutosh Shrivastava</v>
      </c>
    </row>
    <row r="40" spans="1:2">
      <c r="A40" s="5">
        <f>'Mid Sem'!B40</f>
        <v>590028682</v>
      </c>
      <c r="B40" s="5" t="str">
        <f>'Mid Sem'!A40</f>
        <v>Ayan Pande</v>
      </c>
    </row>
    <row r="41" spans="1:2">
      <c r="A41" s="5">
        <f>'Mid Sem'!B41</f>
        <v>590023917</v>
      </c>
      <c r="B41" s="5" t="str">
        <f>'Mid Sem'!A41</f>
        <v>Ayush Pratap Singh</v>
      </c>
    </row>
    <row r="42" spans="1:2">
      <c r="A42" s="5">
        <f>'Mid Sem'!B42</f>
        <v>590023785</v>
      </c>
      <c r="B42" s="5" t="str">
        <f>'Mid Sem'!A42</f>
        <v>Gayatri Bhatt</v>
      </c>
    </row>
    <row r="43" spans="1:2">
      <c r="A43" s="5">
        <f>'Mid Sem'!B43</f>
        <v>590029264</v>
      </c>
      <c r="B43" s="5" t="str">
        <f>'Mid Sem'!A43</f>
        <v>Harsh Mudgal</v>
      </c>
    </row>
    <row r="44" spans="1:2">
      <c r="A44" s="5">
        <f>'Mid Sem'!B44</f>
        <v>590029042</v>
      </c>
      <c r="B44" s="5" t="str">
        <f>'Mid Sem'!A44</f>
        <v>Kanan Nidhania</v>
      </c>
    </row>
    <row r="45" spans="1:2">
      <c r="A45" s="5">
        <f>'Mid Sem'!B45</f>
        <v>590029336</v>
      </c>
      <c r="B45" s="5" t="str">
        <f>'Mid Sem'!A45</f>
        <v>Kanishka Diwakar</v>
      </c>
    </row>
    <row r="46" spans="1:2">
      <c r="A46" s="5">
        <f>'Mid Sem'!B46</f>
        <v>590029233</v>
      </c>
      <c r="B46" s="5" t="str">
        <f>'Mid Sem'!A46</f>
        <v>Keshav Chahda</v>
      </c>
    </row>
    <row r="47" spans="1:2">
      <c r="A47" s="5">
        <f>'Mid Sem'!B47</f>
        <v>590029328</v>
      </c>
      <c r="B47" s="5" t="str">
        <f>'Mid Sem'!A47</f>
        <v>Lakshay Dhanda</v>
      </c>
    </row>
    <row r="48" spans="1:2">
      <c r="A48" s="5">
        <f>'Mid Sem'!B48</f>
        <v>590028608</v>
      </c>
      <c r="B48" s="5" t="str">
        <f>'Mid Sem'!A48</f>
        <v>Lakshya Singh</v>
      </c>
    </row>
    <row r="49" spans="1:2">
      <c r="A49" s="5">
        <f>'Mid Sem'!B49</f>
        <v>590028605</v>
      </c>
      <c r="B49" s="5" t="str">
        <f>'Mid Sem'!A49</f>
        <v>Mayank Chand Ramola</v>
      </c>
    </row>
    <row r="50" spans="1:2">
      <c r="A50" s="5">
        <f>'Mid Sem'!B50</f>
        <v>590026626</v>
      </c>
      <c r="B50" s="5" t="str">
        <f>'Mid Sem'!A50</f>
        <v>Mukesh Patel</v>
      </c>
    </row>
    <row r="51" spans="1:2">
      <c r="A51" s="5">
        <f>'Mid Sem'!B51</f>
        <v>590029310</v>
      </c>
      <c r="B51" s="5" t="str">
        <f>'Mid Sem'!A51</f>
        <v>Nipun Singh</v>
      </c>
    </row>
    <row r="52" spans="1:2">
      <c r="A52" s="5">
        <f>'Mid Sem'!B52</f>
        <v>590029319</v>
      </c>
      <c r="B52" s="5" t="str">
        <f>'Mid Sem'!A52</f>
        <v>Paras Bhall</v>
      </c>
    </row>
    <row r="53" spans="1:2">
      <c r="A53" s="5">
        <f>'Mid Sem'!B53</f>
        <v>590029339</v>
      </c>
      <c r="B53" s="5" t="str">
        <f>'Mid Sem'!A53</f>
        <v>Raghav Kumar Goyal</v>
      </c>
    </row>
    <row r="54" spans="1:2">
      <c r="A54" s="5">
        <f>'Mid Sem'!B54</f>
        <v>590029148</v>
      </c>
      <c r="B54" s="5" t="str">
        <f>'Mid Sem'!A54</f>
        <v>Rahul</v>
      </c>
    </row>
    <row r="55" spans="1:2">
      <c r="A55" s="5">
        <f>'Mid Sem'!B55</f>
        <v>590029309</v>
      </c>
      <c r="B55" s="5" t="str">
        <f>'Mid Sem'!A55</f>
        <v>Rahul Singh</v>
      </c>
    </row>
    <row r="56" spans="1:2">
      <c r="A56" s="5">
        <f>'Mid Sem'!B56</f>
        <v>590028838</v>
      </c>
      <c r="B56" s="5" t="str">
        <f>'Mid Sem'!A56</f>
        <v>Satyam Singh</v>
      </c>
    </row>
    <row r="57" spans="1:2">
      <c r="A57" s="5">
        <f>'Mid Sem'!B57</f>
        <v>590029107</v>
      </c>
      <c r="B57" s="5" t="str">
        <f>'Mid Sem'!A57</f>
        <v>Shashwat Agrawal</v>
      </c>
    </row>
    <row r="58" spans="1:2">
      <c r="A58" s="5">
        <f>'Mid Sem'!B58</f>
        <v>590029266</v>
      </c>
      <c r="B58" s="5" t="str">
        <f>'Mid Sem'!A58</f>
        <v>Siddhant Gurung</v>
      </c>
    </row>
    <row r="59" spans="1:2">
      <c r="A59" s="5">
        <f>'Mid Sem'!B59</f>
        <v>590029354</v>
      </c>
      <c r="B59" s="5" t="str">
        <f>'Mid Sem'!A59</f>
        <v>Simarjot Kaur Gill</v>
      </c>
    </row>
    <row r="60" spans="1:2">
      <c r="A60" s="5">
        <f>'Mid Sem'!B60</f>
        <v>590029349</v>
      </c>
      <c r="B60" s="5" t="str">
        <f>'Mid Sem'!A60</f>
        <v>Tanishq Bansal</v>
      </c>
    </row>
    <row r="61" spans="1:2">
      <c r="A61" s="5">
        <f>'Mid Sem'!B61</f>
        <v>590029302</v>
      </c>
      <c r="B61" s="5" t="str">
        <f>'Mid Sem'!A61</f>
        <v>Tanmay Amit Verma</v>
      </c>
    </row>
    <row r="62" spans="1:2">
      <c r="A62" s="5">
        <f>'Mid Sem'!B62</f>
        <v>590029262</v>
      </c>
      <c r="B62" s="5" t="str">
        <f>'Mid Sem'!A62</f>
        <v>Vandana Yadav</v>
      </c>
    </row>
    <row r="63" spans="1:2">
      <c r="A63" s="5">
        <f>'Mid Sem'!B63</f>
        <v>590029285</v>
      </c>
      <c r="B63" s="5" t="str">
        <f>'Mid Sem'!A63</f>
        <v>Vidit Ahuja</v>
      </c>
    </row>
    <row r="64" spans="1:2">
      <c r="A64" s="5">
        <f>'Mid Sem'!B64</f>
        <v>590029353</v>
      </c>
      <c r="B64" s="5" t="str">
        <f>'Mid Sem'!A64</f>
        <v>Vinit Kumar</v>
      </c>
    </row>
    <row r="65" spans="1:2">
      <c r="A65" s="5">
        <f>'Mid Sem'!B65</f>
        <v>0</v>
      </c>
      <c r="B65" s="5">
        <f>'Mid Sem'!A65</f>
        <v>0</v>
      </c>
    </row>
  </sheetData>
  <mergeCells count="2">
    <mergeCell ref="A1:O1"/>
    <mergeCell ref="A2:O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596BA-28B6-4E3D-B4DD-BA2BE95F4450}">
  <dimension ref="A1:O66"/>
  <sheetViews>
    <sheetView topLeftCell="A49" workbookViewId="0">
      <selection activeCell="H66" sqref="H66"/>
    </sheetView>
  </sheetViews>
  <sheetFormatPr defaultRowHeight="15"/>
  <cols>
    <col min="1" max="1" width="10.140625" bestFit="1" customWidth="1"/>
    <col min="2" max="2" width="24.28515625" bestFit="1" customWidth="1"/>
    <col min="3" max="13" width="4.5703125" bestFit="1" customWidth="1"/>
    <col min="14" max="14" width="5.42578125" bestFit="1" customWidth="1"/>
    <col min="15" max="15" width="4.7109375" bestFit="1" customWidth="1"/>
  </cols>
  <sheetData>
    <row r="1" spans="1:15" ht="24.75">
      <c r="A1" s="49" t="s">
        <v>5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</row>
    <row r="2" spans="1:15" ht="24.75">
      <c r="A2" s="49" t="str">
        <f>Marksheet!A2</f>
        <v xml:space="preserve">Computatioal Astrophysics (PHYS 8202) 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</row>
    <row r="3" spans="1:15">
      <c r="A3" s="2"/>
      <c r="B3" s="2"/>
      <c r="C3" s="3" t="s">
        <v>136</v>
      </c>
      <c r="D3" s="3" t="s">
        <v>137</v>
      </c>
      <c r="E3" s="3" t="s">
        <v>138</v>
      </c>
      <c r="F3" s="3" t="s">
        <v>136</v>
      </c>
      <c r="G3" s="3" t="s">
        <v>137</v>
      </c>
      <c r="H3" s="3" t="s">
        <v>136</v>
      </c>
      <c r="I3" s="3" t="s">
        <v>138</v>
      </c>
      <c r="J3" s="3" t="s">
        <v>138</v>
      </c>
      <c r="K3" s="3" t="s">
        <v>153</v>
      </c>
      <c r="L3" s="3" t="s">
        <v>138</v>
      </c>
      <c r="M3" s="3" t="s">
        <v>153</v>
      </c>
      <c r="N3" s="2"/>
      <c r="O3" s="2"/>
    </row>
    <row r="4" spans="1:15">
      <c r="A4" s="4" t="s">
        <v>154</v>
      </c>
      <c r="B4" s="4" t="s">
        <v>139</v>
      </c>
      <c r="C4" s="4" t="s">
        <v>141</v>
      </c>
      <c r="D4" s="4" t="s">
        <v>142</v>
      </c>
      <c r="E4" s="4" t="s">
        <v>143</v>
      </c>
      <c r="F4" s="4" t="s">
        <v>144</v>
      </c>
      <c r="G4" s="4" t="s">
        <v>145</v>
      </c>
      <c r="H4" s="4" t="s">
        <v>146</v>
      </c>
      <c r="I4" s="4" t="s">
        <v>147</v>
      </c>
      <c r="J4" s="4" t="s">
        <v>148</v>
      </c>
      <c r="K4" s="4" t="s">
        <v>149</v>
      </c>
      <c r="L4" s="4" t="s">
        <v>150</v>
      </c>
      <c r="M4" s="4" t="s">
        <v>151</v>
      </c>
      <c r="N4" s="4" t="s">
        <v>12</v>
      </c>
      <c r="O4" s="4" t="s">
        <v>13</v>
      </c>
    </row>
    <row r="5" spans="1:15">
      <c r="A5" s="6"/>
      <c r="B5" s="6" t="s">
        <v>16</v>
      </c>
      <c r="C5" s="6">
        <v>5</v>
      </c>
      <c r="D5" s="6">
        <v>5</v>
      </c>
      <c r="E5" s="6">
        <v>5</v>
      </c>
      <c r="F5" s="6">
        <v>5</v>
      </c>
      <c r="G5" s="6">
        <v>15</v>
      </c>
      <c r="H5" s="6">
        <v>15</v>
      </c>
      <c r="I5" s="6"/>
      <c r="J5" s="6"/>
      <c r="K5" s="6"/>
      <c r="L5" s="6"/>
      <c r="M5" s="6"/>
      <c r="N5" s="6">
        <v>10</v>
      </c>
      <c r="O5" s="6"/>
    </row>
    <row r="6" spans="1:15">
      <c r="A6" s="5">
        <f>'Mid Sem'!B6</f>
        <v>590029213</v>
      </c>
      <c r="B6" s="5" t="str">
        <f>'Mid Sem'!A6</f>
        <v>Aadya Dubey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>
        <v>10</v>
      </c>
      <c r="O6" s="2"/>
    </row>
    <row r="7" spans="1:15">
      <c r="A7" s="5">
        <f>'Mid Sem'!B7</f>
        <v>590029270</v>
      </c>
      <c r="B7" s="5" t="str">
        <f>'Mid Sem'!A7</f>
        <v>Aditya Vishwakarma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>
        <v>10</v>
      </c>
      <c r="O7" s="2"/>
    </row>
    <row r="8" spans="1:15">
      <c r="A8" s="5">
        <f>'Mid Sem'!B8</f>
        <v>590029204</v>
      </c>
      <c r="B8" s="5" t="str">
        <f>'Mid Sem'!A8</f>
        <v>Arjun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>
        <v>10</v>
      </c>
      <c r="O8" s="2"/>
    </row>
    <row r="9" spans="1:15">
      <c r="A9" s="5">
        <f>'Mid Sem'!B9</f>
        <v>590029109</v>
      </c>
      <c r="B9" s="5" t="str">
        <f>'Mid Sem'!A9</f>
        <v>Aryan Yadav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>
        <v>10</v>
      </c>
      <c r="O9" s="2"/>
    </row>
    <row r="10" spans="1:15">
      <c r="A10" s="5">
        <f>'Mid Sem'!B10</f>
        <v>590029070</v>
      </c>
      <c r="B10" s="5" t="str">
        <f>'Mid Sem'!A10</f>
        <v>Astik Patel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>
        <v>10</v>
      </c>
      <c r="O10" s="2"/>
    </row>
    <row r="11" spans="1:15">
      <c r="A11" s="5">
        <f>'Mid Sem'!B11</f>
        <v>590029157</v>
      </c>
      <c r="B11" s="5" t="str">
        <f>'Mid Sem'!A11</f>
        <v>Ayush Mohan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>
        <v>10</v>
      </c>
      <c r="O11" s="2"/>
    </row>
    <row r="12" spans="1:15">
      <c r="A12" s="5">
        <f>'Mid Sem'!B12</f>
        <v>590027157</v>
      </c>
      <c r="B12" s="5" t="str">
        <f>'Mid Sem'!A12</f>
        <v>Bhanu Purohit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>
        <v>10</v>
      </c>
      <c r="O12" s="2"/>
    </row>
    <row r="13" spans="1:15">
      <c r="A13" s="5">
        <f>'Mid Sem'!B13</f>
        <v>590029274</v>
      </c>
      <c r="B13" s="5" t="str">
        <f>'Mid Sem'!A13</f>
        <v>Biswabandya Mohanty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>
        <v>10</v>
      </c>
      <c r="O13" s="2"/>
    </row>
    <row r="14" spans="1:15">
      <c r="A14" s="5">
        <f>'Mid Sem'!B14</f>
        <v>590028572</v>
      </c>
      <c r="B14" s="5" t="str">
        <f>'Mid Sem'!A14</f>
        <v>Eashan Vashisht</v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>
        <v>10</v>
      </c>
      <c r="O14" s="2"/>
    </row>
    <row r="15" spans="1:15">
      <c r="A15" s="5">
        <f>'Mid Sem'!B15</f>
        <v>590029230</v>
      </c>
      <c r="B15" s="5" t="str">
        <f>'Mid Sem'!A15</f>
        <v>Hardik Joshi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>
        <v>10</v>
      </c>
      <c r="O15" s="2"/>
    </row>
    <row r="16" spans="1:15">
      <c r="A16" s="5">
        <f>'Mid Sem'!B16</f>
        <v>590029169</v>
      </c>
      <c r="B16" s="5" t="str">
        <f>'Mid Sem'!A16</f>
        <v>Hrithvik Bhardwaj</v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>
        <v>10</v>
      </c>
      <c r="O16" s="2"/>
    </row>
    <row r="17" spans="1:15">
      <c r="A17" s="5">
        <f>'Mid Sem'!B17</f>
        <v>590029112</v>
      </c>
      <c r="B17" s="5" t="str">
        <f>'Mid Sem'!A17</f>
        <v>Nitish Kumar</v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>
        <v>10</v>
      </c>
      <c r="O17" s="2"/>
    </row>
    <row r="18" spans="1:15">
      <c r="A18" s="5">
        <f>'Mid Sem'!B18</f>
        <v>590025556</v>
      </c>
      <c r="B18" s="5" t="str">
        <f>'Mid Sem'!A18</f>
        <v>Omkareshwar Chaubey</v>
      </c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spans="1:15">
      <c r="A19" s="5">
        <f>'Mid Sem'!B19</f>
        <v>590027830</v>
      </c>
      <c r="B19" s="5" t="str">
        <f>'Mid Sem'!A19</f>
        <v>Pavani Jain</v>
      </c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 spans="1:15">
      <c r="A20" s="5">
        <f>'Mid Sem'!B20</f>
        <v>590028360</v>
      </c>
      <c r="B20" s="5" t="str">
        <f>'Mid Sem'!A20</f>
        <v>Prapti Uniyal</v>
      </c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5">
      <c r="A21" s="5">
        <f>'Mid Sem'!B21</f>
        <v>590029237</v>
      </c>
      <c r="B21" s="5" t="str">
        <f>'Mid Sem'!A21</f>
        <v>Priyadarshi Prabhakar</v>
      </c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1:15">
      <c r="A22" s="5">
        <f>'Mid Sem'!B22</f>
        <v>590029079</v>
      </c>
      <c r="B22" s="5" t="str">
        <f>'Mid Sem'!A22</f>
        <v>Radhe Patel</v>
      </c>
    </row>
    <row r="23" spans="1:15">
      <c r="A23" s="5">
        <f>'Mid Sem'!B23</f>
        <v>590029145</v>
      </c>
      <c r="B23" s="5" t="str">
        <f>'Mid Sem'!A23</f>
        <v>Rishika Purushotham</v>
      </c>
    </row>
    <row r="24" spans="1:15">
      <c r="A24" s="5">
        <f>'Mid Sem'!B24</f>
        <v>590029209</v>
      </c>
      <c r="B24" s="5" t="str">
        <f>'Mid Sem'!A24</f>
        <v>Rishiv Kumar</v>
      </c>
    </row>
    <row r="25" spans="1:15">
      <c r="A25" s="5">
        <f>'Mid Sem'!B25</f>
        <v>590027268</v>
      </c>
      <c r="B25" s="5" t="str">
        <f>'Mid Sem'!A25</f>
        <v>Sankalp Sunil Ronge</v>
      </c>
    </row>
    <row r="26" spans="1:15">
      <c r="A26" s="5">
        <f>'Mid Sem'!B26</f>
        <v>590029227</v>
      </c>
      <c r="B26" s="5" t="str">
        <f>'Mid Sem'!A26</f>
        <v>Sartaj Singh</v>
      </c>
    </row>
    <row r="27" spans="1:15">
      <c r="A27" s="5">
        <f>'Mid Sem'!B27</f>
        <v>590029241</v>
      </c>
      <c r="B27" s="5" t="str">
        <f>'Mid Sem'!A27</f>
        <v>Satakshi Gupta</v>
      </c>
    </row>
    <row r="28" spans="1:15">
      <c r="A28" s="5">
        <f>'Mid Sem'!B28</f>
        <v>590023855</v>
      </c>
      <c r="B28" s="5" t="str">
        <f>'Mid Sem'!A28</f>
        <v>Shaswat Shantanu</v>
      </c>
    </row>
    <row r="29" spans="1:15">
      <c r="A29" s="5">
        <f>'Mid Sem'!B29</f>
        <v>590029215</v>
      </c>
      <c r="B29" s="5" t="str">
        <f>'Mid Sem'!A29</f>
        <v>Siddhant Rai</v>
      </c>
    </row>
    <row r="30" spans="1:15">
      <c r="A30" s="5">
        <f>'Mid Sem'!B30</f>
        <v>590029111</v>
      </c>
      <c r="B30" s="5" t="str">
        <f>'Mid Sem'!A30</f>
        <v>Sidhaant Singh Jyrwa</v>
      </c>
    </row>
    <row r="31" spans="1:15">
      <c r="A31" s="5">
        <f>'Mid Sem'!B31</f>
        <v>590028683</v>
      </c>
      <c r="B31" s="5" t="str">
        <f>'Mid Sem'!A31</f>
        <v>Subrat Singh Jadaun</v>
      </c>
    </row>
    <row r="32" spans="1:15">
      <c r="A32" s="5">
        <f>'Mid Sem'!B32</f>
        <v>590029121</v>
      </c>
      <c r="B32" s="5" t="str">
        <f>'Mid Sem'!A32</f>
        <v>Tushita Sharma</v>
      </c>
    </row>
    <row r="33" spans="1:2">
      <c r="A33" s="5">
        <f>'Mid Sem'!B33</f>
        <v>590029048</v>
      </c>
      <c r="B33" s="5" t="str">
        <f>'Mid Sem'!A33</f>
        <v>Vaishnavi Kumari</v>
      </c>
    </row>
    <row r="34" spans="1:2">
      <c r="A34" s="5">
        <f>'Mid Sem'!B34</f>
        <v>590029184</v>
      </c>
      <c r="B34" s="5" t="str">
        <f>'Mid Sem'!A34</f>
        <v>Vivek Chauhan</v>
      </c>
    </row>
    <row r="35" spans="1:2">
      <c r="A35" s="5">
        <f>'Mid Sem'!B35</f>
        <v>590029330</v>
      </c>
      <c r="B35" s="5" t="str">
        <f>'Mid Sem'!A35</f>
        <v>Aadarshi Bisht</v>
      </c>
    </row>
    <row r="36" spans="1:2">
      <c r="A36" s="5">
        <f>'Mid Sem'!B36</f>
        <v>590027630</v>
      </c>
      <c r="B36" s="5" t="str">
        <f>'Mid Sem'!A36</f>
        <v>Aarush Prasad</v>
      </c>
    </row>
    <row r="37" spans="1:2">
      <c r="A37" s="5">
        <f>'Mid Sem'!B37</f>
        <v>590029219</v>
      </c>
      <c r="B37" s="5" t="str">
        <f>'Mid Sem'!A37</f>
        <v>Aditya Mishra</v>
      </c>
    </row>
    <row r="38" spans="1:2">
      <c r="A38" s="5">
        <f>'Mid Sem'!B38</f>
        <v>590028933</v>
      </c>
      <c r="B38" s="5" t="str">
        <f>'Mid Sem'!A38</f>
        <v>Aman Barnwal</v>
      </c>
    </row>
    <row r="39" spans="1:2">
      <c r="A39" s="5">
        <f>'Mid Sem'!B39</f>
        <v>590027859</v>
      </c>
      <c r="B39" s="5" t="str">
        <f>'Mid Sem'!A39</f>
        <v>Ashutosh Shrivastava</v>
      </c>
    </row>
    <row r="40" spans="1:2">
      <c r="A40" s="5">
        <f>'Mid Sem'!B40</f>
        <v>590028682</v>
      </c>
      <c r="B40" s="5" t="str">
        <f>'Mid Sem'!A40</f>
        <v>Ayan Pande</v>
      </c>
    </row>
    <row r="41" spans="1:2">
      <c r="A41" s="5">
        <f>'Mid Sem'!B41</f>
        <v>590023917</v>
      </c>
      <c r="B41" s="5" t="str">
        <f>'Mid Sem'!A41</f>
        <v>Ayush Pratap Singh</v>
      </c>
    </row>
    <row r="42" spans="1:2">
      <c r="A42" s="5">
        <f>'Mid Sem'!B42</f>
        <v>590023785</v>
      </c>
      <c r="B42" s="5" t="str">
        <f>'Mid Sem'!A42</f>
        <v>Gayatri Bhatt</v>
      </c>
    </row>
    <row r="43" spans="1:2">
      <c r="A43" s="5">
        <f>'Mid Sem'!B43</f>
        <v>590029264</v>
      </c>
      <c r="B43" s="5" t="str">
        <f>'Mid Sem'!A43</f>
        <v>Harsh Mudgal</v>
      </c>
    </row>
    <row r="44" spans="1:2">
      <c r="A44" s="5">
        <f>'Mid Sem'!B44</f>
        <v>590029042</v>
      </c>
      <c r="B44" s="5" t="str">
        <f>'Mid Sem'!A44</f>
        <v>Kanan Nidhania</v>
      </c>
    </row>
    <row r="45" spans="1:2">
      <c r="A45" s="5">
        <f>'Mid Sem'!B45</f>
        <v>590029336</v>
      </c>
      <c r="B45" s="5" t="str">
        <f>'Mid Sem'!A45</f>
        <v>Kanishka Diwakar</v>
      </c>
    </row>
    <row r="46" spans="1:2">
      <c r="A46" s="5">
        <f>'Mid Sem'!B46</f>
        <v>590029233</v>
      </c>
      <c r="B46" s="5" t="str">
        <f>'Mid Sem'!A46</f>
        <v>Keshav Chahda</v>
      </c>
    </row>
    <row r="47" spans="1:2">
      <c r="A47" s="5">
        <f>'Mid Sem'!B47</f>
        <v>590029328</v>
      </c>
      <c r="B47" s="5" t="str">
        <f>'Mid Sem'!A47</f>
        <v>Lakshay Dhanda</v>
      </c>
    </row>
    <row r="48" spans="1:2">
      <c r="A48" s="5">
        <f>'Mid Sem'!B48</f>
        <v>590028608</v>
      </c>
      <c r="B48" s="5" t="str">
        <f>'Mid Sem'!A48</f>
        <v>Lakshya Singh</v>
      </c>
    </row>
    <row r="49" spans="1:2">
      <c r="A49" s="5">
        <f>'Mid Sem'!B49</f>
        <v>590028605</v>
      </c>
      <c r="B49" s="5" t="str">
        <f>'Mid Sem'!A49</f>
        <v>Mayank Chand Ramola</v>
      </c>
    </row>
    <row r="50" spans="1:2">
      <c r="A50" s="5">
        <f>'Mid Sem'!B50</f>
        <v>590026626</v>
      </c>
      <c r="B50" s="5" t="str">
        <f>'Mid Sem'!A50</f>
        <v>Mukesh Patel</v>
      </c>
    </row>
    <row r="51" spans="1:2">
      <c r="A51" s="5">
        <f>'Mid Sem'!B51</f>
        <v>590029310</v>
      </c>
      <c r="B51" s="5" t="str">
        <f>'Mid Sem'!A51</f>
        <v>Nipun Singh</v>
      </c>
    </row>
    <row r="52" spans="1:2">
      <c r="A52" s="5">
        <f>'Mid Sem'!B52</f>
        <v>590029319</v>
      </c>
      <c r="B52" s="5" t="str">
        <f>'Mid Sem'!A52</f>
        <v>Paras Bhall</v>
      </c>
    </row>
    <row r="53" spans="1:2">
      <c r="A53" s="5">
        <f>'Mid Sem'!B53</f>
        <v>590029339</v>
      </c>
      <c r="B53" s="5" t="str">
        <f>'Mid Sem'!A53</f>
        <v>Raghav Kumar Goyal</v>
      </c>
    </row>
    <row r="54" spans="1:2">
      <c r="A54" s="5">
        <f>'Mid Sem'!B54</f>
        <v>590029148</v>
      </c>
      <c r="B54" s="5" t="str">
        <f>'Mid Sem'!A54</f>
        <v>Rahul</v>
      </c>
    </row>
    <row r="55" spans="1:2">
      <c r="A55" s="5">
        <f>'Mid Sem'!B55</f>
        <v>590029309</v>
      </c>
      <c r="B55" s="5" t="str">
        <f>'Mid Sem'!A55</f>
        <v>Rahul Singh</v>
      </c>
    </row>
    <row r="56" spans="1:2">
      <c r="A56" s="5">
        <f>'Mid Sem'!B56</f>
        <v>590028838</v>
      </c>
      <c r="B56" s="5" t="str">
        <f>'Mid Sem'!A56</f>
        <v>Satyam Singh</v>
      </c>
    </row>
    <row r="57" spans="1:2">
      <c r="A57" s="5">
        <f>'Mid Sem'!B57</f>
        <v>590029107</v>
      </c>
      <c r="B57" s="5" t="str">
        <f>'Mid Sem'!A57</f>
        <v>Shashwat Agrawal</v>
      </c>
    </row>
    <row r="58" spans="1:2">
      <c r="A58" s="5">
        <f>'Mid Sem'!B58</f>
        <v>590029266</v>
      </c>
      <c r="B58" s="5" t="str">
        <f>'Mid Sem'!A58</f>
        <v>Siddhant Gurung</v>
      </c>
    </row>
    <row r="59" spans="1:2">
      <c r="A59" s="5">
        <f>'Mid Sem'!B59</f>
        <v>590029354</v>
      </c>
      <c r="B59" s="5" t="str">
        <f>'Mid Sem'!A59</f>
        <v>Simarjot Kaur Gill</v>
      </c>
    </row>
    <row r="60" spans="1:2">
      <c r="A60" s="5">
        <f>'Mid Sem'!B60</f>
        <v>590029349</v>
      </c>
      <c r="B60" s="5" t="str">
        <f>'Mid Sem'!A60</f>
        <v>Tanishq Bansal</v>
      </c>
    </row>
    <row r="61" spans="1:2">
      <c r="A61" s="5">
        <f>'Mid Sem'!B61</f>
        <v>590029302</v>
      </c>
      <c r="B61" s="5" t="str">
        <f>'Mid Sem'!A61</f>
        <v>Tanmay Amit Verma</v>
      </c>
    </row>
    <row r="62" spans="1:2">
      <c r="A62" s="5">
        <f>'Mid Sem'!B62</f>
        <v>590029262</v>
      </c>
      <c r="B62" s="5" t="str">
        <f>'Mid Sem'!A62</f>
        <v>Vandana Yadav</v>
      </c>
    </row>
    <row r="63" spans="1:2">
      <c r="A63" s="5">
        <f>'Mid Sem'!B63</f>
        <v>590029285</v>
      </c>
      <c r="B63" s="5" t="str">
        <f>'Mid Sem'!A63</f>
        <v>Vidit Ahuja</v>
      </c>
    </row>
    <row r="64" spans="1:2">
      <c r="A64" s="5">
        <f>'Mid Sem'!B64</f>
        <v>590029353</v>
      </c>
      <c r="B64" s="5" t="str">
        <f>'Mid Sem'!A64</f>
        <v>Vinit Kumar</v>
      </c>
    </row>
    <row r="65" spans="1:2">
      <c r="A65" s="5">
        <f>'Mid Sem'!B65</f>
        <v>0</v>
      </c>
      <c r="B65" s="5">
        <f>'Mid Sem'!A65</f>
        <v>0</v>
      </c>
    </row>
    <row r="66" spans="1:2">
      <c r="A66" s="5">
        <f>'Mid Sem'!B66</f>
        <v>0</v>
      </c>
      <c r="B66" s="5">
        <f>'Mid Sem'!A66</f>
        <v>0</v>
      </c>
    </row>
  </sheetData>
  <mergeCells count="2">
    <mergeCell ref="A1:O1"/>
    <mergeCell ref="A2:O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0399B-538A-4326-81D5-F56BB2966D2A}">
  <dimension ref="A1:P65"/>
  <sheetViews>
    <sheetView workbookViewId="0">
      <selection activeCell="G64" sqref="G64"/>
    </sheetView>
  </sheetViews>
  <sheetFormatPr defaultRowHeight="15"/>
  <cols>
    <col min="1" max="1" width="18.7109375" customWidth="1"/>
    <col min="2" max="2" width="24.28515625" bestFit="1" customWidth="1"/>
    <col min="3" max="13" width="4.5703125" bestFit="1" customWidth="1"/>
    <col min="14" max="14" width="4.5703125" customWidth="1"/>
    <col min="15" max="15" width="5.42578125" bestFit="1" customWidth="1"/>
    <col min="16" max="16" width="15.28515625" customWidth="1"/>
  </cols>
  <sheetData>
    <row r="1" spans="1:16" ht="24.75">
      <c r="A1" s="49" t="s">
        <v>7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</row>
    <row r="2" spans="1:16" ht="24.75">
      <c r="A2" s="49" t="str">
        <f>Marksheet!A2</f>
        <v xml:space="preserve">Computatioal Astrophysics (PHYS 8202) 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</row>
    <row r="3" spans="1:16">
      <c r="A3" s="2"/>
      <c r="B3" s="2"/>
      <c r="C3" s="3" t="s">
        <v>136</v>
      </c>
      <c r="D3" s="3" t="s">
        <v>153</v>
      </c>
      <c r="E3" s="3" t="s">
        <v>138</v>
      </c>
      <c r="F3" s="3" t="s">
        <v>138</v>
      </c>
      <c r="G3" s="3" t="s">
        <v>138</v>
      </c>
      <c r="H3" s="3" t="s">
        <v>153</v>
      </c>
      <c r="I3" s="3" t="s">
        <v>153</v>
      </c>
      <c r="J3" s="3" t="s">
        <v>153</v>
      </c>
      <c r="K3" s="3" t="s">
        <v>138</v>
      </c>
      <c r="L3" s="3" t="s">
        <v>138</v>
      </c>
      <c r="M3" s="3"/>
      <c r="N3" s="3"/>
      <c r="O3" s="2"/>
      <c r="P3" s="2"/>
    </row>
    <row r="4" spans="1:16">
      <c r="A4" s="4" t="s">
        <v>154</v>
      </c>
      <c r="B4" s="4" t="s">
        <v>139</v>
      </c>
      <c r="C4" s="4" t="s">
        <v>141</v>
      </c>
      <c r="D4" s="4" t="s">
        <v>142</v>
      </c>
      <c r="E4" s="4" t="s">
        <v>143</v>
      </c>
      <c r="F4" s="4" t="s">
        <v>144</v>
      </c>
      <c r="G4" s="4" t="s">
        <v>145</v>
      </c>
      <c r="H4" s="4" t="s">
        <v>146</v>
      </c>
      <c r="I4" s="4" t="s">
        <v>147</v>
      </c>
      <c r="J4" s="4" t="s">
        <v>148</v>
      </c>
      <c r="K4" s="4" t="s">
        <v>149</v>
      </c>
      <c r="L4" s="4" t="s">
        <v>150</v>
      </c>
      <c r="M4" s="4" t="s">
        <v>151</v>
      </c>
      <c r="N4" s="4"/>
      <c r="O4" s="4" t="s">
        <v>12</v>
      </c>
      <c r="P4" s="4" t="s">
        <v>13</v>
      </c>
    </row>
    <row r="5" spans="1:16">
      <c r="A5" s="6"/>
      <c r="B5" s="6" t="s">
        <v>16</v>
      </c>
      <c r="C5" s="6">
        <v>3</v>
      </c>
      <c r="D5" s="6">
        <v>3</v>
      </c>
      <c r="E5" s="6">
        <v>3</v>
      </c>
      <c r="F5" s="6">
        <v>3</v>
      </c>
      <c r="G5" s="6">
        <v>3</v>
      </c>
      <c r="H5" s="6">
        <v>5</v>
      </c>
      <c r="I5" s="6">
        <v>5</v>
      </c>
      <c r="J5" s="6">
        <v>5</v>
      </c>
      <c r="K5" s="6">
        <v>5</v>
      </c>
      <c r="L5" s="6">
        <v>5</v>
      </c>
      <c r="M5" s="6"/>
      <c r="N5" s="6"/>
      <c r="O5" s="6">
        <f>SUM(C5:L5)</f>
        <v>40</v>
      </c>
      <c r="P5" s="6"/>
    </row>
    <row r="6" spans="1:16">
      <c r="A6" s="5">
        <f>Marksheet!B5</f>
        <v>590029213</v>
      </c>
      <c r="B6" s="5" t="str">
        <f>Marksheet!A5</f>
        <v>Aadya Dubey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</row>
    <row r="7" spans="1:16">
      <c r="A7" s="5">
        <f>Marksheet!B6</f>
        <v>590029270</v>
      </c>
      <c r="B7" s="5" t="str">
        <f>Marksheet!A6</f>
        <v>Aditya Vishwakarma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</row>
    <row r="8" spans="1:16">
      <c r="A8" s="5">
        <f>Marksheet!B7</f>
        <v>590029204</v>
      </c>
      <c r="B8" s="5" t="str">
        <f>Marksheet!A7</f>
        <v>Arjun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</row>
    <row r="9" spans="1:16">
      <c r="A9" s="5">
        <f>Marksheet!B8</f>
        <v>590029109</v>
      </c>
      <c r="B9" s="5" t="str">
        <f>Marksheet!A8</f>
        <v>Aryan Yadav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</row>
    <row r="10" spans="1:16">
      <c r="A10" s="5">
        <f>Marksheet!B9</f>
        <v>590029070</v>
      </c>
      <c r="B10" s="5" t="str">
        <f>Marksheet!A9</f>
        <v>Astik Patel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</row>
    <row r="11" spans="1:16">
      <c r="A11" s="5">
        <f>Marksheet!B10</f>
        <v>590029157</v>
      </c>
      <c r="B11" s="5" t="str">
        <f>Marksheet!A10</f>
        <v>Ayush Mohan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spans="1:16">
      <c r="A12" s="5">
        <f>Marksheet!B11</f>
        <v>590027157</v>
      </c>
      <c r="B12" s="5" t="str">
        <f>Marksheet!A11</f>
        <v>Bhanu Purohit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</row>
    <row r="13" spans="1:16">
      <c r="A13" s="5">
        <f>Marksheet!B12</f>
        <v>590029274</v>
      </c>
      <c r="B13" s="5" t="str">
        <f>Marksheet!A12</f>
        <v>Biswabandya Mohanty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</row>
    <row r="14" spans="1:16">
      <c r="A14" s="5">
        <f>Marksheet!B13</f>
        <v>590028572</v>
      </c>
      <c r="B14" s="5" t="str">
        <f>Marksheet!A13</f>
        <v>Eashan Vashisht</v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spans="1:16">
      <c r="A15" s="5">
        <f>Marksheet!B14</f>
        <v>590029230</v>
      </c>
      <c r="B15" s="5" t="str">
        <f>Marksheet!A14</f>
        <v>Hardik Joshi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spans="1:16">
      <c r="A16" s="5">
        <f>Marksheet!B15</f>
        <v>590029169</v>
      </c>
      <c r="B16" s="5" t="str">
        <f>Marksheet!A15</f>
        <v>Hrithvik Bhardwaj</v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</row>
    <row r="17" spans="1:16">
      <c r="A17" s="5">
        <f>Marksheet!B16</f>
        <v>590029112</v>
      </c>
      <c r="B17" s="5" t="str">
        <f>Marksheet!A16</f>
        <v>Nitish Kumar</v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</row>
    <row r="18" spans="1:16">
      <c r="A18" s="5">
        <f>Marksheet!B17</f>
        <v>590025556</v>
      </c>
      <c r="B18" s="5" t="str">
        <f>Marksheet!A17</f>
        <v>Omkareshwar Chaubey</v>
      </c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spans="1:16">
      <c r="A19" s="5">
        <f>Marksheet!B18</f>
        <v>590027830</v>
      </c>
      <c r="B19" s="5" t="str">
        <f>Marksheet!A18</f>
        <v>Pavani Jain</v>
      </c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spans="1:16">
      <c r="A20" s="5">
        <f>Marksheet!B19</f>
        <v>590028360</v>
      </c>
      <c r="B20" s="5" t="str">
        <f>Marksheet!A19</f>
        <v>Prapti Uniyal</v>
      </c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2"/>
      <c r="O20" s="2"/>
      <c r="P20" s="5"/>
    </row>
    <row r="21" spans="1:16">
      <c r="A21" s="5">
        <f>Marksheet!B20</f>
        <v>590029237</v>
      </c>
      <c r="B21" s="5" t="str">
        <f>Marksheet!A20</f>
        <v>Priyadarshi Prabhakar</v>
      </c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2"/>
      <c r="O21" s="2"/>
      <c r="P21" s="5"/>
    </row>
    <row r="22" spans="1:16">
      <c r="A22" s="5">
        <f>Marksheet!B21</f>
        <v>590029079</v>
      </c>
      <c r="B22" s="5" t="str">
        <f>Marksheet!A21</f>
        <v>Radhe Patel</v>
      </c>
    </row>
    <row r="23" spans="1:16">
      <c r="A23" s="5">
        <f>Marksheet!B22</f>
        <v>590029145</v>
      </c>
      <c r="B23" s="5" t="str">
        <f>Marksheet!A22</f>
        <v>Rishika Purushotham</v>
      </c>
    </row>
    <row r="24" spans="1:16">
      <c r="A24" s="5">
        <f>Marksheet!B23</f>
        <v>590029209</v>
      </c>
      <c r="B24" s="5" t="str">
        <f>Marksheet!A23</f>
        <v>Rishiv Kumar</v>
      </c>
    </row>
    <row r="25" spans="1:16">
      <c r="A25" s="5">
        <f>Marksheet!B24</f>
        <v>590027268</v>
      </c>
      <c r="B25" s="5" t="str">
        <f>Marksheet!A24</f>
        <v>Sankalp Sunil Ronge</v>
      </c>
    </row>
    <row r="26" spans="1:16">
      <c r="A26" s="5">
        <f>Marksheet!B25</f>
        <v>590029227</v>
      </c>
      <c r="B26" s="5" t="str">
        <f>Marksheet!A25</f>
        <v>Sartaj Singh</v>
      </c>
    </row>
    <row r="27" spans="1:16">
      <c r="A27" s="5">
        <f>Marksheet!B26</f>
        <v>590029241</v>
      </c>
      <c r="B27" s="5" t="str">
        <f>Marksheet!A26</f>
        <v>Satakshi Gupta</v>
      </c>
    </row>
    <row r="28" spans="1:16">
      <c r="A28" s="5">
        <f>Marksheet!B27</f>
        <v>590023855</v>
      </c>
      <c r="B28" s="5" t="str">
        <f>Marksheet!A27</f>
        <v>Shaswat Shantanu</v>
      </c>
    </row>
    <row r="29" spans="1:16">
      <c r="A29" s="5">
        <f>Marksheet!B28</f>
        <v>590029215</v>
      </c>
      <c r="B29" s="5" t="str">
        <f>Marksheet!A28</f>
        <v>Siddhant Rai</v>
      </c>
    </row>
    <row r="30" spans="1:16">
      <c r="A30" s="5">
        <f>Marksheet!B29</f>
        <v>590029111</v>
      </c>
      <c r="B30" s="5" t="str">
        <f>Marksheet!A29</f>
        <v>Sidhaant Singh Jyrwa</v>
      </c>
    </row>
    <row r="31" spans="1:16">
      <c r="A31" s="5">
        <f>Marksheet!B30</f>
        <v>590028683</v>
      </c>
      <c r="B31" s="5" t="str">
        <f>Marksheet!A30</f>
        <v>Subrat Singh Jadaun</v>
      </c>
    </row>
    <row r="32" spans="1:16">
      <c r="A32" s="5">
        <f>Marksheet!B31</f>
        <v>590029121</v>
      </c>
      <c r="B32" s="5" t="str">
        <f>Marksheet!A31</f>
        <v>Tushita Sharma</v>
      </c>
    </row>
    <row r="33" spans="1:2">
      <c r="A33" s="5">
        <f>Marksheet!B32</f>
        <v>590029048</v>
      </c>
      <c r="B33" s="5" t="str">
        <f>Marksheet!A32</f>
        <v>Vaishnavi Kumari</v>
      </c>
    </row>
    <row r="34" spans="1:2">
      <c r="A34" s="5">
        <f>Marksheet!B33</f>
        <v>590029184</v>
      </c>
      <c r="B34" s="5" t="str">
        <f>Marksheet!A33</f>
        <v>Vivek Chauhan</v>
      </c>
    </row>
    <row r="35" spans="1:2">
      <c r="A35" s="5">
        <f>Marksheet!B34</f>
        <v>590029330</v>
      </c>
      <c r="B35" s="5" t="str">
        <f>Marksheet!A34</f>
        <v>Aadarshi Bisht</v>
      </c>
    </row>
    <row r="36" spans="1:2">
      <c r="A36" s="5">
        <f>Marksheet!B35</f>
        <v>590027630</v>
      </c>
      <c r="B36" s="5" t="str">
        <f>Marksheet!A35</f>
        <v>Aarush Prasad</v>
      </c>
    </row>
    <row r="37" spans="1:2">
      <c r="A37" s="5">
        <f>Marksheet!B36</f>
        <v>590029219</v>
      </c>
      <c r="B37" s="5" t="str">
        <f>Marksheet!A36</f>
        <v>Aditya Mishra</v>
      </c>
    </row>
    <row r="38" spans="1:2">
      <c r="A38" s="5">
        <f>Marksheet!B37</f>
        <v>590028933</v>
      </c>
      <c r="B38" s="5" t="str">
        <f>Marksheet!A37</f>
        <v>Aman Barnwal</v>
      </c>
    </row>
    <row r="39" spans="1:2">
      <c r="A39" s="5">
        <f>Marksheet!B38</f>
        <v>590027859</v>
      </c>
      <c r="B39" s="5" t="str">
        <f>Marksheet!A38</f>
        <v>Ashutosh Shrivastava</v>
      </c>
    </row>
    <row r="40" spans="1:2">
      <c r="A40" s="5">
        <f>Marksheet!B39</f>
        <v>590028682</v>
      </c>
      <c r="B40" s="5" t="str">
        <f>Marksheet!A39</f>
        <v>Ayan Pande</v>
      </c>
    </row>
    <row r="41" spans="1:2">
      <c r="A41" s="5">
        <f>Marksheet!B40</f>
        <v>590023917</v>
      </c>
      <c r="B41" s="5" t="str">
        <f>Marksheet!A40</f>
        <v>Ayush Pratap Singh</v>
      </c>
    </row>
    <row r="42" spans="1:2">
      <c r="A42" s="5">
        <f>Marksheet!B41</f>
        <v>590023785</v>
      </c>
      <c r="B42" s="5" t="str">
        <f>Marksheet!A41</f>
        <v>Gayatri Bhatt</v>
      </c>
    </row>
    <row r="43" spans="1:2">
      <c r="A43" s="5">
        <f>Marksheet!B42</f>
        <v>590029264</v>
      </c>
      <c r="B43" s="5" t="str">
        <f>Marksheet!A42</f>
        <v>Harsh Mudgal</v>
      </c>
    </row>
    <row r="44" spans="1:2">
      <c r="A44" s="5">
        <f>Marksheet!B43</f>
        <v>590029042</v>
      </c>
      <c r="B44" s="5" t="str">
        <f>Marksheet!A43</f>
        <v>Kanan Nidhania</v>
      </c>
    </row>
    <row r="45" spans="1:2">
      <c r="A45" s="5">
        <f>Marksheet!B44</f>
        <v>590029336</v>
      </c>
      <c r="B45" s="5" t="str">
        <f>Marksheet!A44</f>
        <v>Kanishka Diwakar</v>
      </c>
    </row>
    <row r="46" spans="1:2">
      <c r="A46" s="5">
        <f>Marksheet!B45</f>
        <v>590029233</v>
      </c>
      <c r="B46" s="5" t="str">
        <f>Marksheet!A45</f>
        <v>Keshav Chahda</v>
      </c>
    </row>
    <row r="47" spans="1:2">
      <c r="A47" s="5">
        <f>Marksheet!B46</f>
        <v>590029328</v>
      </c>
      <c r="B47" s="5" t="str">
        <f>Marksheet!A46</f>
        <v>Lakshay Dhanda</v>
      </c>
    </row>
    <row r="48" spans="1:2">
      <c r="A48" s="5">
        <f>Marksheet!B47</f>
        <v>590028608</v>
      </c>
      <c r="B48" s="5" t="str">
        <f>Marksheet!A47</f>
        <v>Lakshya Singh</v>
      </c>
    </row>
    <row r="49" spans="1:2">
      <c r="A49" s="5">
        <f>Marksheet!B48</f>
        <v>590028605</v>
      </c>
      <c r="B49" s="5" t="str">
        <f>Marksheet!A48</f>
        <v>Mayank Chand Ramola</v>
      </c>
    </row>
    <row r="50" spans="1:2">
      <c r="A50" s="5">
        <f>Marksheet!B49</f>
        <v>590026626</v>
      </c>
      <c r="B50" s="5" t="str">
        <f>Marksheet!A49</f>
        <v>Mukesh Patel</v>
      </c>
    </row>
    <row r="51" spans="1:2">
      <c r="A51" s="5">
        <f>Marksheet!B50</f>
        <v>590029310</v>
      </c>
      <c r="B51" s="5" t="str">
        <f>Marksheet!A50</f>
        <v>Nipun Singh</v>
      </c>
    </row>
    <row r="52" spans="1:2">
      <c r="A52" s="5">
        <f>Marksheet!B51</f>
        <v>590029319</v>
      </c>
      <c r="B52" s="5" t="str">
        <f>Marksheet!A51</f>
        <v>Paras Bhall</v>
      </c>
    </row>
    <row r="53" spans="1:2">
      <c r="A53" s="5">
        <f>Marksheet!B52</f>
        <v>590029339</v>
      </c>
      <c r="B53" s="5" t="str">
        <f>Marksheet!A52</f>
        <v>Raghav Kumar Goyal</v>
      </c>
    </row>
    <row r="54" spans="1:2">
      <c r="A54" s="5">
        <f>Marksheet!B53</f>
        <v>590029148</v>
      </c>
      <c r="B54" s="5" t="str">
        <f>Marksheet!A53</f>
        <v>Rahul</v>
      </c>
    </row>
    <row r="55" spans="1:2">
      <c r="A55" s="5">
        <f>Marksheet!B54</f>
        <v>590029309</v>
      </c>
      <c r="B55" s="5" t="str">
        <f>Marksheet!A54</f>
        <v>Rahul Singh</v>
      </c>
    </row>
    <row r="56" spans="1:2">
      <c r="A56" s="5">
        <f>Marksheet!B55</f>
        <v>590028838</v>
      </c>
      <c r="B56" s="5" t="str">
        <f>Marksheet!A55</f>
        <v>Satyam Singh</v>
      </c>
    </row>
    <row r="57" spans="1:2">
      <c r="A57" s="5">
        <f>Marksheet!B56</f>
        <v>590029107</v>
      </c>
      <c r="B57" s="5" t="str">
        <f>Marksheet!A56</f>
        <v>Shashwat Agrawal</v>
      </c>
    </row>
    <row r="58" spans="1:2">
      <c r="A58" s="5">
        <f>Marksheet!B57</f>
        <v>590029266</v>
      </c>
      <c r="B58" s="5" t="str">
        <f>Marksheet!A57</f>
        <v>Siddhant Gurung</v>
      </c>
    </row>
    <row r="59" spans="1:2">
      <c r="A59" s="5">
        <f>Marksheet!B58</f>
        <v>590029354</v>
      </c>
      <c r="B59" s="5" t="str">
        <f>Marksheet!A58</f>
        <v>Simarjot Kaur Gill</v>
      </c>
    </row>
    <row r="60" spans="1:2">
      <c r="A60" s="5">
        <f>Marksheet!B59</f>
        <v>590029349</v>
      </c>
      <c r="B60" s="5" t="str">
        <f>Marksheet!A59</f>
        <v>Tanishq Bansal</v>
      </c>
    </row>
    <row r="61" spans="1:2">
      <c r="A61" s="5">
        <f>Marksheet!B60</f>
        <v>590029302</v>
      </c>
      <c r="B61" s="5" t="str">
        <f>Marksheet!A60</f>
        <v>Tanmay Amit Verma</v>
      </c>
    </row>
    <row r="62" spans="1:2">
      <c r="A62" s="5">
        <f>Marksheet!B61</f>
        <v>590029262</v>
      </c>
      <c r="B62" s="5" t="str">
        <f>Marksheet!A61</f>
        <v>Vandana Yadav</v>
      </c>
    </row>
    <row r="63" spans="1:2">
      <c r="A63" s="5">
        <f>Marksheet!B62</f>
        <v>590029285</v>
      </c>
      <c r="B63" s="5" t="str">
        <f>Marksheet!A62</f>
        <v>Vidit Ahuja</v>
      </c>
    </row>
    <row r="64" spans="1:2">
      <c r="A64" s="5">
        <f>Marksheet!B63</f>
        <v>590029353</v>
      </c>
      <c r="B64" s="5" t="str">
        <f>Marksheet!A63</f>
        <v>Vinit Kumar</v>
      </c>
    </row>
    <row r="65" spans="1:2">
      <c r="A65" s="5">
        <f>Marksheet!B64</f>
        <v>0</v>
      </c>
      <c r="B65" s="5">
        <f>Marksheet!A64</f>
        <v>0</v>
      </c>
    </row>
  </sheetData>
  <mergeCells count="2">
    <mergeCell ref="A1:P1"/>
    <mergeCell ref="A2:P2"/>
  </mergeCells>
  <pageMargins left="0.7" right="0.7" top="0.75" bottom="0.75" header="0.3" footer="0.3"/>
  <pageSetup paperSize="9" fitToWidth="0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EC6E4-73FE-451F-9DA1-2F8671C4541C}">
  <sheetPr>
    <pageSetUpPr fitToPage="1"/>
  </sheetPr>
  <dimension ref="A1:O65"/>
  <sheetViews>
    <sheetView topLeftCell="A9" workbookViewId="0">
      <selection activeCell="N6" sqref="N6"/>
    </sheetView>
  </sheetViews>
  <sheetFormatPr defaultRowHeight="15"/>
  <cols>
    <col min="1" max="1" width="10.140625" bestFit="1" customWidth="1"/>
    <col min="2" max="2" width="24.28515625" bestFit="1" customWidth="1"/>
    <col min="3" max="13" width="4.5703125" bestFit="1" customWidth="1"/>
    <col min="14" max="14" width="5.42578125" bestFit="1" customWidth="1"/>
    <col min="15" max="15" width="4.7109375" bestFit="1" customWidth="1"/>
  </cols>
  <sheetData>
    <row r="1" spans="1:15" ht="24.75">
      <c r="A1" s="49" t="s">
        <v>8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</row>
    <row r="2" spans="1:15" ht="24.75">
      <c r="A2" s="49" t="str">
        <f>Marksheet!A2</f>
        <v xml:space="preserve">Computatioal Astrophysics (PHYS 8202) 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</row>
    <row r="3" spans="1:15">
      <c r="A3" s="2"/>
      <c r="B3" s="2"/>
      <c r="C3" s="3" t="s">
        <v>136</v>
      </c>
      <c r="D3" s="3" t="s">
        <v>137</v>
      </c>
      <c r="E3" s="3" t="s">
        <v>138</v>
      </c>
      <c r="F3" s="3" t="s">
        <v>136</v>
      </c>
      <c r="G3" s="3" t="s">
        <v>137</v>
      </c>
      <c r="H3" s="3" t="s">
        <v>136</v>
      </c>
      <c r="I3" s="3" t="s">
        <v>138</v>
      </c>
      <c r="J3" s="3" t="s">
        <v>138</v>
      </c>
      <c r="K3" s="3" t="s">
        <v>153</v>
      </c>
      <c r="L3" s="3" t="s">
        <v>138</v>
      </c>
      <c r="M3" s="3" t="s">
        <v>153</v>
      </c>
      <c r="N3" s="2"/>
      <c r="O3" s="2"/>
    </row>
    <row r="4" spans="1:15">
      <c r="A4" s="4" t="s">
        <v>154</v>
      </c>
      <c r="B4" s="4" t="s">
        <v>139</v>
      </c>
      <c r="C4" s="4" t="s">
        <v>141</v>
      </c>
      <c r="D4" s="4" t="s">
        <v>142</v>
      </c>
      <c r="E4" s="4" t="s">
        <v>143</v>
      </c>
      <c r="F4" s="4" t="s">
        <v>144</v>
      </c>
      <c r="G4" s="4" t="s">
        <v>145</v>
      </c>
      <c r="H4" s="4" t="s">
        <v>146</v>
      </c>
      <c r="I4" s="4" t="s">
        <v>147</v>
      </c>
      <c r="J4" s="4" t="s">
        <v>148</v>
      </c>
      <c r="K4" s="4" t="s">
        <v>149</v>
      </c>
      <c r="L4" s="4" t="s">
        <v>150</v>
      </c>
      <c r="M4" s="4" t="s">
        <v>151</v>
      </c>
      <c r="N4" s="4" t="s">
        <v>12</v>
      </c>
      <c r="O4" s="4" t="s">
        <v>13</v>
      </c>
    </row>
    <row r="5" spans="1:15">
      <c r="A5" s="6"/>
      <c r="B5" s="6" t="s">
        <v>16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>
        <v>40</v>
      </c>
      <c r="O5" s="6"/>
    </row>
    <row r="6" spans="1:15">
      <c r="A6" s="5">
        <f>Marksheet!B5</f>
        <v>590029213</v>
      </c>
      <c r="B6" s="5" t="str">
        <f>Marksheet!A5</f>
        <v>Aadya Dubey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6"/>
      <c r="O6" s="2"/>
    </row>
    <row r="7" spans="1:15">
      <c r="A7" s="5">
        <f>Marksheet!B6</f>
        <v>590029270</v>
      </c>
      <c r="B7" s="5" t="str">
        <f>Marksheet!A6</f>
        <v>Aditya Vishwakarma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6"/>
      <c r="O7" s="2"/>
    </row>
    <row r="8" spans="1:15">
      <c r="A8" s="5">
        <f>Marksheet!B7</f>
        <v>590029204</v>
      </c>
      <c r="B8" s="5" t="str">
        <f>Marksheet!A7</f>
        <v>Arjun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6"/>
      <c r="O8" s="2"/>
    </row>
    <row r="9" spans="1:15">
      <c r="A9" s="5">
        <f>Marksheet!B8</f>
        <v>590029109</v>
      </c>
      <c r="B9" s="5" t="str">
        <f>Marksheet!A8</f>
        <v>Aryan Yadav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6"/>
      <c r="O9" s="2"/>
    </row>
    <row r="10" spans="1:15">
      <c r="A10" s="5">
        <f>Marksheet!B9</f>
        <v>590029070</v>
      </c>
      <c r="B10" s="5" t="str">
        <f>Marksheet!A9</f>
        <v>Astik Patel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6"/>
      <c r="O10" s="2"/>
    </row>
    <row r="11" spans="1:15">
      <c r="A11" s="5">
        <f>Marksheet!B10</f>
        <v>590029157</v>
      </c>
      <c r="B11" s="5" t="str">
        <f>Marksheet!A10</f>
        <v>Ayush Mohan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6"/>
      <c r="O11" s="2"/>
    </row>
    <row r="12" spans="1:15">
      <c r="A12" s="5">
        <f>Marksheet!B11</f>
        <v>590027157</v>
      </c>
      <c r="B12" s="5" t="str">
        <f>Marksheet!A11</f>
        <v>Bhanu Purohit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6"/>
      <c r="O12" s="2"/>
    </row>
    <row r="13" spans="1:15">
      <c r="A13" s="5">
        <f>Marksheet!B12</f>
        <v>590029274</v>
      </c>
      <c r="B13" s="5" t="str">
        <f>Marksheet!A12</f>
        <v>Biswabandya Mohanty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6"/>
      <c r="O13" s="2"/>
    </row>
    <row r="14" spans="1:15">
      <c r="A14" s="5">
        <f>Marksheet!B13</f>
        <v>590028572</v>
      </c>
      <c r="B14" s="5" t="str">
        <f>Marksheet!A13</f>
        <v>Eashan Vashisht</v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6"/>
      <c r="O14" s="2"/>
    </row>
    <row r="15" spans="1:15">
      <c r="A15" s="5">
        <f>Marksheet!B14</f>
        <v>590029230</v>
      </c>
      <c r="B15" s="5" t="str">
        <f>Marksheet!A14</f>
        <v>Hardik Joshi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6"/>
      <c r="O15" s="2"/>
    </row>
    <row r="16" spans="1:15">
      <c r="A16" s="5">
        <f>Marksheet!B15</f>
        <v>590029169</v>
      </c>
      <c r="B16" s="5" t="str">
        <f>Marksheet!A15</f>
        <v>Hrithvik Bhardwaj</v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6"/>
      <c r="O16" s="2"/>
    </row>
    <row r="17" spans="1:15">
      <c r="A17" s="5">
        <f>Marksheet!B16</f>
        <v>590029112</v>
      </c>
      <c r="B17" s="5" t="str">
        <f>Marksheet!A16</f>
        <v>Nitish Kumar</v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6"/>
      <c r="O17" s="2"/>
    </row>
    <row r="18" spans="1:15">
      <c r="A18" s="5">
        <f>Marksheet!B17</f>
        <v>590025556</v>
      </c>
      <c r="B18" s="5" t="str">
        <f>Marksheet!A17</f>
        <v>Omkareshwar Chaubey</v>
      </c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6"/>
      <c r="O18" s="2"/>
    </row>
    <row r="19" spans="1:15">
      <c r="A19" s="5">
        <f>Marksheet!B18</f>
        <v>590027830</v>
      </c>
      <c r="B19" s="5" t="str">
        <f>Marksheet!A18</f>
        <v>Pavani Jain</v>
      </c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6"/>
      <c r="O19" s="2"/>
    </row>
    <row r="20" spans="1:15">
      <c r="A20" s="5">
        <f>Marksheet!B19</f>
        <v>590028360</v>
      </c>
      <c r="B20" s="5" t="str">
        <f>Marksheet!A19</f>
        <v>Prapti Uniyal</v>
      </c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6"/>
      <c r="O20" s="2"/>
    </row>
    <row r="21" spans="1:15">
      <c r="A21" s="5">
        <f>Marksheet!B20</f>
        <v>590029237</v>
      </c>
      <c r="B21" s="5" t="str">
        <f>Marksheet!A20</f>
        <v>Priyadarshi Prabhakar</v>
      </c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6"/>
      <c r="O21" s="2"/>
    </row>
    <row r="22" spans="1:15">
      <c r="A22" s="5">
        <f>Marksheet!B21</f>
        <v>590029079</v>
      </c>
      <c r="B22" s="5" t="str">
        <f>Marksheet!A21</f>
        <v>Radhe Patel</v>
      </c>
    </row>
    <row r="23" spans="1:15">
      <c r="A23" s="5">
        <f>Marksheet!B22</f>
        <v>590029145</v>
      </c>
      <c r="B23" s="5" t="str">
        <f>Marksheet!A22</f>
        <v>Rishika Purushotham</v>
      </c>
    </row>
    <row r="24" spans="1:15">
      <c r="A24" s="5">
        <f>Marksheet!B23</f>
        <v>590029209</v>
      </c>
      <c r="B24" s="5" t="str">
        <f>Marksheet!A23</f>
        <v>Rishiv Kumar</v>
      </c>
    </row>
    <row r="25" spans="1:15">
      <c r="A25" s="5">
        <f>Marksheet!B24</f>
        <v>590027268</v>
      </c>
      <c r="B25" s="5" t="str">
        <f>Marksheet!A24</f>
        <v>Sankalp Sunil Ronge</v>
      </c>
    </row>
    <row r="26" spans="1:15">
      <c r="A26" s="5">
        <f>Marksheet!B25</f>
        <v>590029227</v>
      </c>
      <c r="B26" s="5" t="str">
        <f>Marksheet!A25</f>
        <v>Sartaj Singh</v>
      </c>
    </row>
    <row r="27" spans="1:15">
      <c r="A27" s="5">
        <f>Marksheet!B26</f>
        <v>590029241</v>
      </c>
      <c r="B27" s="5" t="str">
        <f>Marksheet!A26</f>
        <v>Satakshi Gupta</v>
      </c>
    </row>
    <row r="28" spans="1:15">
      <c r="A28" s="5">
        <f>Marksheet!B27</f>
        <v>590023855</v>
      </c>
      <c r="B28" s="5" t="str">
        <f>Marksheet!A27</f>
        <v>Shaswat Shantanu</v>
      </c>
    </row>
    <row r="29" spans="1:15">
      <c r="A29" s="5">
        <f>Marksheet!B28</f>
        <v>590029215</v>
      </c>
      <c r="B29" s="5" t="str">
        <f>Marksheet!A28</f>
        <v>Siddhant Rai</v>
      </c>
    </row>
    <row r="30" spans="1:15">
      <c r="A30" s="5">
        <f>Marksheet!B29</f>
        <v>590029111</v>
      </c>
      <c r="B30" s="5" t="str">
        <f>Marksheet!A29</f>
        <v>Sidhaant Singh Jyrwa</v>
      </c>
    </row>
    <row r="31" spans="1:15">
      <c r="A31" s="5">
        <f>Marksheet!B30</f>
        <v>590028683</v>
      </c>
      <c r="B31" s="5" t="str">
        <f>Marksheet!A30</f>
        <v>Subrat Singh Jadaun</v>
      </c>
    </row>
    <row r="32" spans="1:15">
      <c r="A32" s="5">
        <f>Marksheet!B31</f>
        <v>590029121</v>
      </c>
      <c r="B32" s="5" t="str">
        <f>Marksheet!A31</f>
        <v>Tushita Sharma</v>
      </c>
    </row>
    <row r="33" spans="1:2">
      <c r="A33" s="5">
        <f>Marksheet!B32</f>
        <v>590029048</v>
      </c>
      <c r="B33" s="5" t="str">
        <f>Marksheet!A32</f>
        <v>Vaishnavi Kumari</v>
      </c>
    </row>
    <row r="34" spans="1:2">
      <c r="A34" s="5">
        <f>Marksheet!B33</f>
        <v>590029184</v>
      </c>
      <c r="B34" s="5" t="str">
        <f>Marksheet!A33</f>
        <v>Vivek Chauhan</v>
      </c>
    </row>
    <row r="35" spans="1:2">
      <c r="A35" s="5">
        <f>Marksheet!B34</f>
        <v>590029330</v>
      </c>
      <c r="B35" s="5" t="str">
        <f>Marksheet!A34</f>
        <v>Aadarshi Bisht</v>
      </c>
    </row>
    <row r="36" spans="1:2">
      <c r="A36" s="5">
        <f>Marksheet!B35</f>
        <v>590027630</v>
      </c>
      <c r="B36" s="5" t="str">
        <f>Marksheet!A35</f>
        <v>Aarush Prasad</v>
      </c>
    </row>
    <row r="37" spans="1:2">
      <c r="A37" s="5">
        <f>Marksheet!B36</f>
        <v>590029219</v>
      </c>
      <c r="B37" s="5" t="str">
        <f>Marksheet!A36</f>
        <v>Aditya Mishra</v>
      </c>
    </row>
    <row r="38" spans="1:2">
      <c r="A38" s="5">
        <f>Marksheet!B37</f>
        <v>590028933</v>
      </c>
      <c r="B38" s="5" t="str">
        <f>Marksheet!A37</f>
        <v>Aman Barnwal</v>
      </c>
    </row>
    <row r="39" spans="1:2">
      <c r="A39" s="5">
        <f>Marksheet!B38</f>
        <v>590027859</v>
      </c>
      <c r="B39" s="5" t="str">
        <f>Marksheet!A38</f>
        <v>Ashutosh Shrivastava</v>
      </c>
    </row>
    <row r="40" spans="1:2">
      <c r="A40" s="5">
        <f>Marksheet!B39</f>
        <v>590028682</v>
      </c>
      <c r="B40" s="5" t="str">
        <f>Marksheet!A39</f>
        <v>Ayan Pande</v>
      </c>
    </row>
    <row r="41" spans="1:2">
      <c r="A41" s="5">
        <f>Marksheet!B40</f>
        <v>590023917</v>
      </c>
      <c r="B41" s="5" t="str">
        <f>Marksheet!A40</f>
        <v>Ayush Pratap Singh</v>
      </c>
    </row>
    <row r="42" spans="1:2">
      <c r="A42" s="5">
        <f>Marksheet!B41</f>
        <v>590023785</v>
      </c>
      <c r="B42" s="5" t="str">
        <f>Marksheet!A41</f>
        <v>Gayatri Bhatt</v>
      </c>
    </row>
    <row r="43" spans="1:2">
      <c r="A43" s="5">
        <f>Marksheet!B42</f>
        <v>590029264</v>
      </c>
      <c r="B43" s="5" t="str">
        <f>Marksheet!A42</f>
        <v>Harsh Mudgal</v>
      </c>
    </row>
    <row r="44" spans="1:2">
      <c r="A44" s="5">
        <f>Marksheet!B43</f>
        <v>590029042</v>
      </c>
      <c r="B44" s="5" t="str">
        <f>Marksheet!A43</f>
        <v>Kanan Nidhania</v>
      </c>
    </row>
    <row r="45" spans="1:2">
      <c r="A45" s="5">
        <f>Marksheet!B44</f>
        <v>590029336</v>
      </c>
      <c r="B45" s="5" t="str">
        <f>Marksheet!A44</f>
        <v>Kanishka Diwakar</v>
      </c>
    </row>
    <row r="46" spans="1:2">
      <c r="A46" s="5">
        <f>Marksheet!B45</f>
        <v>590029233</v>
      </c>
      <c r="B46" s="5" t="str">
        <f>Marksheet!A45</f>
        <v>Keshav Chahda</v>
      </c>
    </row>
    <row r="47" spans="1:2">
      <c r="A47" s="5">
        <f>Marksheet!B46</f>
        <v>590029328</v>
      </c>
      <c r="B47" s="5" t="str">
        <f>Marksheet!A46</f>
        <v>Lakshay Dhanda</v>
      </c>
    </row>
    <row r="48" spans="1:2">
      <c r="A48" s="5">
        <f>Marksheet!B47</f>
        <v>590028608</v>
      </c>
      <c r="B48" s="5" t="str">
        <f>Marksheet!A47</f>
        <v>Lakshya Singh</v>
      </c>
    </row>
    <row r="49" spans="1:2">
      <c r="A49" s="5">
        <f>Marksheet!B48</f>
        <v>590028605</v>
      </c>
      <c r="B49" s="5" t="str">
        <f>Marksheet!A48</f>
        <v>Mayank Chand Ramola</v>
      </c>
    </row>
    <row r="50" spans="1:2">
      <c r="A50" s="5">
        <f>Marksheet!B49</f>
        <v>590026626</v>
      </c>
      <c r="B50" s="5" t="str">
        <f>Marksheet!A49</f>
        <v>Mukesh Patel</v>
      </c>
    </row>
    <row r="51" spans="1:2">
      <c r="A51" s="5">
        <f>Marksheet!B50</f>
        <v>590029310</v>
      </c>
      <c r="B51" s="5" t="str">
        <f>Marksheet!A50</f>
        <v>Nipun Singh</v>
      </c>
    </row>
    <row r="52" spans="1:2">
      <c r="A52" s="5">
        <f>Marksheet!B51</f>
        <v>590029319</v>
      </c>
      <c r="B52" s="5" t="str">
        <f>Marksheet!A51</f>
        <v>Paras Bhall</v>
      </c>
    </row>
    <row r="53" spans="1:2">
      <c r="A53" s="5">
        <f>Marksheet!B52</f>
        <v>590029339</v>
      </c>
      <c r="B53" s="5" t="str">
        <f>Marksheet!A52</f>
        <v>Raghav Kumar Goyal</v>
      </c>
    </row>
    <row r="54" spans="1:2">
      <c r="A54" s="5">
        <f>Marksheet!B53</f>
        <v>590029148</v>
      </c>
      <c r="B54" s="5" t="str">
        <f>Marksheet!A53</f>
        <v>Rahul</v>
      </c>
    </row>
    <row r="55" spans="1:2">
      <c r="A55" s="5">
        <f>Marksheet!B54</f>
        <v>590029309</v>
      </c>
      <c r="B55" s="5" t="str">
        <f>Marksheet!A54</f>
        <v>Rahul Singh</v>
      </c>
    </row>
    <row r="56" spans="1:2">
      <c r="A56" s="5">
        <f>Marksheet!B55</f>
        <v>590028838</v>
      </c>
      <c r="B56" s="5" t="str">
        <f>Marksheet!A55</f>
        <v>Satyam Singh</v>
      </c>
    </row>
    <row r="57" spans="1:2">
      <c r="A57" s="5">
        <f>Marksheet!B56</f>
        <v>590029107</v>
      </c>
      <c r="B57" s="5" t="str">
        <f>Marksheet!A56</f>
        <v>Shashwat Agrawal</v>
      </c>
    </row>
    <row r="58" spans="1:2">
      <c r="A58" s="5">
        <f>Marksheet!B57</f>
        <v>590029266</v>
      </c>
      <c r="B58" s="5" t="str">
        <f>Marksheet!A57</f>
        <v>Siddhant Gurung</v>
      </c>
    </row>
    <row r="59" spans="1:2">
      <c r="A59" s="5">
        <f>Marksheet!B58</f>
        <v>590029354</v>
      </c>
      <c r="B59" s="5" t="str">
        <f>Marksheet!A58</f>
        <v>Simarjot Kaur Gill</v>
      </c>
    </row>
    <row r="60" spans="1:2">
      <c r="A60" s="5">
        <f>Marksheet!B59</f>
        <v>590029349</v>
      </c>
      <c r="B60" s="5" t="str">
        <f>Marksheet!A59</f>
        <v>Tanishq Bansal</v>
      </c>
    </row>
    <row r="61" spans="1:2">
      <c r="A61" s="5">
        <f>Marksheet!B60</f>
        <v>590029302</v>
      </c>
      <c r="B61" s="5" t="str">
        <f>Marksheet!A60</f>
        <v>Tanmay Amit Verma</v>
      </c>
    </row>
    <row r="62" spans="1:2">
      <c r="A62" s="5">
        <f>Marksheet!B61</f>
        <v>590029262</v>
      </c>
      <c r="B62" s="5" t="str">
        <f>Marksheet!A61</f>
        <v>Vandana Yadav</v>
      </c>
    </row>
    <row r="63" spans="1:2">
      <c r="A63" s="5">
        <f>Marksheet!B62</f>
        <v>590029285</v>
      </c>
      <c r="B63" s="5" t="str">
        <f>Marksheet!A62</f>
        <v>Vidit Ahuja</v>
      </c>
    </row>
    <row r="64" spans="1:2">
      <c r="A64" s="5">
        <f>Marksheet!B63</f>
        <v>590029353</v>
      </c>
      <c r="B64" s="5" t="str">
        <f>Marksheet!A63</f>
        <v>Vinit Kumar</v>
      </c>
    </row>
    <row r="65" spans="1:2">
      <c r="A65" s="5">
        <f>Marksheet!B64</f>
        <v>0</v>
      </c>
      <c r="B65" s="5">
        <f>Marksheet!A64</f>
        <v>0</v>
      </c>
    </row>
  </sheetData>
  <mergeCells count="2">
    <mergeCell ref="A1:O1"/>
    <mergeCell ref="A2:O2"/>
  </mergeCells>
  <pageMargins left="0.7" right="0.7" top="0.75" bottom="0.75" header="0.3" footer="0.3"/>
  <pageSetup paperSize="9" fitToHeight="0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7DC95-9EC1-40F8-9879-B4182E9CEA89}">
  <dimension ref="A1:F60"/>
  <sheetViews>
    <sheetView workbookViewId="0">
      <selection activeCell="B18" sqref="B18"/>
    </sheetView>
  </sheetViews>
  <sheetFormatPr defaultRowHeight="15"/>
  <cols>
    <col min="1" max="1" width="18.28515625" customWidth="1"/>
    <col min="2" max="2" width="25.85546875" customWidth="1"/>
    <col min="3" max="3" width="20.140625" customWidth="1"/>
    <col min="4" max="4" width="20.7109375" customWidth="1"/>
    <col min="5" max="5" width="11" customWidth="1"/>
    <col min="6" max="6" width="44" customWidth="1"/>
  </cols>
  <sheetData>
    <row r="1" spans="1:6">
      <c r="A1" s="29" t="s">
        <v>3</v>
      </c>
      <c r="B1" s="29" t="s">
        <v>139</v>
      </c>
      <c r="C1" s="29" t="s">
        <v>155</v>
      </c>
      <c r="D1" s="29" t="s">
        <v>156</v>
      </c>
      <c r="E1" s="29" t="s">
        <v>157</v>
      </c>
      <c r="F1" s="29" t="s">
        <v>4</v>
      </c>
    </row>
    <row r="2" spans="1:6">
      <c r="A2" s="29">
        <v>590029330</v>
      </c>
      <c r="B2" s="29" t="s">
        <v>75</v>
      </c>
      <c r="C2" s="29" t="s">
        <v>76</v>
      </c>
      <c r="D2" s="29">
        <v>25010104997</v>
      </c>
      <c r="E2" s="29" t="s">
        <v>158</v>
      </c>
      <c r="F2" s="29" t="s">
        <v>159</v>
      </c>
    </row>
    <row r="3" spans="1:6" hidden="1">
      <c r="A3" s="29">
        <v>590029213</v>
      </c>
      <c r="B3" s="29" t="s">
        <v>17</v>
      </c>
      <c r="C3" s="29" t="s">
        <v>18</v>
      </c>
      <c r="D3" s="29">
        <v>122507103</v>
      </c>
      <c r="E3" s="29" t="s">
        <v>158</v>
      </c>
      <c r="F3" s="29" t="s">
        <v>160</v>
      </c>
    </row>
    <row r="4" spans="1:6">
      <c r="A4" s="29">
        <v>590027630</v>
      </c>
      <c r="B4" s="29" t="s">
        <v>77</v>
      </c>
      <c r="C4" s="29" t="s">
        <v>78</v>
      </c>
      <c r="D4" s="29">
        <v>25010105001</v>
      </c>
      <c r="E4" s="29" t="s">
        <v>158</v>
      </c>
      <c r="F4" s="29" t="s">
        <v>159</v>
      </c>
    </row>
    <row r="5" spans="1:6" hidden="1">
      <c r="A5" s="29">
        <v>590029270</v>
      </c>
      <c r="B5" s="29" t="s">
        <v>19</v>
      </c>
      <c r="C5" s="29" t="s">
        <v>20</v>
      </c>
      <c r="D5" s="29">
        <v>25010104938</v>
      </c>
      <c r="E5" s="29" t="s">
        <v>158</v>
      </c>
      <c r="F5" s="29" t="s">
        <v>160</v>
      </c>
    </row>
    <row r="6" spans="1:6">
      <c r="A6" s="29">
        <v>590029219</v>
      </c>
      <c r="B6" s="29" t="s">
        <v>79</v>
      </c>
      <c r="C6" s="29" t="s">
        <v>80</v>
      </c>
      <c r="D6" s="29">
        <v>25010104956</v>
      </c>
      <c r="E6" s="29" t="s">
        <v>158</v>
      </c>
      <c r="F6" s="29" t="s">
        <v>159</v>
      </c>
    </row>
    <row r="7" spans="1:6" hidden="1">
      <c r="A7" s="29">
        <v>590029204</v>
      </c>
      <c r="B7" s="29" t="s">
        <v>21</v>
      </c>
      <c r="C7" s="29" t="s">
        <v>22</v>
      </c>
      <c r="D7" s="29">
        <v>25010104918</v>
      </c>
      <c r="E7" s="29" t="s">
        <v>158</v>
      </c>
      <c r="F7" s="29" t="s">
        <v>160</v>
      </c>
    </row>
    <row r="8" spans="1:6" hidden="1">
      <c r="A8" s="29">
        <v>590029109</v>
      </c>
      <c r="B8" s="29" t="s">
        <v>23</v>
      </c>
      <c r="C8" s="29" t="s">
        <v>24</v>
      </c>
      <c r="D8" s="29">
        <v>25010104943</v>
      </c>
      <c r="E8" s="29" t="s">
        <v>158</v>
      </c>
      <c r="F8" s="29" t="s">
        <v>160</v>
      </c>
    </row>
    <row r="9" spans="1:6">
      <c r="A9" s="29">
        <v>590028933</v>
      </c>
      <c r="B9" s="29" t="s">
        <v>81</v>
      </c>
      <c r="C9" s="29" t="s">
        <v>82</v>
      </c>
      <c r="D9" s="29">
        <v>25010104948</v>
      </c>
      <c r="E9" s="29" t="s">
        <v>158</v>
      </c>
      <c r="F9" s="29" t="s">
        <v>159</v>
      </c>
    </row>
    <row r="10" spans="1:6" hidden="1">
      <c r="A10" s="29">
        <v>590029070</v>
      </c>
      <c r="B10" s="29" t="s">
        <v>25</v>
      </c>
      <c r="C10" s="29" t="s">
        <v>26</v>
      </c>
      <c r="D10" s="29">
        <v>25010104926</v>
      </c>
      <c r="E10" s="29" t="s">
        <v>158</v>
      </c>
      <c r="F10" s="29" t="s">
        <v>160</v>
      </c>
    </row>
    <row r="11" spans="1:6">
      <c r="A11" s="29">
        <v>590027859</v>
      </c>
      <c r="B11" s="29" t="s">
        <v>83</v>
      </c>
      <c r="C11" s="29" t="s">
        <v>84</v>
      </c>
      <c r="D11" s="29">
        <v>25010104974</v>
      </c>
      <c r="E11" s="29" t="s">
        <v>158</v>
      </c>
      <c r="F11" s="29" t="s">
        <v>159</v>
      </c>
    </row>
    <row r="12" spans="1:6" hidden="1">
      <c r="A12" s="29">
        <v>590029157</v>
      </c>
      <c r="B12" s="29" t="s">
        <v>27</v>
      </c>
      <c r="C12" s="29" t="s">
        <v>28</v>
      </c>
      <c r="D12" s="29">
        <v>25010104890</v>
      </c>
      <c r="E12" s="29" t="s">
        <v>158</v>
      </c>
      <c r="F12" s="29" t="s">
        <v>160</v>
      </c>
    </row>
    <row r="13" spans="1:6" hidden="1">
      <c r="A13" s="29">
        <v>590027157</v>
      </c>
      <c r="B13" s="29" t="s">
        <v>29</v>
      </c>
      <c r="C13" s="29" t="s">
        <v>30</v>
      </c>
      <c r="D13" s="29">
        <v>25010104880</v>
      </c>
      <c r="E13" s="29" t="s">
        <v>158</v>
      </c>
      <c r="F13" s="29" t="s">
        <v>160</v>
      </c>
    </row>
    <row r="14" spans="1:6">
      <c r="A14" s="29">
        <v>590028682</v>
      </c>
      <c r="B14" s="29" t="s">
        <v>85</v>
      </c>
      <c r="C14" s="29" t="s">
        <v>86</v>
      </c>
      <c r="D14" s="29">
        <v>25010104995</v>
      </c>
      <c r="E14" s="29" t="s">
        <v>158</v>
      </c>
      <c r="F14" s="29" t="s">
        <v>159</v>
      </c>
    </row>
    <row r="15" spans="1:6">
      <c r="A15" s="29">
        <v>590023917</v>
      </c>
      <c r="B15" s="29" t="s">
        <v>87</v>
      </c>
      <c r="C15" s="29" t="s">
        <v>88</v>
      </c>
      <c r="D15" s="29">
        <v>25010105012</v>
      </c>
      <c r="E15" s="29" t="s">
        <v>158</v>
      </c>
      <c r="F15" s="29" t="s">
        <v>159</v>
      </c>
    </row>
    <row r="16" spans="1:6">
      <c r="A16" s="29">
        <v>590023785</v>
      </c>
      <c r="B16" s="29" t="s">
        <v>89</v>
      </c>
      <c r="C16" s="29" t="s">
        <v>90</v>
      </c>
      <c r="D16" s="29">
        <v>25010104947</v>
      </c>
      <c r="E16" s="29" t="s">
        <v>158</v>
      </c>
      <c r="F16" s="29" t="s">
        <v>159</v>
      </c>
    </row>
    <row r="17" spans="1:6" hidden="1">
      <c r="A17" s="29">
        <v>590029274</v>
      </c>
      <c r="B17" s="29" t="s">
        <v>31</v>
      </c>
      <c r="C17" s="29" t="s">
        <v>32</v>
      </c>
      <c r="D17" s="29">
        <v>25010104928</v>
      </c>
      <c r="E17" s="29" t="s">
        <v>158</v>
      </c>
      <c r="F17" s="29" t="s">
        <v>160</v>
      </c>
    </row>
    <row r="18" spans="1:6">
      <c r="A18" s="29">
        <v>590029264</v>
      </c>
      <c r="B18" s="29" t="s">
        <v>91</v>
      </c>
      <c r="C18" s="29" t="s">
        <v>92</v>
      </c>
      <c r="D18" s="29">
        <v>25010104986</v>
      </c>
      <c r="E18" s="29" t="s">
        <v>158</v>
      </c>
      <c r="F18" s="29" t="s">
        <v>159</v>
      </c>
    </row>
    <row r="19" spans="1:6">
      <c r="A19" s="29">
        <v>590029042</v>
      </c>
      <c r="B19" s="29" t="s">
        <v>93</v>
      </c>
      <c r="C19" s="29" t="s">
        <v>94</v>
      </c>
      <c r="D19" s="29">
        <v>25010104982</v>
      </c>
      <c r="E19" s="29" t="s">
        <v>158</v>
      </c>
      <c r="F19" s="29" t="s">
        <v>159</v>
      </c>
    </row>
    <row r="20" spans="1:6">
      <c r="A20" s="29">
        <v>590029336</v>
      </c>
      <c r="B20" s="29" t="s">
        <v>95</v>
      </c>
      <c r="C20" s="29" t="s">
        <v>96</v>
      </c>
      <c r="D20" s="29">
        <v>25010104998</v>
      </c>
      <c r="E20" s="29" t="s">
        <v>158</v>
      </c>
      <c r="F20" s="29" t="s">
        <v>159</v>
      </c>
    </row>
    <row r="21" spans="1:6" hidden="1">
      <c r="A21" s="29">
        <v>590028572</v>
      </c>
      <c r="B21" s="29" t="s">
        <v>33</v>
      </c>
      <c r="C21" s="29" t="s">
        <v>34</v>
      </c>
      <c r="D21" s="29">
        <v>25010104903</v>
      </c>
      <c r="E21" s="29" t="s">
        <v>158</v>
      </c>
      <c r="F21" s="29" t="s">
        <v>160</v>
      </c>
    </row>
    <row r="22" spans="1:6" hidden="1">
      <c r="A22" s="29">
        <v>590029230</v>
      </c>
      <c r="B22" s="29" t="s">
        <v>35</v>
      </c>
      <c r="C22" s="29" t="s">
        <v>36</v>
      </c>
      <c r="D22" s="29">
        <v>25010104910</v>
      </c>
      <c r="E22" s="29" t="s">
        <v>158</v>
      </c>
      <c r="F22" s="29" t="s">
        <v>160</v>
      </c>
    </row>
    <row r="23" spans="1:6" hidden="1">
      <c r="A23" s="29">
        <v>590029169</v>
      </c>
      <c r="B23" s="29" t="s">
        <v>37</v>
      </c>
      <c r="C23" s="29" t="s">
        <v>38</v>
      </c>
      <c r="D23" s="29">
        <v>25010104944</v>
      </c>
      <c r="E23" s="29" t="s">
        <v>158</v>
      </c>
      <c r="F23" s="29" t="s">
        <v>160</v>
      </c>
    </row>
    <row r="24" spans="1:6">
      <c r="A24" s="29">
        <v>590029233</v>
      </c>
      <c r="B24" s="29" t="s">
        <v>97</v>
      </c>
      <c r="C24" s="29" t="s">
        <v>98</v>
      </c>
      <c r="D24" s="29">
        <v>25010104996</v>
      </c>
      <c r="E24" s="29" t="s">
        <v>158</v>
      </c>
      <c r="F24" s="29" t="s">
        <v>159</v>
      </c>
    </row>
    <row r="25" spans="1:6" hidden="1">
      <c r="A25" s="29">
        <v>590029112</v>
      </c>
      <c r="B25" s="29" t="s">
        <v>39</v>
      </c>
      <c r="C25" s="29" t="s">
        <v>40</v>
      </c>
      <c r="D25" s="29">
        <v>25010104876</v>
      </c>
      <c r="E25" s="29" t="s">
        <v>158</v>
      </c>
      <c r="F25" s="29" t="s">
        <v>160</v>
      </c>
    </row>
    <row r="26" spans="1:6" hidden="1">
      <c r="A26" s="29">
        <v>590025556</v>
      </c>
      <c r="B26" s="29" t="s">
        <v>41</v>
      </c>
      <c r="C26" s="29" t="s">
        <v>42</v>
      </c>
      <c r="D26" s="29">
        <v>122515743</v>
      </c>
      <c r="E26" s="29" t="s">
        <v>158</v>
      </c>
      <c r="F26" s="29" t="s">
        <v>160</v>
      </c>
    </row>
    <row r="27" spans="1:6" hidden="1">
      <c r="A27" s="29">
        <v>590027830</v>
      </c>
      <c r="B27" s="29" t="s">
        <v>43</v>
      </c>
      <c r="C27" s="29" t="s">
        <v>44</v>
      </c>
      <c r="D27" s="29">
        <v>25010104886</v>
      </c>
      <c r="E27" s="29" t="s">
        <v>158</v>
      </c>
      <c r="F27" s="29" t="s">
        <v>160</v>
      </c>
    </row>
    <row r="28" spans="1:6" hidden="1">
      <c r="A28" s="29">
        <v>590028360</v>
      </c>
      <c r="B28" s="29" t="s">
        <v>45</v>
      </c>
      <c r="C28" s="29" t="s">
        <v>46</v>
      </c>
      <c r="D28" s="29">
        <v>25010104881</v>
      </c>
      <c r="E28" s="29" t="s">
        <v>158</v>
      </c>
      <c r="F28" s="29" t="s">
        <v>160</v>
      </c>
    </row>
    <row r="29" spans="1:6" hidden="1">
      <c r="A29" s="29">
        <v>590029237</v>
      </c>
      <c r="B29" s="29" t="s">
        <v>47</v>
      </c>
      <c r="C29" s="29" t="s">
        <v>48</v>
      </c>
      <c r="D29" s="29">
        <v>25010104909</v>
      </c>
      <c r="E29" s="29" t="s">
        <v>158</v>
      </c>
      <c r="F29" s="29" t="s">
        <v>160</v>
      </c>
    </row>
    <row r="30" spans="1:6">
      <c r="A30" s="29">
        <v>590029328</v>
      </c>
      <c r="B30" s="29" t="s">
        <v>99</v>
      </c>
      <c r="C30" s="29" t="s">
        <v>100</v>
      </c>
      <c r="D30" s="29">
        <v>25010105010</v>
      </c>
      <c r="E30" s="29" t="s">
        <v>158</v>
      </c>
      <c r="F30" s="29" t="s">
        <v>159</v>
      </c>
    </row>
    <row r="31" spans="1:6" hidden="1">
      <c r="A31" s="29">
        <v>590029079</v>
      </c>
      <c r="B31" s="29" t="s">
        <v>49</v>
      </c>
      <c r="C31" s="29" t="s">
        <v>50</v>
      </c>
      <c r="D31" s="29">
        <v>25010104906</v>
      </c>
      <c r="E31" s="29" t="s">
        <v>158</v>
      </c>
      <c r="F31" s="29" t="s">
        <v>160</v>
      </c>
    </row>
    <row r="32" spans="1:6" hidden="1">
      <c r="A32" s="29">
        <v>590029145</v>
      </c>
      <c r="B32" s="29" t="s">
        <v>51</v>
      </c>
      <c r="C32" s="29" t="s">
        <v>52</v>
      </c>
      <c r="D32" s="29">
        <v>25010104892</v>
      </c>
      <c r="E32" s="29" t="s">
        <v>158</v>
      </c>
      <c r="F32" s="29" t="s">
        <v>160</v>
      </c>
    </row>
    <row r="33" spans="1:6" hidden="1">
      <c r="A33" s="29">
        <v>590029209</v>
      </c>
      <c r="B33" s="29" t="s">
        <v>53</v>
      </c>
      <c r="C33" s="29" t="s">
        <v>54</v>
      </c>
      <c r="D33" s="29">
        <v>25010104887</v>
      </c>
      <c r="E33" s="29" t="s">
        <v>158</v>
      </c>
      <c r="F33" s="29" t="s">
        <v>160</v>
      </c>
    </row>
    <row r="34" spans="1:6" hidden="1">
      <c r="A34" s="29">
        <v>590027268</v>
      </c>
      <c r="B34" s="29" t="s">
        <v>55</v>
      </c>
      <c r="C34" s="29" t="s">
        <v>56</v>
      </c>
      <c r="D34" s="29">
        <v>25010104933</v>
      </c>
      <c r="E34" s="29" t="s">
        <v>161</v>
      </c>
      <c r="F34" s="29" t="s">
        <v>160</v>
      </c>
    </row>
    <row r="35" spans="1:6" hidden="1">
      <c r="A35" s="29">
        <v>590029227</v>
      </c>
      <c r="B35" s="29" t="s">
        <v>57</v>
      </c>
      <c r="C35" s="29" t="s">
        <v>58</v>
      </c>
      <c r="D35" s="29">
        <v>25010104900</v>
      </c>
      <c r="E35" s="29" t="s">
        <v>158</v>
      </c>
      <c r="F35" s="29" t="s">
        <v>160</v>
      </c>
    </row>
    <row r="36" spans="1:6" hidden="1">
      <c r="A36" s="29">
        <v>590029241</v>
      </c>
      <c r="B36" s="29" t="s">
        <v>59</v>
      </c>
      <c r="C36" s="29" t="s">
        <v>60</v>
      </c>
      <c r="D36" s="29">
        <v>25010104915</v>
      </c>
      <c r="E36" s="29" t="s">
        <v>158</v>
      </c>
      <c r="F36" s="29" t="s">
        <v>160</v>
      </c>
    </row>
    <row r="37" spans="1:6" hidden="1">
      <c r="A37" s="29">
        <v>590023855</v>
      </c>
      <c r="B37" s="29" t="s">
        <v>61</v>
      </c>
      <c r="C37" s="29" t="s">
        <v>62</v>
      </c>
      <c r="D37" s="29">
        <v>25010104868</v>
      </c>
      <c r="E37" s="29" t="s">
        <v>158</v>
      </c>
      <c r="F37" s="29" t="s">
        <v>160</v>
      </c>
    </row>
    <row r="38" spans="1:6">
      <c r="A38" s="29">
        <v>590028608</v>
      </c>
      <c r="B38" s="29" t="s">
        <v>101</v>
      </c>
      <c r="C38" s="29" t="s">
        <v>102</v>
      </c>
      <c r="D38" s="29">
        <v>25010104999</v>
      </c>
      <c r="E38" s="29" t="s">
        <v>158</v>
      </c>
      <c r="F38" s="29" t="s">
        <v>159</v>
      </c>
    </row>
    <row r="39" spans="1:6" hidden="1">
      <c r="A39" s="29">
        <v>590029215</v>
      </c>
      <c r="B39" s="29" t="s">
        <v>63</v>
      </c>
      <c r="C39" s="29" t="s">
        <v>64</v>
      </c>
      <c r="D39" s="29">
        <v>25010104884</v>
      </c>
      <c r="E39" s="29" t="s">
        <v>158</v>
      </c>
      <c r="F39" s="29" t="s">
        <v>160</v>
      </c>
    </row>
    <row r="40" spans="1:6" hidden="1">
      <c r="A40" s="29">
        <v>590029111</v>
      </c>
      <c r="B40" s="29" t="s">
        <v>65</v>
      </c>
      <c r="C40" s="29" t="s">
        <v>66</v>
      </c>
      <c r="D40" s="29">
        <v>25010104888</v>
      </c>
      <c r="E40" s="29" t="s">
        <v>158</v>
      </c>
      <c r="F40" s="29" t="s">
        <v>160</v>
      </c>
    </row>
    <row r="41" spans="1:6">
      <c r="A41" s="29">
        <v>590028605</v>
      </c>
      <c r="B41" s="29" t="s">
        <v>103</v>
      </c>
      <c r="C41" s="29" t="s">
        <v>104</v>
      </c>
      <c r="D41" s="29">
        <v>25010104326</v>
      </c>
      <c r="E41" s="29" t="s">
        <v>158</v>
      </c>
      <c r="F41" s="29" t="s">
        <v>159</v>
      </c>
    </row>
    <row r="42" spans="1:6" hidden="1">
      <c r="A42" s="29">
        <v>590028683</v>
      </c>
      <c r="B42" s="29" t="s">
        <v>67</v>
      </c>
      <c r="C42" s="29" t="s">
        <v>68</v>
      </c>
      <c r="D42" s="29">
        <v>25010104936</v>
      </c>
      <c r="E42" s="29" t="s">
        <v>158</v>
      </c>
      <c r="F42" s="29" t="s">
        <v>160</v>
      </c>
    </row>
    <row r="43" spans="1:6" hidden="1">
      <c r="A43" s="29">
        <v>590029121</v>
      </c>
      <c r="B43" s="29" t="s">
        <v>69</v>
      </c>
      <c r="C43" s="29" t="s">
        <v>70</v>
      </c>
      <c r="D43" s="29">
        <v>25010104875</v>
      </c>
      <c r="E43" s="29" t="s">
        <v>158</v>
      </c>
      <c r="F43" s="29" t="s">
        <v>160</v>
      </c>
    </row>
    <row r="44" spans="1:6">
      <c r="A44" s="29">
        <v>590026626</v>
      </c>
      <c r="B44" s="29" t="s">
        <v>105</v>
      </c>
      <c r="C44" s="29" t="s">
        <v>106</v>
      </c>
      <c r="D44" s="29">
        <v>25010104601</v>
      </c>
      <c r="E44" s="29" t="s">
        <v>158</v>
      </c>
      <c r="F44" s="29" t="s">
        <v>159</v>
      </c>
    </row>
    <row r="45" spans="1:6">
      <c r="A45" s="29">
        <v>590029310</v>
      </c>
      <c r="B45" s="29" t="s">
        <v>107</v>
      </c>
      <c r="C45" s="29" t="s">
        <v>108</v>
      </c>
      <c r="D45" s="29">
        <v>25010104970</v>
      </c>
      <c r="E45" s="29" t="s">
        <v>158</v>
      </c>
      <c r="F45" s="29" t="s">
        <v>159</v>
      </c>
    </row>
    <row r="46" spans="1:6">
      <c r="A46" s="29">
        <v>590029319</v>
      </c>
      <c r="B46" s="29" t="s">
        <v>109</v>
      </c>
      <c r="C46" s="29" t="s">
        <v>110</v>
      </c>
      <c r="D46" s="29">
        <v>25010105008</v>
      </c>
      <c r="E46" s="29" t="s">
        <v>158</v>
      </c>
      <c r="F46" s="29" t="s">
        <v>159</v>
      </c>
    </row>
    <row r="47" spans="1:6" hidden="1">
      <c r="A47" s="29">
        <v>590029048</v>
      </c>
      <c r="B47" s="29" t="s">
        <v>71</v>
      </c>
      <c r="C47" s="29" t="s">
        <v>72</v>
      </c>
      <c r="D47" s="29">
        <v>25010104925</v>
      </c>
      <c r="E47" s="29" t="s">
        <v>158</v>
      </c>
      <c r="F47" s="29" t="s">
        <v>160</v>
      </c>
    </row>
    <row r="48" spans="1:6" hidden="1">
      <c r="A48" s="29">
        <v>590029184</v>
      </c>
      <c r="B48" s="29" t="s">
        <v>73</v>
      </c>
      <c r="C48" s="29" t="s">
        <v>74</v>
      </c>
      <c r="D48" s="29">
        <v>25010104879</v>
      </c>
      <c r="E48" s="29" t="s">
        <v>158</v>
      </c>
      <c r="F48" s="29" t="s">
        <v>160</v>
      </c>
    </row>
    <row r="49" spans="1:6">
      <c r="A49" s="29">
        <v>590029339</v>
      </c>
      <c r="B49" s="29" t="s">
        <v>111</v>
      </c>
      <c r="C49" s="29" t="s">
        <v>112</v>
      </c>
      <c r="D49" s="29">
        <v>25010105011</v>
      </c>
      <c r="E49" s="29" t="s">
        <v>158</v>
      </c>
      <c r="F49" s="29" t="s">
        <v>159</v>
      </c>
    </row>
    <row r="50" spans="1:6">
      <c r="A50" s="29">
        <v>590029148</v>
      </c>
      <c r="B50" s="29" t="s">
        <v>113</v>
      </c>
      <c r="C50" s="29" t="s">
        <v>114</v>
      </c>
      <c r="D50" s="29">
        <v>25010104992</v>
      </c>
      <c r="E50" s="29" t="s">
        <v>158</v>
      </c>
      <c r="F50" s="29" t="s">
        <v>159</v>
      </c>
    </row>
    <row r="51" spans="1:6">
      <c r="A51" s="29">
        <v>590029309</v>
      </c>
      <c r="B51" s="29" t="s">
        <v>115</v>
      </c>
      <c r="C51" s="29" t="s">
        <v>116</v>
      </c>
      <c r="D51" s="29">
        <v>25010104979</v>
      </c>
      <c r="E51" s="29" t="s">
        <v>158</v>
      </c>
      <c r="F51" s="29" t="s">
        <v>159</v>
      </c>
    </row>
    <row r="52" spans="1:6">
      <c r="A52" s="29">
        <v>590028838</v>
      </c>
      <c r="B52" s="29" t="s">
        <v>117</v>
      </c>
      <c r="C52" s="29" t="s">
        <v>118</v>
      </c>
      <c r="D52" s="29">
        <v>25010104945</v>
      </c>
      <c r="E52" s="29" t="s">
        <v>158</v>
      </c>
      <c r="F52" s="29" t="s">
        <v>159</v>
      </c>
    </row>
    <row r="53" spans="1:6">
      <c r="A53" s="29">
        <v>590029107</v>
      </c>
      <c r="B53" s="29" t="s">
        <v>119</v>
      </c>
      <c r="C53" s="29" t="s">
        <v>120</v>
      </c>
      <c r="D53" s="29">
        <v>25010104988</v>
      </c>
      <c r="E53" s="29" t="s">
        <v>158</v>
      </c>
      <c r="F53" s="29" t="s">
        <v>159</v>
      </c>
    </row>
    <row r="54" spans="1:6">
      <c r="A54" s="29">
        <v>590029266</v>
      </c>
      <c r="B54" s="29" t="s">
        <v>121</v>
      </c>
      <c r="C54" s="29" t="s">
        <v>122</v>
      </c>
      <c r="D54" s="29">
        <v>25010104958</v>
      </c>
      <c r="E54" s="29" t="s">
        <v>158</v>
      </c>
      <c r="F54" s="29" t="s">
        <v>159</v>
      </c>
    </row>
    <row r="55" spans="1:6">
      <c r="A55" s="29">
        <v>590029354</v>
      </c>
      <c r="B55" s="29" t="s">
        <v>123</v>
      </c>
      <c r="C55" s="29" t="s">
        <v>124</v>
      </c>
      <c r="D55" s="29">
        <v>25010105018</v>
      </c>
      <c r="E55" s="29" t="s">
        <v>158</v>
      </c>
      <c r="F55" s="29" t="s">
        <v>159</v>
      </c>
    </row>
    <row r="56" spans="1:6">
      <c r="A56" s="29">
        <v>590029349</v>
      </c>
      <c r="B56" s="29" t="s">
        <v>125</v>
      </c>
      <c r="C56" s="29" t="s">
        <v>126</v>
      </c>
      <c r="D56" s="29">
        <v>25010105017</v>
      </c>
      <c r="E56" s="29" t="s">
        <v>158</v>
      </c>
      <c r="F56" s="29" t="s">
        <v>159</v>
      </c>
    </row>
    <row r="57" spans="1:6">
      <c r="A57" s="29">
        <v>590029302</v>
      </c>
      <c r="B57" s="29" t="s">
        <v>127</v>
      </c>
      <c r="C57" s="29" t="s">
        <v>128</v>
      </c>
      <c r="D57" s="29">
        <v>25010104954</v>
      </c>
      <c r="E57" s="29" t="s">
        <v>158</v>
      </c>
      <c r="F57" s="29" t="s">
        <v>159</v>
      </c>
    </row>
    <row r="58" spans="1:6">
      <c r="A58" s="29">
        <v>590029262</v>
      </c>
      <c r="B58" s="29" t="s">
        <v>129</v>
      </c>
      <c r="C58" s="29" t="s">
        <v>130</v>
      </c>
      <c r="D58" s="29">
        <v>25010104987</v>
      </c>
      <c r="E58" s="29" t="s">
        <v>158</v>
      </c>
      <c r="F58" s="29" t="s">
        <v>159</v>
      </c>
    </row>
    <row r="59" spans="1:6">
      <c r="A59" s="29">
        <v>590029285</v>
      </c>
      <c r="B59" s="29" t="s">
        <v>131</v>
      </c>
      <c r="C59" s="29" t="s">
        <v>132</v>
      </c>
      <c r="D59" s="29">
        <v>25010104949</v>
      </c>
      <c r="E59" s="29" t="s">
        <v>158</v>
      </c>
      <c r="F59" s="29" t="s">
        <v>159</v>
      </c>
    </row>
    <row r="60" spans="1:6">
      <c r="A60" s="29">
        <v>590029353</v>
      </c>
      <c r="B60" s="29" t="s">
        <v>133</v>
      </c>
      <c r="C60" s="29" t="s">
        <v>134</v>
      </c>
      <c r="D60" s="29">
        <v>122514758</v>
      </c>
      <c r="E60" s="29" t="s">
        <v>158</v>
      </c>
      <c r="F60" s="29" t="s">
        <v>159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2A4200-FA0B-463F-B62D-57714FA2A6D5}">
  <dimension ref="A1:G60"/>
  <sheetViews>
    <sheetView workbookViewId="0">
      <selection activeCell="C15" sqref="C15"/>
    </sheetView>
  </sheetViews>
  <sheetFormatPr defaultRowHeight="15"/>
  <cols>
    <col min="1" max="1" width="10" bestFit="1" customWidth="1"/>
    <col min="2" max="2" width="21.85546875" bestFit="1" customWidth="1"/>
    <col min="3" max="3" width="33.42578125" bestFit="1" customWidth="1"/>
    <col min="4" max="4" width="12" bestFit="1" customWidth="1"/>
    <col min="5" max="5" width="8.85546875" bestFit="1" customWidth="1"/>
    <col min="6" max="6" width="42.7109375" bestFit="1" customWidth="1"/>
  </cols>
  <sheetData>
    <row r="1" spans="1:7">
      <c r="A1" t="s">
        <v>3</v>
      </c>
      <c r="B1" t="s">
        <v>139</v>
      </c>
      <c r="C1" t="s">
        <v>155</v>
      </c>
      <c r="D1" t="s">
        <v>156</v>
      </c>
      <c r="E1" t="s">
        <v>157</v>
      </c>
      <c r="F1" t="s">
        <v>4</v>
      </c>
      <c r="G1" t="s">
        <v>162</v>
      </c>
    </row>
    <row r="2" spans="1:7">
      <c r="A2">
        <v>590029213</v>
      </c>
      <c r="B2" t="s">
        <v>17</v>
      </c>
      <c r="C2" t="s">
        <v>18</v>
      </c>
      <c r="D2">
        <v>122507103</v>
      </c>
      <c r="E2" t="s">
        <v>158</v>
      </c>
      <c r="F2" t="s">
        <v>160</v>
      </c>
    </row>
    <row r="3" spans="1:7">
      <c r="A3">
        <v>590029270</v>
      </c>
      <c r="B3" t="s">
        <v>19</v>
      </c>
      <c r="C3" t="s">
        <v>20</v>
      </c>
      <c r="D3">
        <v>25010104938</v>
      </c>
      <c r="E3" t="s">
        <v>158</v>
      </c>
      <c r="F3" t="s">
        <v>160</v>
      </c>
    </row>
    <row r="4" spans="1:7">
      <c r="A4">
        <v>590029204</v>
      </c>
      <c r="B4" t="s">
        <v>21</v>
      </c>
      <c r="C4" t="s">
        <v>22</v>
      </c>
      <c r="D4">
        <v>25010104918</v>
      </c>
      <c r="E4" t="s">
        <v>158</v>
      </c>
      <c r="F4" t="s">
        <v>160</v>
      </c>
    </row>
    <row r="5" spans="1:7">
      <c r="A5">
        <v>590029109</v>
      </c>
      <c r="B5" t="s">
        <v>23</v>
      </c>
      <c r="C5" t="s">
        <v>24</v>
      </c>
      <c r="D5">
        <v>25010104943</v>
      </c>
      <c r="E5" t="s">
        <v>158</v>
      </c>
      <c r="F5" t="s">
        <v>160</v>
      </c>
    </row>
    <row r="6" spans="1:7">
      <c r="A6">
        <v>590029070</v>
      </c>
      <c r="B6" t="s">
        <v>25</v>
      </c>
      <c r="C6" t="s">
        <v>26</v>
      </c>
      <c r="D6">
        <v>25010104926</v>
      </c>
      <c r="E6" t="s">
        <v>158</v>
      </c>
      <c r="F6" t="s">
        <v>160</v>
      </c>
    </row>
    <row r="7" spans="1:7">
      <c r="A7">
        <v>590029157</v>
      </c>
      <c r="B7" t="s">
        <v>27</v>
      </c>
      <c r="C7" t="s">
        <v>28</v>
      </c>
      <c r="D7">
        <v>25010104890</v>
      </c>
      <c r="E7" t="s">
        <v>158</v>
      </c>
      <c r="F7" t="s">
        <v>160</v>
      </c>
    </row>
    <row r="8" spans="1:7">
      <c r="A8">
        <v>590027157</v>
      </c>
      <c r="B8" t="s">
        <v>29</v>
      </c>
      <c r="C8" t="s">
        <v>30</v>
      </c>
      <c r="D8">
        <v>25010104880</v>
      </c>
      <c r="E8" t="s">
        <v>158</v>
      </c>
      <c r="F8" t="s">
        <v>160</v>
      </c>
    </row>
    <row r="9" spans="1:7">
      <c r="A9">
        <v>590029274</v>
      </c>
      <c r="B9" t="s">
        <v>31</v>
      </c>
      <c r="C9" t="s">
        <v>32</v>
      </c>
      <c r="D9">
        <v>25010104928</v>
      </c>
      <c r="E9" t="s">
        <v>158</v>
      </c>
      <c r="F9" t="s">
        <v>160</v>
      </c>
    </row>
    <row r="10" spans="1:7">
      <c r="A10">
        <v>590028572</v>
      </c>
      <c r="B10" t="s">
        <v>33</v>
      </c>
      <c r="C10" t="s">
        <v>34</v>
      </c>
      <c r="D10">
        <v>25010104903</v>
      </c>
      <c r="E10" t="s">
        <v>158</v>
      </c>
      <c r="F10" t="s">
        <v>160</v>
      </c>
    </row>
    <row r="11" spans="1:7">
      <c r="A11">
        <v>590029230</v>
      </c>
      <c r="B11" t="s">
        <v>35</v>
      </c>
      <c r="C11" t="s">
        <v>36</v>
      </c>
      <c r="D11">
        <v>25010104910</v>
      </c>
      <c r="E11" t="s">
        <v>158</v>
      </c>
      <c r="F11" t="s">
        <v>160</v>
      </c>
    </row>
    <row r="12" spans="1:7">
      <c r="A12">
        <v>590029169</v>
      </c>
      <c r="B12" t="s">
        <v>37</v>
      </c>
      <c r="C12" t="s">
        <v>38</v>
      </c>
      <c r="D12">
        <v>25010104944</v>
      </c>
      <c r="E12" t="s">
        <v>158</v>
      </c>
      <c r="F12" t="s">
        <v>160</v>
      </c>
    </row>
    <row r="13" spans="1:7">
      <c r="A13">
        <v>590029112</v>
      </c>
      <c r="B13" t="s">
        <v>39</v>
      </c>
      <c r="C13" t="s">
        <v>40</v>
      </c>
      <c r="D13">
        <v>25010104876</v>
      </c>
      <c r="E13" t="s">
        <v>158</v>
      </c>
      <c r="F13" t="s">
        <v>160</v>
      </c>
    </row>
    <row r="14" spans="1:7">
      <c r="A14">
        <v>590025556</v>
      </c>
      <c r="B14" t="s">
        <v>41</v>
      </c>
      <c r="C14" t="s">
        <v>42</v>
      </c>
      <c r="D14">
        <v>122515743</v>
      </c>
      <c r="E14" t="s">
        <v>158</v>
      </c>
      <c r="F14" t="s">
        <v>160</v>
      </c>
    </row>
    <row r="15" spans="1:7">
      <c r="A15">
        <v>590027830</v>
      </c>
      <c r="B15" t="s">
        <v>43</v>
      </c>
      <c r="C15" t="s">
        <v>44</v>
      </c>
      <c r="D15">
        <v>25010104886</v>
      </c>
      <c r="E15" t="s">
        <v>158</v>
      </c>
      <c r="F15" t="s">
        <v>160</v>
      </c>
    </row>
    <row r="16" spans="1:7">
      <c r="A16">
        <v>590028360</v>
      </c>
      <c r="B16" t="s">
        <v>45</v>
      </c>
      <c r="C16" t="s">
        <v>46</v>
      </c>
      <c r="D16">
        <v>25010104881</v>
      </c>
      <c r="E16" t="s">
        <v>158</v>
      </c>
      <c r="F16" t="s">
        <v>160</v>
      </c>
    </row>
    <row r="17" spans="1:7">
      <c r="A17">
        <v>590029237</v>
      </c>
      <c r="B17" t="s">
        <v>47</v>
      </c>
      <c r="C17" t="s">
        <v>48</v>
      </c>
      <c r="D17">
        <v>25010104909</v>
      </c>
      <c r="E17" t="s">
        <v>158</v>
      </c>
      <c r="F17" t="s">
        <v>160</v>
      </c>
    </row>
    <row r="18" spans="1:7">
      <c r="A18">
        <v>590029079</v>
      </c>
      <c r="B18" t="s">
        <v>49</v>
      </c>
      <c r="C18" t="s">
        <v>50</v>
      </c>
      <c r="D18">
        <v>25010104906</v>
      </c>
      <c r="E18" t="s">
        <v>158</v>
      </c>
      <c r="F18" t="s">
        <v>160</v>
      </c>
    </row>
    <row r="19" spans="1:7">
      <c r="A19">
        <v>590029145</v>
      </c>
      <c r="B19" t="s">
        <v>51</v>
      </c>
      <c r="C19" t="s">
        <v>52</v>
      </c>
      <c r="D19">
        <v>25010104892</v>
      </c>
      <c r="E19" t="s">
        <v>158</v>
      </c>
      <c r="F19" t="s">
        <v>160</v>
      </c>
    </row>
    <row r="20" spans="1:7">
      <c r="A20">
        <v>590029209</v>
      </c>
      <c r="B20" t="s">
        <v>53</v>
      </c>
      <c r="C20" t="s">
        <v>54</v>
      </c>
      <c r="D20">
        <v>25010104887</v>
      </c>
      <c r="E20" t="s">
        <v>158</v>
      </c>
      <c r="F20" t="s">
        <v>160</v>
      </c>
    </row>
    <row r="21" spans="1:7">
      <c r="A21">
        <v>590027268</v>
      </c>
      <c r="B21" t="s">
        <v>55</v>
      </c>
      <c r="C21" t="s">
        <v>56</v>
      </c>
      <c r="D21">
        <v>25010104933</v>
      </c>
      <c r="E21" t="s">
        <v>161</v>
      </c>
      <c r="F21" t="s">
        <v>160</v>
      </c>
    </row>
    <row r="22" spans="1:7">
      <c r="A22">
        <v>590029227</v>
      </c>
      <c r="B22" t="s">
        <v>57</v>
      </c>
      <c r="C22" t="s">
        <v>58</v>
      </c>
      <c r="D22">
        <v>25010104900</v>
      </c>
      <c r="E22" t="s">
        <v>158</v>
      </c>
      <c r="F22" t="s">
        <v>160</v>
      </c>
    </row>
    <row r="23" spans="1:7">
      <c r="A23">
        <v>590029241</v>
      </c>
      <c r="B23" t="s">
        <v>59</v>
      </c>
      <c r="C23" t="s">
        <v>60</v>
      </c>
      <c r="D23">
        <v>25010104915</v>
      </c>
      <c r="E23" t="s">
        <v>158</v>
      </c>
      <c r="F23" t="s">
        <v>160</v>
      </c>
    </row>
    <row r="24" spans="1:7">
      <c r="A24">
        <v>590023855</v>
      </c>
      <c r="B24" t="s">
        <v>61</v>
      </c>
      <c r="C24" t="s">
        <v>62</v>
      </c>
      <c r="D24">
        <v>25010104868</v>
      </c>
      <c r="E24" t="s">
        <v>158</v>
      </c>
      <c r="F24" t="s">
        <v>160</v>
      </c>
    </row>
    <row r="25" spans="1:7">
      <c r="A25">
        <v>590029215</v>
      </c>
      <c r="B25" t="s">
        <v>63</v>
      </c>
      <c r="C25" t="s">
        <v>64</v>
      </c>
      <c r="D25">
        <v>25010104884</v>
      </c>
      <c r="E25" t="s">
        <v>158</v>
      </c>
      <c r="F25" t="s">
        <v>160</v>
      </c>
    </row>
    <row r="26" spans="1:7">
      <c r="A26">
        <v>590029111</v>
      </c>
      <c r="B26" t="s">
        <v>65</v>
      </c>
      <c r="C26" t="s">
        <v>66</v>
      </c>
      <c r="D26">
        <v>25010104888</v>
      </c>
      <c r="E26" t="s">
        <v>158</v>
      </c>
      <c r="F26" t="s">
        <v>160</v>
      </c>
    </row>
    <row r="27" spans="1:7">
      <c r="A27">
        <v>590028683</v>
      </c>
      <c r="B27" t="s">
        <v>67</v>
      </c>
      <c r="C27" t="s">
        <v>68</v>
      </c>
      <c r="D27">
        <v>25010104936</v>
      </c>
      <c r="E27" t="s">
        <v>158</v>
      </c>
      <c r="F27" t="s">
        <v>160</v>
      </c>
    </row>
    <row r="28" spans="1:7">
      <c r="A28">
        <v>590029121</v>
      </c>
      <c r="B28" t="s">
        <v>69</v>
      </c>
      <c r="C28" t="s">
        <v>70</v>
      </c>
      <c r="D28">
        <v>25010104875</v>
      </c>
      <c r="E28" t="s">
        <v>158</v>
      </c>
      <c r="F28" t="s">
        <v>160</v>
      </c>
    </row>
    <row r="29" spans="1:7">
      <c r="A29">
        <v>590029048</v>
      </c>
      <c r="B29" t="s">
        <v>71</v>
      </c>
      <c r="C29" t="s">
        <v>72</v>
      </c>
      <c r="D29">
        <v>25010104925</v>
      </c>
      <c r="E29" t="s">
        <v>158</v>
      </c>
      <c r="F29" t="s">
        <v>160</v>
      </c>
    </row>
    <row r="30" spans="1:7">
      <c r="A30">
        <v>590029184</v>
      </c>
      <c r="B30" t="s">
        <v>73</v>
      </c>
      <c r="C30" t="s">
        <v>74</v>
      </c>
      <c r="D30">
        <v>25010104879</v>
      </c>
      <c r="E30" t="s">
        <v>158</v>
      </c>
      <c r="F30" t="s">
        <v>160</v>
      </c>
    </row>
    <row r="31" spans="1:7">
      <c r="A31">
        <v>590029330</v>
      </c>
      <c r="B31" t="s">
        <v>75</v>
      </c>
      <c r="C31" t="s">
        <v>76</v>
      </c>
      <c r="D31">
        <v>25010104997</v>
      </c>
      <c r="E31" t="s">
        <v>158</v>
      </c>
      <c r="F31" t="s">
        <v>159</v>
      </c>
      <c r="G31">
        <v>1</v>
      </c>
    </row>
    <row r="32" spans="1:7">
      <c r="A32">
        <v>590027630</v>
      </c>
      <c r="B32" t="s">
        <v>77</v>
      </c>
      <c r="C32" t="s">
        <v>78</v>
      </c>
      <c r="D32">
        <v>25010105001</v>
      </c>
      <c r="E32" t="s">
        <v>158</v>
      </c>
      <c r="F32" t="s">
        <v>159</v>
      </c>
      <c r="G32">
        <v>1</v>
      </c>
    </row>
    <row r="33" spans="1:7">
      <c r="A33">
        <v>590029219</v>
      </c>
      <c r="B33" t="s">
        <v>79</v>
      </c>
      <c r="C33" t="s">
        <v>80</v>
      </c>
      <c r="D33">
        <v>25010104956</v>
      </c>
      <c r="E33" t="s">
        <v>158</v>
      </c>
      <c r="F33" t="s">
        <v>159</v>
      </c>
      <c r="G33">
        <v>1</v>
      </c>
    </row>
    <row r="34" spans="1:7">
      <c r="A34">
        <v>590028933</v>
      </c>
      <c r="B34" t="s">
        <v>81</v>
      </c>
      <c r="C34" t="s">
        <v>82</v>
      </c>
      <c r="D34">
        <v>25010104948</v>
      </c>
      <c r="E34" t="s">
        <v>158</v>
      </c>
      <c r="F34" t="s">
        <v>159</v>
      </c>
      <c r="G34">
        <v>1</v>
      </c>
    </row>
    <row r="35" spans="1:7">
      <c r="A35">
        <v>590027859</v>
      </c>
      <c r="B35" t="s">
        <v>83</v>
      </c>
      <c r="C35" t="s">
        <v>84</v>
      </c>
      <c r="D35">
        <v>25010104974</v>
      </c>
      <c r="E35" t="s">
        <v>158</v>
      </c>
      <c r="F35" t="s">
        <v>159</v>
      </c>
      <c r="G35">
        <v>1</v>
      </c>
    </row>
    <row r="36" spans="1:7">
      <c r="A36">
        <v>590028682</v>
      </c>
      <c r="B36" t="s">
        <v>85</v>
      </c>
      <c r="C36" t="s">
        <v>86</v>
      </c>
      <c r="D36">
        <v>25010104995</v>
      </c>
      <c r="E36" t="s">
        <v>158</v>
      </c>
      <c r="F36" t="s">
        <v>159</v>
      </c>
      <c r="G36">
        <v>2</v>
      </c>
    </row>
    <row r="37" spans="1:7">
      <c r="A37">
        <v>590023917</v>
      </c>
      <c r="B37" t="s">
        <v>87</v>
      </c>
      <c r="C37" t="s">
        <v>88</v>
      </c>
      <c r="D37">
        <v>25010105012</v>
      </c>
      <c r="E37" t="s">
        <v>158</v>
      </c>
      <c r="F37" t="s">
        <v>159</v>
      </c>
      <c r="G37">
        <v>2</v>
      </c>
    </row>
    <row r="38" spans="1:7">
      <c r="A38">
        <v>590023785</v>
      </c>
      <c r="B38" t="s">
        <v>89</v>
      </c>
      <c r="C38" t="s">
        <v>90</v>
      </c>
      <c r="D38">
        <v>25010104947</v>
      </c>
      <c r="E38" t="s">
        <v>158</v>
      </c>
      <c r="F38" t="s">
        <v>159</v>
      </c>
      <c r="G38">
        <v>2</v>
      </c>
    </row>
    <row r="39" spans="1:7">
      <c r="A39">
        <v>590029264</v>
      </c>
      <c r="B39" t="s">
        <v>91</v>
      </c>
      <c r="C39" t="s">
        <v>92</v>
      </c>
      <c r="D39">
        <v>25010104986</v>
      </c>
      <c r="E39" t="s">
        <v>158</v>
      </c>
      <c r="F39" t="s">
        <v>159</v>
      </c>
      <c r="G39">
        <v>2</v>
      </c>
    </row>
    <row r="40" spans="1:7">
      <c r="A40">
        <v>590029042</v>
      </c>
      <c r="B40" t="s">
        <v>93</v>
      </c>
      <c r="C40" t="s">
        <v>94</v>
      </c>
      <c r="D40">
        <v>25010104982</v>
      </c>
      <c r="E40" t="s">
        <v>158</v>
      </c>
      <c r="F40" t="s">
        <v>159</v>
      </c>
      <c r="G40">
        <v>2</v>
      </c>
    </row>
    <row r="41" spans="1:7">
      <c r="A41">
        <v>590029336</v>
      </c>
      <c r="B41" t="s">
        <v>95</v>
      </c>
      <c r="C41" t="s">
        <v>96</v>
      </c>
      <c r="D41">
        <v>25010104998</v>
      </c>
      <c r="E41" t="s">
        <v>158</v>
      </c>
      <c r="F41" t="s">
        <v>159</v>
      </c>
      <c r="G41">
        <v>3</v>
      </c>
    </row>
    <row r="42" spans="1:7">
      <c r="A42">
        <v>590029233</v>
      </c>
      <c r="B42" t="s">
        <v>97</v>
      </c>
      <c r="C42" t="s">
        <v>98</v>
      </c>
      <c r="D42">
        <v>25010104996</v>
      </c>
      <c r="E42" t="s">
        <v>158</v>
      </c>
      <c r="F42" t="s">
        <v>159</v>
      </c>
      <c r="G42">
        <v>3</v>
      </c>
    </row>
    <row r="43" spans="1:7">
      <c r="A43">
        <v>590029328</v>
      </c>
      <c r="B43" t="s">
        <v>99</v>
      </c>
      <c r="C43" t="s">
        <v>100</v>
      </c>
      <c r="D43">
        <v>25010105010</v>
      </c>
      <c r="E43" t="s">
        <v>158</v>
      </c>
      <c r="F43" t="s">
        <v>159</v>
      </c>
      <c r="G43">
        <v>3</v>
      </c>
    </row>
    <row r="44" spans="1:7">
      <c r="A44">
        <v>590028608</v>
      </c>
      <c r="B44" t="s">
        <v>101</v>
      </c>
      <c r="C44" t="s">
        <v>102</v>
      </c>
      <c r="D44">
        <v>25010104999</v>
      </c>
      <c r="E44" t="s">
        <v>158</v>
      </c>
      <c r="F44" t="s">
        <v>159</v>
      </c>
      <c r="G44">
        <v>3</v>
      </c>
    </row>
    <row r="45" spans="1:7">
      <c r="A45">
        <v>590028605</v>
      </c>
      <c r="B45" t="s">
        <v>103</v>
      </c>
      <c r="C45" t="s">
        <v>104</v>
      </c>
      <c r="D45">
        <v>25010104326</v>
      </c>
      <c r="E45" t="s">
        <v>158</v>
      </c>
      <c r="F45" t="s">
        <v>159</v>
      </c>
      <c r="G45">
        <v>3</v>
      </c>
    </row>
    <row r="46" spans="1:7">
      <c r="A46">
        <v>590026626</v>
      </c>
      <c r="B46" t="s">
        <v>105</v>
      </c>
      <c r="C46" t="s">
        <v>106</v>
      </c>
      <c r="D46">
        <v>25010104601</v>
      </c>
      <c r="E46" t="s">
        <v>158</v>
      </c>
      <c r="F46" t="s">
        <v>159</v>
      </c>
      <c r="G46">
        <v>4</v>
      </c>
    </row>
    <row r="47" spans="1:7">
      <c r="A47">
        <v>590029310</v>
      </c>
      <c r="B47" t="s">
        <v>107</v>
      </c>
      <c r="C47" t="s">
        <v>108</v>
      </c>
      <c r="D47">
        <v>25010104970</v>
      </c>
      <c r="E47" t="s">
        <v>158</v>
      </c>
      <c r="F47" t="s">
        <v>159</v>
      </c>
      <c r="G47">
        <v>4</v>
      </c>
    </row>
    <row r="48" spans="1:7">
      <c r="A48">
        <v>590029319</v>
      </c>
      <c r="B48" t="s">
        <v>109</v>
      </c>
      <c r="C48" t="s">
        <v>110</v>
      </c>
      <c r="D48">
        <v>25010105008</v>
      </c>
      <c r="E48" t="s">
        <v>158</v>
      </c>
      <c r="F48" t="s">
        <v>159</v>
      </c>
      <c r="G48">
        <v>4</v>
      </c>
    </row>
    <row r="49" spans="1:7">
      <c r="A49">
        <v>590029339</v>
      </c>
      <c r="B49" t="s">
        <v>111</v>
      </c>
      <c r="C49" t="s">
        <v>112</v>
      </c>
      <c r="D49">
        <v>25010105011</v>
      </c>
      <c r="E49" t="s">
        <v>158</v>
      </c>
      <c r="F49" t="s">
        <v>159</v>
      </c>
      <c r="G49">
        <v>4</v>
      </c>
    </row>
    <row r="50" spans="1:7">
      <c r="A50">
        <v>590029148</v>
      </c>
      <c r="B50" t="s">
        <v>113</v>
      </c>
      <c r="C50" t="s">
        <v>114</v>
      </c>
      <c r="D50">
        <v>25010104992</v>
      </c>
      <c r="E50" t="s">
        <v>158</v>
      </c>
      <c r="F50" t="s">
        <v>159</v>
      </c>
      <c r="G50">
        <v>4</v>
      </c>
    </row>
    <row r="51" spans="1:7">
      <c r="A51">
        <v>590029309</v>
      </c>
      <c r="B51" t="s">
        <v>115</v>
      </c>
      <c r="C51" t="s">
        <v>116</v>
      </c>
      <c r="D51">
        <v>25010104979</v>
      </c>
      <c r="E51" t="s">
        <v>158</v>
      </c>
      <c r="F51" t="s">
        <v>159</v>
      </c>
      <c r="G51">
        <v>5</v>
      </c>
    </row>
    <row r="52" spans="1:7">
      <c r="A52">
        <v>590028838</v>
      </c>
      <c r="B52" t="s">
        <v>117</v>
      </c>
      <c r="C52" t="s">
        <v>118</v>
      </c>
      <c r="D52">
        <v>25010104945</v>
      </c>
      <c r="E52" t="s">
        <v>158</v>
      </c>
      <c r="F52" t="s">
        <v>159</v>
      </c>
      <c r="G52">
        <v>5</v>
      </c>
    </row>
    <row r="53" spans="1:7">
      <c r="A53">
        <v>590029107</v>
      </c>
      <c r="B53" t="s">
        <v>119</v>
      </c>
      <c r="C53" t="s">
        <v>120</v>
      </c>
      <c r="D53">
        <v>25010104988</v>
      </c>
      <c r="E53" t="s">
        <v>158</v>
      </c>
      <c r="F53" t="s">
        <v>159</v>
      </c>
      <c r="G53">
        <v>5</v>
      </c>
    </row>
    <row r="54" spans="1:7">
      <c r="A54">
        <v>590029266</v>
      </c>
      <c r="B54" t="s">
        <v>121</v>
      </c>
      <c r="C54" t="s">
        <v>122</v>
      </c>
      <c r="D54">
        <v>25010104958</v>
      </c>
      <c r="E54" t="s">
        <v>158</v>
      </c>
      <c r="F54" t="s">
        <v>159</v>
      </c>
      <c r="G54">
        <v>5</v>
      </c>
    </row>
    <row r="55" spans="1:7">
      <c r="A55">
        <v>590029354</v>
      </c>
      <c r="B55" t="s">
        <v>123</v>
      </c>
      <c r="C55" t="s">
        <v>124</v>
      </c>
      <c r="D55">
        <v>25010105018</v>
      </c>
      <c r="E55" t="s">
        <v>158</v>
      </c>
      <c r="F55" t="s">
        <v>159</v>
      </c>
      <c r="G55">
        <v>5</v>
      </c>
    </row>
    <row r="56" spans="1:7">
      <c r="A56">
        <v>590029349</v>
      </c>
      <c r="B56" t="s">
        <v>125</v>
      </c>
      <c r="C56" t="s">
        <v>126</v>
      </c>
      <c r="D56">
        <v>25010105017</v>
      </c>
      <c r="E56" t="s">
        <v>158</v>
      </c>
      <c r="F56" t="s">
        <v>159</v>
      </c>
      <c r="G56">
        <v>6</v>
      </c>
    </row>
    <row r="57" spans="1:7">
      <c r="A57">
        <v>590029302</v>
      </c>
      <c r="B57" t="s">
        <v>127</v>
      </c>
      <c r="C57" t="s">
        <v>128</v>
      </c>
      <c r="D57">
        <v>25010104954</v>
      </c>
      <c r="E57" t="s">
        <v>158</v>
      </c>
      <c r="F57" t="s">
        <v>159</v>
      </c>
      <c r="G57">
        <v>6</v>
      </c>
    </row>
    <row r="58" spans="1:7">
      <c r="A58">
        <v>590029262</v>
      </c>
      <c r="B58" t="s">
        <v>129</v>
      </c>
      <c r="C58" t="s">
        <v>130</v>
      </c>
      <c r="D58">
        <v>25010104987</v>
      </c>
      <c r="E58" t="s">
        <v>158</v>
      </c>
      <c r="F58" t="s">
        <v>159</v>
      </c>
      <c r="G58">
        <v>6</v>
      </c>
    </row>
    <row r="59" spans="1:7">
      <c r="A59">
        <v>590029285</v>
      </c>
      <c r="B59" t="s">
        <v>131</v>
      </c>
      <c r="C59" t="s">
        <v>132</v>
      </c>
      <c r="D59">
        <v>25010104949</v>
      </c>
      <c r="E59" t="s">
        <v>158</v>
      </c>
      <c r="F59" t="s">
        <v>159</v>
      </c>
      <c r="G59">
        <v>6</v>
      </c>
    </row>
    <row r="60" spans="1:7">
      <c r="A60">
        <v>590029353</v>
      </c>
      <c r="B60" t="s">
        <v>133</v>
      </c>
      <c r="C60" t="s">
        <v>134</v>
      </c>
      <c r="D60">
        <v>122514758</v>
      </c>
      <c r="E60" t="s">
        <v>158</v>
      </c>
      <c r="F60" t="s">
        <v>159</v>
      </c>
      <c r="G60">
        <v>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Kendo UI</dc:creator>
  <cp:keywords/>
  <dc:description/>
  <cp:lastModifiedBy>Nitesh Kumar</cp:lastModifiedBy>
  <cp:revision/>
  <dcterms:created xsi:type="dcterms:W3CDTF">2025-02-05T08:19:31Z</dcterms:created>
  <dcterms:modified xsi:type="dcterms:W3CDTF">2026-01-19T13:32:36Z</dcterms:modified>
  <cp:category/>
  <cp:contentStatus/>
</cp:coreProperties>
</file>