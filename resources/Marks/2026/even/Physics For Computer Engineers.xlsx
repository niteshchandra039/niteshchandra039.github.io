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Marksheet"/>
    <sheet r:id="rId2" sheetId="2" name="Quiz 1"/>
    <sheet r:id="rId3" sheetId="3" name="Class Test 1"/>
    <sheet r:id="rId4" sheetId="4" name="Mid Sem"/>
    <sheet r:id="rId5" sheetId="5" name="End Sem"/>
    <sheet r:id="rId6" sheetId="6" name="Quiz 2"/>
    <sheet r:id="rId7" sheetId="7" name="Assignment 1"/>
    <sheet r:id="rId8" sheetId="8" name="Assignment 2"/>
    <sheet r:id="rId9" sheetId="9" name="Class Test 2"/>
    <sheet r:id="rId10" sheetId="10" name="Sheet2"/>
    <sheet r:id="rId11" sheetId="11" name="Sheet3"/>
  </sheets>
  <calcPr fullCalcOnLoad="1"/>
</workbook>
</file>

<file path=xl/sharedStrings.xml><?xml version="1.0" encoding="utf-8"?>
<sst xmlns="http://schemas.openxmlformats.org/spreadsheetml/2006/main" count="972" uniqueCount="175">
  <si>
    <t>SAP ID</t>
  </si>
  <si>
    <t>Name</t>
  </si>
  <si>
    <t>Email</t>
  </si>
  <si>
    <t xml:space="preserve">Roll Number </t>
  </si>
  <si>
    <t>Column1</t>
  </si>
  <si>
    <t>Batch</t>
  </si>
  <si>
    <t>Group</t>
  </si>
  <si>
    <t>Aadya Dubey</t>
  </si>
  <si>
    <t>aadya.29213@stu.upes.ac.in</t>
  </si>
  <si>
    <t>Active</t>
  </si>
  <si>
    <t>BT-CSE-II-B77_Physics for Computer Engineers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</si>
  <si>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</si>
  <si>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</si>
  <si>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</si>
  <si>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</si>
  <si>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</si>
  <si>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</si>
  <si>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</si>
  <si>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</si>
  <si>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</si>
  <si>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</si>
  <si>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</si>
  <si>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</si>
  <si>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</si>
  <si>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</si>
  <si>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</si>
  <si>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</si>
  <si>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</si>
  <si>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</si>
  <si>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</si>
  <si>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</si>
  <si>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</si>
  <si>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</si>
  <si>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</si>
  <si>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</si>
  <si>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</si>
  <si>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</si>
  <si>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</si>
  <si>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</si>
  <si>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</si>
  <si>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</si>
  <si>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</si>
  <si>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</si>
  <si>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</si>
  <si>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</si>
  <si>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</si>
  <si>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</si>
  <si>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</si>
  <si>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</si>
  <si>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Fee Hold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</si>
  <si>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</si>
  <si>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</si>
  <si>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</si>
  <si>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</si>
  <si>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</si>
  <si>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</si>
  <si>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</si>
  <si>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</si>
  <si>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</si>
  <si>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</si>
  <si>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</si>
  <si>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</si>
  <si>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</si>
  <si>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</si>
  <si>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</si>
  <si>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</si>
  <si>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</si>
  <si>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</si>
  <si>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</si>
  <si>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</si>
  <si>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BT-CSE-II-B78_Physics for Computer Engineers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</si>
  <si>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</si>
  <si>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</si>
  <si>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</si>
  <si>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</si>
  <si>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</si>
  <si>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</si>
  <si>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</si>
  <si>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</si>
  <si>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</si>
  <si>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</si>
  <si>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</si>
  <si>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</si>
  <si>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</si>
  <si>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</si>
  <si>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</si>
  <si>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</si>
  <si>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</si>
  <si>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</si>
  <si>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</si>
  <si>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</si>
  <si>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</si>
  <si>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</si>
  <si>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</si>
  <si>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</si>
  <si>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</si>
  <si>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</si>
  <si>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</si>
  <si>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</si>
  <si>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</si>
  <si>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</si>
  <si>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</si>
  <si>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</si>
  <si>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</si>
  <si>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</si>
  <si>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</si>
  <si>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</si>
  <si>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</si>
  <si>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</si>
  <si>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</si>
  <si>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</si>
  <si>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</si>
  <si>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</si>
  <si>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</si>
  <si>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</si>
  <si>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</si>
  <si>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</si>
  <si>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</si>
  <si>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</si>
  <si>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</si>
  <si>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</si>
  <si>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</si>
  <si>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</si>
  <si>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</si>
  <si>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</si>
  <si>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</si>
  <si>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</si>
  <si>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</si>
  <si>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</si>
  <si>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Class Test 2</t>
  </si>
  <si>
    <t>CO1</t>
  </si>
  <si>
    <t>CO2</t>
  </si>
  <si>
    <t>CO3</t>
  </si>
  <si>
    <t>CO4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</si>
  <si>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</si>
  <si>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</si>
  <si>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</si>
  <si>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</si>
  <si>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</si>
  <si>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</si>
  <si>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</si>
  <si>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</si>
  <si>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</si>
  <si>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</si>
  <si>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</si>
  <si>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</si>
  <si>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Total</t>
  </si>
  <si>
    <t>Sign</t>
  </si>
  <si>
    <t>Max Marks</t>
  </si>
  <si>
    <t>Assignment 2</t>
  </si>
  <si>
    <t>Assignment 1</t>
  </si>
  <si>
    <t>Quiz 2</t>
  </si>
  <si>
    <t>End Sem Examination</t>
  </si>
  <si>
    <t>Mid Sem Examination</t>
  </si>
  <si>
    <t>CO2/CO1</t>
  </si>
  <si>
    <t>Student ID</t>
  </si>
  <si>
    <t>Class Test 1</t>
  </si>
  <si>
    <t>true</t>
  </si>
  <si>
    <t>false</t>
  </si>
  <si>
    <t>Quiz 1</t>
  </si>
  <si>
    <t>P/A</t>
  </si>
  <si>
    <t>Final Marks</t>
  </si>
  <si>
    <t xml:space="preserve">Physics for Computer Engineers (PHYS 1036) </t>
  </si>
  <si>
    <t xml:space="preserve">Name </t>
  </si>
  <si>
    <t>IA</t>
  </si>
  <si>
    <t>Lab</t>
  </si>
  <si>
    <t>CIA</t>
  </si>
  <si>
    <t>CIA_Weightage</t>
  </si>
  <si>
    <t>Mid Sem</t>
  </si>
  <si>
    <t>End Sem</t>
  </si>
  <si>
    <t>Email Address</t>
  </si>
  <si>
    <t>Roll Number</t>
  </si>
  <si>
    <t>Max</t>
  </si>
  <si>
    <t>Min</t>
  </si>
  <si>
    <t>Median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</si>
</sst>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rgb="FFffffff"/>
      <name val="Calibri"/>
      <family val="2"/>
    </font>
    <font>
      <b/>
      <sz val="18"/>
      <color rgb="FF000000"/>
      <name val="Baguet Script"/>
      <family val="2"/>
    </font>
    <font>
      <sz val="11"/>
      <color rgb="FFff0000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8"/>
      <color rgb="FF000000"/>
      <name val="Monotype Corsiva"/>
      <family val="2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</patternFill>
    </fill>
    <fill>
      <patternFill patternType="solid">
        <fgColor rgb="FFf79646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2">
    <xf xfId="0" numFmtId="0" borderId="0" fontId="0" fillId="0"/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2" applyBorder="1" fontId="2" applyFont="1" fillId="2" applyFill="1" applyAlignment="1">
      <alignment horizontal="center"/>
    </xf>
    <xf xfId="0" numFmtId="0" borderId="2" applyBorder="1" fontId="2" applyFont="1" fillId="2" applyFill="1" applyAlignment="1">
      <alignment horizontal="center"/>
    </xf>
    <xf xfId="0" numFmtId="3" applyNumberFormat="1" borderId="3" applyBorder="1" fontId="3" applyFont="1" fillId="0" applyAlignment="1">
      <alignment horizontal="center"/>
    </xf>
    <xf xfId="0" numFmtId="0" borderId="3" applyBorder="1" fontId="3" applyFont="1" fillId="0" applyAlignment="1">
      <alignment horizontal="center"/>
    </xf>
    <xf xfId="0" numFmtId="3" applyNumberFormat="1" borderId="3" applyBorder="1" fontId="1" applyFont="1" fillId="0" applyAlignment="1">
      <alignment horizontal="left"/>
    </xf>
    <xf xfId="0" numFmtId="0" borderId="3" applyBorder="1" fontId="4" applyFont="1" fillId="3" applyFill="1" applyAlignment="1">
      <alignment horizontal="left"/>
    </xf>
    <xf xfId="0" numFmtId="0" borderId="3" applyBorder="1" fontId="1" applyFont="1" fillId="0" applyAlignment="1">
      <alignment horizontal="left"/>
    </xf>
    <xf xfId="0" numFmtId="3" applyNumberFormat="1" borderId="3" applyBorder="1" fontId="5" applyFont="1" fillId="2" applyFill="1" applyAlignment="1">
      <alignment horizontal="left"/>
    </xf>
    <xf xfId="0" numFmtId="0" borderId="3" applyBorder="1" fontId="5" applyFont="1" fillId="2" applyFill="1" applyAlignment="1">
      <alignment horizontal="left"/>
    </xf>
    <xf xfId="0" numFmtId="3" applyNumberFormat="1" borderId="3" applyBorder="1" fontId="5" applyFont="1" fillId="4" applyFill="1" applyAlignment="1">
      <alignment horizontal="left"/>
    </xf>
    <xf xfId="0" numFmtId="0" borderId="3" applyBorder="1" fontId="5" applyFont="1" fillId="4" applyFill="1" applyAlignment="1">
      <alignment horizontal="left"/>
    </xf>
    <xf xfId="0" numFmtId="3" applyNumberFormat="1" borderId="3" applyBorder="1" fontId="5" applyFont="1" fillId="4" applyFill="1" applyAlignment="1">
      <alignment horizontal="right"/>
    </xf>
    <xf xfId="0" numFmtId="3" applyNumberFormat="1" borderId="3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5" applyFont="1" fillId="2" applyFill="1" applyAlignment="1">
      <alignment horizontal="center"/>
    </xf>
    <xf xfId="0" numFmtId="3" applyNumberFormat="1" borderId="3" applyBorder="1" fontId="4" applyFont="1" fillId="3" applyFill="1" applyAlignment="1">
      <alignment horizontal="left"/>
    </xf>
    <xf xfId="0" numFmtId="0" borderId="3" applyBorder="1" fontId="1" applyFont="1" fillId="0" applyAlignment="1">
      <alignment horizontal="left"/>
    </xf>
    <xf xfId="0" numFmtId="3" applyNumberFormat="1" borderId="3" applyBorder="1" fontId="5" applyFont="1" fillId="2" applyFill="1" applyAlignment="1">
      <alignment horizontal="right"/>
    </xf>
    <xf xfId="0" numFmtId="0" borderId="2" applyBorder="1" fontId="2" applyFont="1" fillId="2" applyFill="1" applyAlignment="1">
      <alignment horizontal="center"/>
    </xf>
    <xf xfId="0" numFmtId="3" applyNumberFormat="1" borderId="3" applyBorder="1" fontId="1" applyFont="1" fillId="0" applyAlignment="1">
      <alignment horizontal="center"/>
    </xf>
    <xf xfId="0" numFmtId="0" borderId="4" applyBorder="1" fontId="1" applyFont="1" fillId="0" applyAlignment="1">
      <alignment horizontal="left"/>
    </xf>
    <xf xfId="0" numFmtId="3" applyNumberFormat="1" borderId="5" applyBorder="1" fontId="5" applyFont="1" fillId="2" applyFill="1" applyAlignment="1">
      <alignment horizontal="left"/>
    </xf>
    <xf xfId="0" numFmtId="3" applyNumberFormat="1" borderId="6" applyBorder="1" fontId="5" applyFont="1" fillId="2" applyFill="1" applyAlignment="1">
      <alignment horizontal="center"/>
    </xf>
    <xf xfId="0" numFmtId="0" borderId="6" applyBorder="1" fontId="5" applyFont="1" fillId="2" applyFill="1" applyAlignment="1">
      <alignment horizontal="center"/>
    </xf>
    <xf xfId="0" numFmtId="0" borderId="3" applyBorder="1" fontId="6" applyFont="1" fillId="0" applyAlignment="1">
      <alignment horizontal="center"/>
    </xf>
    <xf xfId="0" numFmtId="3" applyNumberFormat="1" borderId="3" applyBorder="1" fontId="5" applyFont="1" fillId="4" applyFill="1" applyAlignment="1">
      <alignment horizontal="center"/>
    </xf>
    <xf xfId="0" numFmtId="0" borderId="3" applyBorder="1" fontId="5" applyFont="1" fillId="4" applyFill="1" applyAlignment="1">
      <alignment horizontal="center"/>
    </xf>
    <xf xfId="0" numFmtId="0" borderId="7" applyBorder="1" fontId="5" applyFont="1" fillId="4" applyFill="1" applyAlignment="1">
      <alignment horizontal="left"/>
    </xf>
    <xf xfId="0" numFmtId="0" borderId="3" applyBorder="1" fontId="1" applyFont="1" fillId="0" applyAlignment="1">
      <alignment horizontal="center"/>
    </xf>
    <xf xfId="0" numFmtId="3" applyNumberFormat="1" borderId="3" applyBorder="1" fontId="6" applyFont="1" fillId="0" applyAlignment="1">
      <alignment horizontal="right"/>
    </xf>
    <xf xfId="0" numFmtId="4" applyNumberFormat="1" borderId="3" applyBorder="1" fontId="6" applyFont="1" fillId="0" applyAlignment="1">
      <alignment horizontal="right"/>
    </xf>
    <xf xfId="0" numFmtId="0" borderId="8" applyBorder="1" fontId="1" applyFont="1" fillId="0" applyAlignment="1">
      <alignment horizontal="left"/>
    </xf>
    <xf xfId="0" numFmtId="4" applyNumberFormat="1" borderId="3" applyBorder="1" fontId="1" applyFont="1" fillId="0" applyAlignment="1">
      <alignment horizontal="center"/>
    </xf>
    <xf xfId="0" numFmtId="0" borderId="7" applyBorder="1" fontId="5" applyFont="1" fillId="4" applyFill="1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4" applyNumberFormat="1" borderId="3" applyBorder="1" fontId="1" applyFont="1" fillId="0" applyAlignment="1">
      <alignment horizontal="right"/>
    </xf>
    <xf xfId="0" numFmtId="3" applyNumberFormat="1" borderId="3" applyBorder="1" fontId="6" applyFont="1" fillId="0" applyAlignment="1">
      <alignment horizontal="left"/>
    </xf>
    <xf xfId="0" numFmtId="4" applyNumberFormat="1" borderId="2" applyBorder="1" fontId="2" applyFont="1" fillId="2" applyFill="1" applyAlignment="1">
      <alignment horizontal="center"/>
    </xf>
    <xf xfId="0" numFmtId="4" applyNumberFormat="1" borderId="0" fontId="0" fillId="0" applyAlignment="1">
      <alignment horizontal="general"/>
    </xf>
    <xf xfId="0" numFmtId="4" applyNumberFormat="1" borderId="3" applyBorder="1" fontId="3" applyFont="1" fillId="0" applyAlignment="1">
      <alignment horizontal="center"/>
    </xf>
    <xf xfId="0" numFmtId="4" applyNumberFormat="1" borderId="3" applyBorder="1" fontId="4" applyFont="1" fillId="3" applyFill="1" applyAlignment="1">
      <alignment horizontal="left"/>
    </xf>
    <xf xfId="0" numFmtId="4" applyNumberFormat="1" borderId="3" applyBorder="1" fontId="5" applyFont="1" fillId="2" applyFill="1" applyAlignment="1">
      <alignment horizontal="left"/>
    </xf>
    <xf xfId="0" numFmtId="4" applyNumberFormat="1" borderId="3" applyBorder="1" fontId="5" applyFont="1" fillId="4" applyFill="1" applyAlignment="1">
      <alignment horizontal="right"/>
    </xf>
    <xf xfId="0" numFmtId="4" applyNumberFormat="1" borderId="3" applyBorder="1" fontId="1" applyFont="1" fillId="0" applyAlignment="1">
      <alignment horizontal="left"/>
    </xf>
    <xf xfId="0" numFmtId="4" applyNumberFormat="1" borderId="0" fontId="0" fillId="0" applyAlignment="1">
      <alignment horizontal="general"/>
    </xf>
    <xf xfId="0" numFmtId="0" borderId="4" applyBorder="1" fontId="3" applyFont="1" fillId="0" applyAlignment="1">
      <alignment horizontal="left"/>
    </xf>
    <xf xfId="0" numFmtId="0" borderId="0" fontId="0" fillId="0" applyAlignment="1">
      <alignment horizontal="general" wrapText="1"/>
    </xf>
    <xf xfId="0" numFmtId="0" borderId="4" applyBorder="1" fontId="7" applyFont="1" fillId="0" applyAlignment="1">
      <alignment horizontal="left"/>
    </xf>
    <xf xfId="0" numFmtId="0" borderId="3" applyBorder="1" fontId="8" applyFont="1" fillId="0" applyAlignment="1">
      <alignment horizontal="left"/>
    </xf>
    <xf xfId="0" numFmtId="3" applyNumberFormat="1" borderId="3" applyBorder="1" fontId="5" applyFont="1" fillId="2" applyFill="1" applyAlignment="1">
      <alignment horizontal="center"/>
    </xf>
    <xf xfId="0" numFmtId="4" applyNumberFormat="1" borderId="3" applyBorder="1" fontId="2" applyFont="1" fillId="2" applyFill="1" applyAlignment="1">
      <alignment horizontal="left"/>
    </xf>
    <xf xfId="0" numFmtId="0" borderId="3" applyBorder="1" fontId="2" applyFont="1" fillId="2" applyFill="1" applyAlignment="1">
      <alignment horizontal="center" wrapText="1"/>
    </xf>
    <xf xfId="0" numFmtId="3" applyNumberFormat="1" borderId="2" applyBorder="1" fontId="2" applyFont="1" fillId="2" applyFill="1" applyAlignment="1">
      <alignment horizontal="left"/>
    </xf>
    <xf xfId="0" numFmtId="0" borderId="1" applyBorder="1" fontId="5" applyFont="1" fillId="0" applyAlignment="1">
      <alignment horizontal="left"/>
    </xf>
    <xf xfId="0" numFmtId="4" applyNumberFormat="1" borderId="3" applyBorder="1" fontId="2" applyFont="1" fillId="2" applyFill="1" applyAlignment="1">
      <alignment horizontal="center"/>
    </xf>
    <xf xfId="0" numFmtId="3" applyNumberFormat="1" borderId="3" applyBorder="1" fontId="2" applyFont="1" fillId="2" applyFill="1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3" applyNumberFormat="1" borderId="3" applyBorder="1" fontId="8" applyFont="1" fillId="0" applyAlignment="1">
      <alignment horizontal="center"/>
    </xf>
    <xf xfId="0" numFmtId="3" applyNumberFormat="1" borderId="9" applyBorder="1" fontId="1" applyFont="1" fillId="0" applyAlignment="1">
      <alignment horizontal="center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ables/table1.xml><?xml version="1.0" encoding="utf-8"?>
<table xmlns="http://schemas.openxmlformats.org/spreadsheetml/2006/main" ref="A1:F60" displayName="Table1" name="Table1" id="1" totalsRowShown="0">
  <autoFilter ref="A1:F60"/>
  <tableColumns count="6">
    <tableColumn name="SAP ID" id="1"/>
    <tableColumn name="Name" id="2"/>
    <tableColumn name="Email" id="3"/>
    <tableColumn name="Roll Number " id="4"/>
    <tableColumn name="Column1" id="5"/>
    <tableColumn name="Batch" id="6"/>
  </tableColumns>
  <tableStyleInfo name="TableStyleLight1" showColumnStripes="0" showRowStripes="1" showLastColumn="0" showFirstColumn="0"/>
</table>
</file>

<file path=xl/tables/table2.xml><?xml version="1.0" encoding="utf-8"?>
<table xmlns="http://schemas.openxmlformats.org/spreadsheetml/2006/main" ref="A4:O65" displayName="Table2" name="Table2" id="2" totalsRowShown="0">
  <autoFilter ref="A4:O65"/>
  <tableColumns count="15">
    <tableColumn name="Name" id="1"/>
    <tableColumn name="Student ID" id="2"/>
    <tableColumn name="Batch" id="3"/>
    <tableColumn name="Q1" id="4"/>
    <tableColumn name="Q2" id="5"/>
    <tableColumn name="Q3" id="6"/>
    <tableColumn name="Q4" id="7"/>
    <tableColumn name="Q5" id="8"/>
    <tableColumn name="Q6" id="9"/>
    <tableColumn name="Q7" id="10"/>
    <tableColumn name="Q8" id="11"/>
    <tableColumn name="Q9" id="12"/>
    <tableColumn name="Q10" id="13"/>
    <tableColumn name="Q11" id="14"/>
    <tableColumn name="Total" id="15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10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68"/>
  <sheetViews>
    <sheetView workbookViewId="0" tabSelected="1"/>
  </sheetViews>
  <sheetFormatPr defaultRowHeight="15" x14ac:dyDescent="0.25"/>
  <cols>
    <col min="1" max="1" style="5" width="27.14785714285714" customWidth="1" bestFit="1"/>
    <col min="2" max="2" style="22" width="22.862142857142857" customWidth="1" bestFit="1"/>
    <col min="3" max="3" style="22" width="10.290714285714287" customWidth="1" bestFit="1"/>
    <col min="4" max="4" style="4" width="13.862142857142858" customWidth="1" bestFit="1"/>
    <col min="5" max="5" style="4" width="14.43357142857143" customWidth="1" bestFit="1"/>
    <col min="6" max="6" style="70" width="16.14785714285714" customWidth="1" bestFit="1"/>
    <col min="7" max="7" style="22" width="14.290714285714287" customWidth="1" bestFit="1"/>
    <col min="8" max="8" style="22" width="14.290714285714287" customWidth="1" bestFit="1"/>
    <col min="9" max="9" style="22" width="14.290714285714287" customWidth="1" bestFit="1"/>
    <col min="10" max="10" style="70" width="16.719285714285714" customWidth="1" bestFit="1"/>
    <col min="11" max="11" style="22" width="11.862142857142858" customWidth="1" bestFit="1"/>
    <col min="12" max="12" style="70" width="11.862142857142858" customWidth="1" bestFit="1"/>
    <col min="13" max="13" style="70" width="11.147857142857141" customWidth="1" bestFit="1"/>
    <col min="14" max="14" style="70" width="11.862142857142858" customWidth="1" bestFit="1"/>
    <col min="15" max="15" style="4" width="13.43357142857143" customWidth="1" bestFit="1"/>
    <col min="16" max="16" style="22" width="13.43357142857143" customWidth="1" bestFit="1"/>
    <col min="17" max="17" style="22" width="13.43357142857143" customWidth="1" bestFit="1"/>
    <col min="18" max="18" style="70" width="13.43357142857143" customWidth="1" bestFit="1"/>
    <col min="19" max="19" style="22" width="12.576428571428572" customWidth="1" bestFit="1"/>
    <col min="20" max="20" style="5" width="13.576428571428572" customWidth="1" bestFit="1"/>
    <col min="21" max="21" style="71" width="28.719285714285714" customWidth="1" bestFit="1"/>
    <col min="22" max="22" style="22" width="15.719285714285713" customWidth="1" bestFit="1"/>
  </cols>
  <sheetData>
    <row x14ac:dyDescent="0.25" r="1" customHeight="1" ht="26.25">
      <c r="A1" s="9" t="s">
        <v>161</v>
      </c>
      <c r="B1" s="8"/>
      <c r="C1" s="8"/>
      <c r="D1" s="8"/>
      <c r="E1" s="8"/>
      <c r="F1" s="47"/>
      <c r="G1" s="8"/>
      <c r="H1" s="8"/>
      <c r="I1" s="8"/>
      <c r="J1" s="47"/>
      <c r="K1" s="8"/>
      <c r="L1" s="47"/>
      <c r="M1" s="47"/>
      <c r="N1" s="47"/>
      <c r="O1" s="8"/>
      <c r="P1" s="8"/>
      <c r="Q1" s="8"/>
      <c r="R1" s="47"/>
      <c r="S1" s="8"/>
      <c r="T1" s="55"/>
      <c r="U1" s="56"/>
      <c r="V1" s="21"/>
    </row>
    <row x14ac:dyDescent="0.25" r="2" customHeight="1" ht="27">
      <c r="A2" s="9" t="s">
        <v>162</v>
      </c>
      <c r="B2" s="8"/>
      <c r="C2" s="8"/>
      <c r="D2" s="8"/>
      <c r="E2" s="8"/>
      <c r="F2" s="47"/>
      <c r="G2" s="8"/>
      <c r="H2" s="8"/>
      <c r="I2" s="8"/>
      <c r="J2" s="47"/>
      <c r="K2" s="8"/>
      <c r="L2" s="47"/>
      <c r="M2" s="47"/>
      <c r="N2" s="47"/>
      <c r="O2" s="8"/>
      <c r="P2" s="8"/>
      <c r="Q2" s="8"/>
      <c r="R2" s="47"/>
      <c r="S2" s="8"/>
      <c r="T2" s="57"/>
      <c r="U2" s="56"/>
      <c r="V2" s="21"/>
    </row>
    <row x14ac:dyDescent="0.25" r="3" customHeight="1" ht="21">
      <c r="A3" s="58" t="s">
        <v>163</v>
      </c>
      <c r="B3" s="12" t="s">
        <v>0</v>
      </c>
      <c r="C3" s="59" t="s">
        <v>5</v>
      </c>
      <c r="D3" s="12" t="s">
        <v>159</v>
      </c>
      <c r="E3" s="12" t="s">
        <v>150</v>
      </c>
      <c r="F3" s="53" t="s">
        <v>156</v>
      </c>
      <c r="G3" s="12" t="s">
        <v>151</v>
      </c>
      <c r="H3" s="12" t="s">
        <v>149</v>
      </c>
      <c r="I3" s="12" t="s">
        <v>129</v>
      </c>
      <c r="J3" s="53" t="s">
        <v>164</v>
      </c>
      <c r="K3" s="12" t="s">
        <v>165</v>
      </c>
      <c r="L3" s="53" t="s">
        <v>166</v>
      </c>
      <c r="M3" s="60" t="s">
        <v>167</v>
      </c>
      <c r="N3" s="53" t="s">
        <v>168</v>
      </c>
      <c r="O3" s="12" t="s">
        <v>168</v>
      </c>
      <c r="P3" s="12" t="s">
        <v>169</v>
      </c>
      <c r="Q3" s="12" t="s">
        <v>169</v>
      </c>
      <c r="R3" s="53" t="s">
        <v>146</v>
      </c>
      <c r="S3" s="12" t="s">
        <v>147</v>
      </c>
      <c r="T3" s="2"/>
      <c r="U3" s="61" t="s">
        <v>170</v>
      </c>
      <c r="V3" s="62" t="s">
        <v>171</v>
      </c>
    </row>
    <row x14ac:dyDescent="0.25" r="4" customHeight="1" ht="20.25">
      <c r="A4" s="18"/>
      <c r="B4" s="34" t="s">
        <v>148</v>
      </c>
      <c r="C4" s="34"/>
      <c r="D4" s="34">
        <v>15</v>
      </c>
      <c r="E4" s="34">
        <v>15</v>
      </c>
      <c r="F4" s="34">
        <v>20</v>
      </c>
      <c r="G4" s="34">
        <v>15</v>
      </c>
      <c r="H4" s="34">
        <v>15</v>
      </c>
      <c r="I4" s="34">
        <v>20</v>
      </c>
      <c r="J4" s="34">
        <f>SUM(D4:I4)</f>
      </c>
      <c r="K4" s="34">
        <v>100</v>
      </c>
      <c r="L4" s="34">
        <f>SUM(J4:K4)/2</f>
      </c>
      <c r="M4" s="34">
        <f>L4*0.5</f>
      </c>
      <c r="N4" s="34">
        <f>O4/5</f>
      </c>
      <c r="O4" s="34">
        <v>100</v>
      </c>
      <c r="P4" s="34">
        <v>100</v>
      </c>
      <c r="Q4" s="34">
        <f>P4*0.3</f>
      </c>
      <c r="R4" s="19">
        <f>SUM(M4,N4,Q4)</f>
      </c>
      <c r="S4" s="17"/>
      <c r="T4" s="63"/>
      <c r="U4" s="56"/>
      <c r="V4" s="21"/>
    </row>
    <row x14ac:dyDescent="0.25" r="5" customHeight="1" ht="20.25">
      <c r="A5" s="14" t="s">
        <v>7</v>
      </c>
      <c r="B5" s="28">
        <v>590029213</v>
      </c>
      <c r="C5" s="28">
        <v>77</v>
      </c>
      <c r="D5" s="64">
        <f>'Quiz 1'!O6</f>
      </c>
      <c r="E5" s="64">
        <f>'Assignment 1'!N6/10</f>
      </c>
      <c r="F5" s="65">
        <f>'Class Test 1'!P6</f>
      </c>
      <c r="G5" s="65"/>
      <c r="H5" s="65"/>
      <c r="I5" s="65"/>
      <c r="J5" s="3">
        <f>SUM(D5:I5)</f>
      </c>
      <c r="K5" s="21"/>
      <c r="L5" s="66">
        <f>SUM(J5:K5)/2</f>
      </c>
      <c r="M5" s="66">
        <f>L5*0.5</f>
      </c>
      <c r="N5" s="66">
        <f>O5/5</f>
      </c>
      <c r="O5" s="3">
        <f>'Mid Sem'!O6</f>
      </c>
      <c r="P5" s="3">
        <f>'End Sem'!N6</f>
      </c>
      <c r="Q5" s="3">
        <f>P5*0.3</f>
      </c>
      <c r="R5" s="39">
        <f>SUM(M5,N5,Q5)</f>
      </c>
      <c r="S5" s="67"/>
      <c r="T5" s="2"/>
      <c r="U5" s="56" t="s">
        <v>8</v>
      </c>
      <c r="V5" s="3">
        <v>122507103</v>
      </c>
    </row>
    <row x14ac:dyDescent="0.25" r="6" customHeight="1" ht="20.25">
      <c r="A6" s="14" t="s">
        <v>11</v>
      </c>
      <c r="B6" s="28">
        <v>590029270</v>
      </c>
      <c r="C6" s="28">
        <v>77</v>
      </c>
      <c r="D6" s="65">
        <f>'Quiz 1'!O7</f>
      </c>
      <c r="E6" s="65">
        <f>'Assignment 1'!N7/10</f>
      </c>
      <c r="F6" s="65">
        <f>'Class Test 1'!P7</f>
      </c>
      <c r="G6" s="65"/>
      <c r="H6" s="65"/>
      <c r="I6" s="65"/>
      <c r="J6" s="3">
        <f>SUM(D6:I6)</f>
      </c>
      <c r="K6" s="21"/>
      <c r="L6" s="66">
        <f>SUM(J6:K6)/2</f>
      </c>
      <c r="M6" s="66">
        <f>L6*0.5</f>
      </c>
      <c r="N6" s="66">
        <f>O6/5</f>
      </c>
      <c r="O6" s="3">
        <f>'Mid Sem'!O7</f>
      </c>
      <c r="P6" s="3">
        <f>'End Sem'!N7</f>
      </c>
      <c r="Q6" s="3">
        <f>P6*0.3</f>
      </c>
      <c r="R6" s="39">
        <f>SUM(M6,N6,Q6)</f>
      </c>
      <c r="S6" s="67"/>
      <c r="T6" s="2"/>
      <c r="U6" s="56" t="s">
        <v>12</v>
      </c>
      <c r="V6" s="3">
        <v>25010104938</v>
      </c>
    </row>
    <row x14ac:dyDescent="0.25" r="7" customHeight="1" ht="20.25">
      <c r="A7" s="14" t="s">
        <v>13</v>
      </c>
      <c r="B7" s="28">
        <v>590029204</v>
      </c>
      <c r="C7" s="28">
        <v>77</v>
      </c>
      <c r="D7" s="65">
        <f>'Quiz 1'!O8</f>
      </c>
      <c r="E7" s="64">
        <f>'Assignment 1'!N8/10</f>
      </c>
      <c r="F7" s="65">
        <f>'Class Test 1'!P8</f>
      </c>
      <c r="G7" s="65"/>
      <c r="H7" s="65"/>
      <c r="I7" s="65"/>
      <c r="J7" s="66">
        <f>MEDIAN(_xlfn._xlws.FILTER(AA11:AA69, AA11:AA69&lt;&gt;0))</f>
      </c>
      <c r="K7" s="21"/>
      <c r="L7" s="66">
        <f>SUM(J7:K7)/2</f>
      </c>
      <c r="M7" s="66">
        <f>L7*0.5</f>
      </c>
      <c r="N7" s="66">
        <f>O7/5</f>
      </c>
      <c r="O7" s="3">
        <f>'Mid Sem'!O8</f>
      </c>
      <c r="P7" s="3">
        <f>'End Sem'!N8</f>
      </c>
      <c r="Q7" s="3">
        <f>P7*0.3</f>
      </c>
      <c r="R7" s="39">
        <f>SUM(M7,N7,Q7)</f>
      </c>
      <c r="S7" s="67"/>
      <c r="T7" s="2"/>
      <c r="U7" s="56" t="s">
        <v>14</v>
      </c>
      <c r="V7" s="3">
        <v>25010104918</v>
      </c>
    </row>
    <row x14ac:dyDescent="0.25" r="8" customHeight="1" ht="20.25">
      <c r="A8" s="14" t="s">
        <v>15</v>
      </c>
      <c r="B8" s="28">
        <v>590029109</v>
      </c>
      <c r="C8" s="28">
        <v>77</v>
      </c>
      <c r="D8" s="65">
        <f>'Quiz 1'!O9</f>
      </c>
      <c r="E8" s="65">
        <f>'Assignment 1'!N9/10</f>
      </c>
      <c r="F8" s="65">
        <f>'Class Test 1'!P9</f>
      </c>
      <c r="G8" s="65"/>
      <c r="H8" s="65"/>
      <c r="I8" s="65"/>
      <c r="J8" s="3">
        <f>MEDIAN(_xlfn._xlws.FILTER(AA12:AA70, AA12:AA70&lt;&gt;0))</f>
      </c>
      <c r="K8" s="21"/>
      <c r="L8" s="66">
        <f>SUM(J8:K8)/2</f>
      </c>
      <c r="M8" s="66">
        <f>L8*0.5</f>
      </c>
      <c r="N8" s="66">
        <f>O8/5</f>
      </c>
      <c r="O8" s="3">
        <f>'Mid Sem'!O9</f>
      </c>
      <c r="P8" s="3">
        <f>'End Sem'!N9</f>
      </c>
      <c r="Q8" s="3">
        <f>P8*0.3</f>
      </c>
      <c r="R8" s="39">
        <f>SUM(M8,N8,Q8)</f>
      </c>
      <c r="S8" s="67"/>
      <c r="T8" s="2"/>
      <c r="U8" s="56" t="s">
        <v>16</v>
      </c>
      <c r="V8" s="3">
        <v>25010104943</v>
      </c>
    </row>
    <row x14ac:dyDescent="0.25" r="9" customHeight="1" ht="20.25">
      <c r="A9" s="14" t="s">
        <v>17</v>
      </c>
      <c r="B9" s="28">
        <v>590029070</v>
      </c>
      <c r="C9" s="28">
        <v>77</v>
      </c>
      <c r="D9" s="65">
        <f>'Quiz 1'!O10</f>
      </c>
      <c r="E9" s="64">
        <f>'Assignment 1'!N10/10</f>
      </c>
      <c r="F9" s="65">
        <f>'Class Test 1'!P10</f>
      </c>
      <c r="G9" s="65"/>
      <c r="H9" s="65"/>
      <c r="I9" s="65"/>
      <c r="J9" s="66">
        <f>MEDIAN(_xlfn._xlws.FILTER(AA13:AA71, AA13:AA71&lt;&gt;0))</f>
      </c>
      <c r="K9" s="21"/>
      <c r="L9" s="66">
        <f>SUM(J9:K9)/2</f>
      </c>
      <c r="M9" s="66">
        <f>L9*0.5</f>
      </c>
      <c r="N9" s="66">
        <f>O9/5</f>
      </c>
      <c r="O9" s="3">
        <f>'Mid Sem'!O10</f>
      </c>
      <c r="P9" s="3">
        <f>'End Sem'!N10</f>
      </c>
      <c r="Q9" s="3">
        <f>P9*0.3</f>
      </c>
      <c r="R9" s="39">
        <f>SUM(M9,N9,Q9)</f>
      </c>
      <c r="S9" s="67"/>
      <c r="T9" s="2"/>
      <c r="U9" s="56" t="s">
        <v>18</v>
      </c>
      <c r="V9" s="3">
        <v>25010104926</v>
      </c>
    </row>
    <row x14ac:dyDescent="0.25" r="10" customHeight="1" ht="20.25">
      <c r="A10" s="14" t="s">
        <v>19</v>
      </c>
      <c r="B10" s="28">
        <v>590029157</v>
      </c>
      <c r="C10" s="28">
        <v>77</v>
      </c>
      <c r="D10" s="65">
        <f>'Quiz 1'!O11</f>
      </c>
      <c r="E10" s="64">
        <f>'Assignment 1'!N11/10</f>
      </c>
      <c r="F10" s="65">
        <f>'Class Test 1'!P11</f>
      </c>
      <c r="G10" s="65"/>
      <c r="H10" s="65"/>
      <c r="I10" s="65"/>
      <c r="J10" s="66">
        <f>MEDIAN(_xlfn._xlws.FILTER(AA14:AA72, AA14:AA72&lt;&gt;0))</f>
      </c>
      <c r="K10" s="21"/>
      <c r="L10" s="66">
        <f>SUM(J10:K10)/2</f>
      </c>
      <c r="M10" s="66">
        <f>L10*0.5</f>
      </c>
      <c r="N10" s="66">
        <f>O10/5</f>
      </c>
      <c r="O10" s="3">
        <f>'Mid Sem'!O11</f>
      </c>
      <c r="P10" s="3">
        <f>'End Sem'!N11</f>
      </c>
      <c r="Q10" s="3">
        <f>P10*0.3</f>
      </c>
      <c r="R10" s="39">
        <f>SUM(M10,N10,Q10)</f>
      </c>
      <c r="S10" s="67"/>
      <c r="T10" s="2"/>
      <c r="U10" s="56" t="s">
        <v>20</v>
      </c>
      <c r="V10" s="3">
        <v>25010104890</v>
      </c>
    </row>
    <row x14ac:dyDescent="0.25" r="11" customHeight="1" ht="20.25">
      <c r="A11" s="14" t="s">
        <v>21</v>
      </c>
      <c r="B11" s="28">
        <v>590027157</v>
      </c>
      <c r="C11" s="28">
        <v>77</v>
      </c>
      <c r="D11" s="64">
        <f>'Quiz 1'!O12</f>
      </c>
      <c r="E11" s="64">
        <f>'Assignment 1'!N12/10</f>
      </c>
      <c r="F11" s="65">
        <f>'Class Test 1'!P12</f>
      </c>
      <c r="G11" s="65"/>
      <c r="H11" s="65"/>
      <c r="I11" s="65"/>
      <c r="J11" s="66">
        <f>MEDIAN(_xlfn._xlws.FILTER(AA15:AA73, AA15:AA73&lt;&gt;0))</f>
      </c>
      <c r="K11" s="21"/>
      <c r="L11" s="66">
        <f>SUM(J11:K11)/2</f>
      </c>
      <c r="M11" s="66">
        <f>L11*0.5</f>
      </c>
      <c r="N11" s="3">
        <f>O11/5</f>
      </c>
      <c r="O11" s="3">
        <f>'Mid Sem'!O12</f>
      </c>
      <c r="P11" s="3">
        <f>'End Sem'!N12</f>
      </c>
      <c r="Q11" s="3">
        <f>P11*0.3</f>
      </c>
      <c r="R11" s="39">
        <f>SUM(M11,N11,Q11)</f>
      </c>
      <c r="S11" s="67"/>
      <c r="T11" s="2"/>
      <c r="U11" s="56" t="s">
        <v>22</v>
      </c>
      <c r="V11" s="3">
        <v>25010104880</v>
      </c>
    </row>
    <row x14ac:dyDescent="0.25" r="12" customHeight="1" ht="31.5">
      <c r="A12" s="14" t="s">
        <v>23</v>
      </c>
      <c r="B12" s="28">
        <v>590029274</v>
      </c>
      <c r="C12" s="28">
        <v>77</v>
      </c>
      <c r="D12" s="64">
        <f>'Quiz 1'!O13</f>
      </c>
      <c r="E12" s="64">
        <f>'Assignment 1'!N13/10</f>
      </c>
      <c r="F12" s="65">
        <f>'Class Test 1'!P13</f>
      </c>
      <c r="G12" s="65"/>
      <c r="H12" s="65"/>
      <c r="I12" s="65"/>
      <c r="J12" s="66">
        <f>MEDIAN(_xlfn._xlws.FILTER(AA16:AA74, AA16:AA74&lt;&gt;0))</f>
      </c>
      <c r="K12" s="21"/>
      <c r="L12" s="66">
        <f>SUM(J12:K12)/2</f>
      </c>
      <c r="M12" s="66">
        <f>L12*0.5</f>
      </c>
      <c r="N12" s="66">
        <f>O12/5</f>
      </c>
      <c r="O12" s="3">
        <f>'Mid Sem'!O13</f>
      </c>
      <c r="P12" s="3">
        <f>'End Sem'!N13</f>
      </c>
      <c r="Q12" s="3">
        <f>P12*0.3</f>
      </c>
      <c r="R12" s="39">
        <f>SUM(M12,N12,Q12)</f>
      </c>
      <c r="S12" s="67"/>
      <c r="T12" s="2"/>
      <c r="U12" s="56" t="s">
        <v>24</v>
      </c>
      <c r="V12" s="3">
        <v>25010104928</v>
      </c>
    </row>
    <row x14ac:dyDescent="0.25" r="13" customHeight="1" ht="20.25">
      <c r="A13" s="14" t="s">
        <v>25</v>
      </c>
      <c r="B13" s="28">
        <v>590028572</v>
      </c>
      <c r="C13" s="28">
        <v>77</v>
      </c>
      <c r="D13" s="65">
        <f>'Quiz 1'!O14</f>
      </c>
      <c r="E13" s="64">
        <f>'Assignment 1'!N14/10</f>
      </c>
      <c r="F13" s="65">
        <f>'Class Test 1'!P14</f>
      </c>
      <c r="G13" s="65"/>
      <c r="H13" s="65"/>
      <c r="I13" s="65"/>
      <c r="J13" s="66">
        <f>MEDIAN(_xlfn._xlws.FILTER(AA17:AA75, AA17:AA75&lt;&gt;0))</f>
      </c>
      <c r="K13" s="21"/>
      <c r="L13" s="66">
        <f>SUM(J13:K13)/2</f>
      </c>
      <c r="M13" s="66">
        <f>L13*0.5</f>
      </c>
      <c r="N13" s="66">
        <f>O13/5</f>
      </c>
      <c r="O13" s="3">
        <f>'Mid Sem'!O14</f>
      </c>
      <c r="P13" s="3">
        <f>'End Sem'!N14</f>
      </c>
      <c r="Q13" s="3">
        <f>P13*0.3</f>
      </c>
      <c r="R13" s="39">
        <f>SUM(M13,N13,Q13)</f>
      </c>
      <c r="S13" s="67"/>
      <c r="T13" s="2"/>
      <c r="U13" s="56" t="s">
        <v>26</v>
      </c>
      <c r="V13" s="3">
        <v>25010104903</v>
      </c>
    </row>
    <row x14ac:dyDescent="0.25" r="14" customHeight="1" ht="20.25">
      <c r="A14" s="14" t="s">
        <v>27</v>
      </c>
      <c r="B14" s="28">
        <v>590029230</v>
      </c>
      <c r="C14" s="28">
        <v>77</v>
      </c>
      <c r="D14" s="65">
        <f>'Quiz 1'!O15</f>
      </c>
      <c r="E14" s="65">
        <f>'Assignment 1'!N15/10</f>
      </c>
      <c r="F14" s="65">
        <f>'Class Test 1'!P15</f>
      </c>
      <c r="G14" s="65"/>
      <c r="H14" s="65"/>
      <c r="I14" s="65"/>
      <c r="J14" s="3">
        <f>MEDIAN(_xlfn._xlws.FILTER(AA18:AA76, AA18:AA76&lt;&gt;0))</f>
      </c>
      <c r="K14" s="21"/>
      <c r="L14" s="3">
        <f>SUM(J14:K14)/2</f>
      </c>
      <c r="M14" s="3">
        <f>L14*0.5</f>
      </c>
      <c r="N14" s="3">
        <f>O14/5</f>
      </c>
      <c r="O14" s="3">
        <f>'Mid Sem'!O15</f>
      </c>
      <c r="P14" s="3">
        <f>'End Sem'!N15</f>
      </c>
      <c r="Q14" s="3">
        <f>P14*0.3</f>
      </c>
      <c r="R14" s="38">
        <f>SUM(M14,N14,Q14)</f>
      </c>
      <c r="S14" s="67"/>
      <c r="T14" s="2"/>
      <c r="U14" s="56" t="s">
        <v>28</v>
      </c>
      <c r="V14" s="3">
        <v>25010104910</v>
      </c>
    </row>
    <row x14ac:dyDescent="0.25" r="15" customHeight="1" ht="20.25">
      <c r="A15" s="14" t="s">
        <v>29</v>
      </c>
      <c r="B15" s="28">
        <v>590029169</v>
      </c>
      <c r="C15" s="28">
        <v>77</v>
      </c>
      <c r="D15" s="64">
        <f>'Quiz 1'!O16</f>
      </c>
      <c r="E15" s="64">
        <f>'Assignment 1'!N16/10</f>
      </c>
      <c r="F15" s="65">
        <f>'Class Test 1'!P16</f>
      </c>
      <c r="G15" s="65"/>
      <c r="H15" s="65"/>
      <c r="I15" s="65"/>
      <c r="J15" s="66">
        <f>MEDIAN(_xlfn._xlws.FILTER(AA19:AA77, AA19:AA77&lt;&gt;0))</f>
      </c>
      <c r="K15" s="21"/>
      <c r="L15" s="66">
        <f>SUM(J15:K15)/2</f>
      </c>
      <c r="M15" s="66">
        <f>L15*0.5</f>
      </c>
      <c r="N15" s="66">
        <f>O15/5</f>
      </c>
      <c r="O15" s="3">
        <f>'Mid Sem'!O16</f>
      </c>
      <c r="P15" s="3">
        <f>'End Sem'!N16</f>
      </c>
      <c r="Q15" s="3">
        <f>P15*0.3</f>
      </c>
      <c r="R15" s="39">
        <f>SUM(M15,N15,Q15)</f>
      </c>
      <c r="S15" s="67"/>
      <c r="T15" s="2"/>
      <c r="U15" s="56" t="s">
        <v>30</v>
      </c>
      <c r="V15" s="3">
        <v>25010104944</v>
      </c>
    </row>
    <row x14ac:dyDescent="0.25" r="16" customHeight="1" ht="20.25">
      <c r="A16" s="14" t="s">
        <v>31</v>
      </c>
      <c r="B16" s="28">
        <v>590029112</v>
      </c>
      <c r="C16" s="28">
        <v>77</v>
      </c>
      <c r="D16" s="65">
        <f>'Quiz 1'!O17</f>
      </c>
      <c r="E16" s="64">
        <f>'Assignment 1'!N17/10</f>
      </c>
      <c r="F16" s="65">
        <f>'Class Test 1'!P17</f>
      </c>
      <c r="G16" s="65"/>
      <c r="H16" s="65"/>
      <c r="I16" s="65"/>
      <c r="J16" s="66">
        <f>MEDIAN(_xlfn._xlws.FILTER(AA20:AA78, AA20:AA78&lt;&gt;0))</f>
      </c>
      <c r="K16" s="21"/>
      <c r="L16" s="66">
        <f>SUM(J16:K16)/2</f>
      </c>
      <c r="M16" s="66">
        <f>L16*0.5</f>
      </c>
      <c r="N16" s="3">
        <f>O16/5</f>
      </c>
      <c r="O16" s="3">
        <f>'Mid Sem'!O17</f>
      </c>
      <c r="P16" s="3">
        <f>'End Sem'!N17</f>
      </c>
      <c r="Q16" s="3">
        <f>P16*0.3</f>
      </c>
      <c r="R16" s="39">
        <f>SUM(M16,N16,Q16)</f>
      </c>
      <c r="S16" s="67"/>
      <c r="T16" s="2"/>
      <c r="U16" s="56" t="s">
        <v>32</v>
      </c>
      <c r="V16" s="3">
        <v>25010104876</v>
      </c>
    </row>
    <row x14ac:dyDescent="0.25" r="17" customHeight="1" ht="31.5">
      <c r="A17" s="14" t="s">
        <v>33</v>
      </c>
      <c r="B17" s="28">
        <v>590025556</v>
      </c>
      <c r="C17" s="28">
        <v>77</v>
      </c>
      <c r="D17" s="65">
        <f>'Quiz 1'!O18</f>
      </c>
      <c r="E17" s="65">
        <f>'Assignment 1'!N18/10</f>
      </c>
      <c r="F17" s="65">
        <f>'Class Test 1'!P18</f>
      </c>
      <c r="G17" s="65"/>
      <c r="H17" s="65"/>
      <c r="I17" s="65"/>
      <c r="J17" s="3">
        <f>MEDIAN(_xlfn._xlws.FILTER(AA21:AA79, AA21:AA79&lt;&gt;0))</f>
      </c>
      <c r="K17" s="21"/>
      <c r="L17" s="66">
        <f>SUM(J17:K17)/2</f>
      </c>
      <c r="M17" s="66">
        <f>L17*0.5</f>
      </c>
      <c r="N17" s="66">
        <f>O17/5</f>
      </c>
      <c r="O17" s="3">
        <f>'Mid Sem'!O18</f>
      </c>
      <c r="P17" s="3">
        <f>'End Sem'!N18</f>
      </c>
      <c r="Q17" s="3">
        <f>P17*0.3</f>
      </c>
      <c r="R17" s="39">
        <f>SUM(M17,N17,Q17)</f>
      </c>
      <c r="S17" s="67"/>
      <c r="T17" s="2"/>
      <c r="U17" s="56" t="s">
        <v>34</v>
      </c>
      <c r="V17" s="3">
        <v>122515743</v>
      </c>
    </row>
    <row x14ac:dyDescent="0.25" r="18" customHeight="1" ht="20.25">
      <c r="A18" s="14" t="s">
        <v>35</v>
      </c>
      <c r="B18" s="28">
        <v>590027830</v>
      </c>
      <c r="C18" s="28">
        <v>77</v>
      </c>
      <c r="D18" s="65">
        <f>'Quiz 1'!O19</f>
      </c>
      <c r="E18" s="64">
        <f>'Assignment 1'!N19/10</f>
      </c>
      <c r="F18" s="64">
        <f>'Class Test 1'!P19</f>
      </c>
      <c r="G18" s="65"/>
      <c r="H18" s="65"/>
      <c r="I18" s="65"/>
      <c r="J18" s="66">
        <f>MEDIAN(_xlfn._xlws.FILTER(AA22:AA80, AA22:AA80&lt;&gt;0))</f>
      </c>
      <c r="K18" s="21"/>
      <c r="L18" s="66">
        <f>SUM(J18:K18)/2</f>
      </c>
      <c r="M18" s="66">
        <f>L18*0.5</f>
      </c>
      <c r="N18" s="66">
        <f>O18/5</f>
      </c>
      <c r="O18" s="3">
        <f>'Mid Sem'!O19</f>
      </c>
      <c r="P18" s="3">
        <f>'End Sem'!N19</f>
      </c>
      <c r="Q18" s="3">
        <f>P18*0.3</f>
      </c>
      <c r="R18" s="39">
        <f>SUM(M18,N18,Q18)</f>
      </c>
      <c r="S18" s="12"/>
      <c r="T18" s="2"/>
      <c r="U18" s="56" t="s">
        <v>36</v>
      </c>
      <c r="V18" s="3">
        <v>25010104886</v>
      </c>
    </row>
    <row x14ac:dyDescent="0.25" r="19" customHeight="1" ht="20.25">
      <c r="A19" s="14" t="s">
        <v>37</v>
      </c>
      <c r="B19" s="28">
        <v>590028360</v>
      </c>
      <c r="C19" s="28">
        <v>77</v>
      </c>
      <c r="D19" s="65">
        <f>'Quiz 1'!O20</f>
      </c>
      <c r="E19" s="64">
        <f>'Assignment 1'!N20/10</f>
      </c>
      <c r="F19" s="64">
        <f>'Class Test 1'!P20</f>
      </c>
      <c r="G19" s="65"/>
      <c r="H19" s="65"/>
      <c r="I19" s="65"/>
      <c r="J19" s="3">
        <f>MEDIAN(_xlfn._xlws.FILTER(AA23:AA81, AA23:AA81&lt;&gt;0))</f>
      </c>
      <c r="K19" s="21"/>
      <c r="L19" s="66">
        <f>SUM(J19:K19)/2</f>
      </c>
      <c r="M19" s="66">
        <f>L19*0.5</f>
      </c>
      <c r="N19" s="66">
        <f>O19/5</f>
      </c>
      <c r="O19" s="3">
        <f>'Mid Sem'!O20</f>
      </c>
      <c r="P19" s="3">
        <f>'End Sem'!N20</f>
      </c>
      <c r="Q19" s="3">
        <f>P19*0.3</f>
      </c>
      <c r="R19" s="39">
        <f>SUM(M19,N19,Q19)</f>
      </c>
      <c r="S19" s="12"/>
      <c r="T19" s="2"/>
      <c r="U19" s="56" t="s">
        <v>38</v>
      </c>
      <c r="V19" s="3">
        <v>25010104881</v>
      </c>
    </row>
    <row x14ac:dyDescent="0.25" r="20" customHeight="1" ht="20.25">
      <c r="A20" s="14" t="s">
        <v>39</v>
      </c>
      <c r="B20" s="28">
        <v>590029237</v>
      </c>
      <c r="C20" s="28">
        <v>77</v>
      </c>
      <c r="D20" s="65">
        <f>'Quiz 1'!O21</f>
      </c>
      <c r="E20" s="64">
        <f>'Assignment 1'!N21/10</f>
      </c>
      <c r="F20" s="64">
        <f>'Class Test 1'!P21</f>
      </c>
      <c r="G20" s="65"/>
      <c r="H20" s="65"/>
      <c r="I20" s="65"/>
      <c r="J20" s="66">
        <f>MEDIAN(_xlfn._xlws.FILTER(AA24:AA82, AA24:AA82&lt;&gt;0))</f>
      </c>
      <c r="K20" s="21"/>
      <c r="L20" s="66">
        <f>SUM(J20:K20)/2</f>
      </c>
      <c r="M20" s="66">
        <f>L20*0.5</f>
      </c>
      <c r="N20" s="66">
        <f>O20/5</f>
      </c>
      <c r="O20" s="3">
        <f>'Mid Sem'!O21</f>
      </c>
      <c r="P20" s="3">
        <f>'End Sem'!N21</f>
      </c>
      <c r="Q20" s="3">
        <f>P20*0.3</f>
      </c>
      <c r="R20" s="38">
        <f>SUM(M20,N20,Q20)</f>
      </c>
      <c r="S20" s="12"/>
      <c r="T20" s="2"/>
      <c r="U20" s="56" t="s">
        <v>40</v>
      </c>
      <c r="V20" s="3">
        <v>25010104909</v>
      </c>
    </row>
    <row x14ac:dyDescent="0.25" r="21" customHeight="1" ht="20.25">
      <c r="A21" s="14" t="s">
        <v>41</v>
      </c>
      <c r="B21" s="28">
        <v>590029079</v>
      </c>
      <c r="C21" s="28">
        <v>77</v>
      </c>
      <c r="D21" s="65">
        <f>'Quiz 1'!O22</f>
      </c>
      <c r="E21" s="65">
        <f>'Assignment 1'!N22/10</f>
      </c>
      <c r="F21" s="65">
        <f>'Class Test 1'!P22</f>
      </c>
      <c r="G21" s="12"/>
      <c r="H21" s="12"/>
      <c r="I21" s="12"/>
      <c r="J21" s="3">
        <f>MEDIAN(_xlfn._xlws.FILTER(AA25:AA83, AA25:AA83&lt;&gt;0))</f>
      </c>
      <c r="K21" s="21"/>
      <c r="L21" s="3">
        <f>SUM(J21:K21)/2</f>
      </c>
      <c r="M21" s="3">
        <f>L21*0.5</f>
      </c>
      <c r="N21" s="66">
        <f>O21/5</f>
      </c>
      <c r="O21" s="3">
        <f>'Mid Sem'!O22</f>
      </c>
      <c r="P21" s="3">
        <f>'End Sem'!N22</f>
      </c>
      <c r="Q21" s="3">
        <f>P21*0.3</f>
      </c>
      <c r="R21" s="39">
        <f>SUM(M21,N21,Q21)</f>
      </c>
      <c r="S21" s="12"/>
      <c r="T21" s="2"/>
      <c r="U21" s="56" t="s">
        <v>42</v>
      </c>
      <c r="V21" s="3">
        <v>25010104906</v>
      </c>
    </row>
    <row x14ac:dyDescent="0.25" r="22" customHeight="1" ht="20.25">
      <c r="A22" s="14" t="s">
        <v>43</v>
      </c>
      <c r="B22" s="28">
        <v>590029145</v>
      </c>
      <c r="C22" s="28">
        <v>77</v>
      </c>
      <c r="D22" s="65">
        <f>'Quiz 1'!O23</f>
      </c>
      <c r="E22" s="64">
        <f>'Assignment 1'!N23/10</f>
      </c>
      <c r="F22" s="65">
        <f>'Class Test 1'!P23</f>
      </c>
      <c r="G22" s="12"/>
      <c r="H22" s="12"/>
      <c r="I22" s="12"/>
      <c r="J22" s="66">
        <f>MEDIAN(_xlfn._xlws.FILTER(AA26:AA84, AA26:AA84&lt;&gt;0))</f>
      </c>
      <c r="K22" s="21"/>
      <c r="L22" s="66">
        <f>SUM(J22:K22)/2</f>
      </c>
      <c r="M22" s="66">
        <f>L22*0.5</f>
      </c>
      <c r="N22" s="66">
        <f>O22/5</f>
      </c>
      <c r="O22" s="3">
        <f>'Mid Sem'!O23</f>
      </c>
      <c r="P22" s="3">
        <f>'End Sem'!N23</f>
      </c>
      <c r="Q22" s="3">
        <f>P22*0.3</f>
      </c>
      <c r="R22" s="39">
        <f>SUM(M22,N22,Q22)</f>
      </c>
      <c r="S22" s="12"/>
      <c r="T22" s="2"/>
      <c r="U22" s="56" t="s">
        <v>44</v>
      </c>
      <c r="V22" s="3">
        <v>25010104892</v>
      </c>
    </row>
    <row x14ac:dyDescent="0.25" r="23" customHeight="1" ht="20.25">
      <c r="A23" s="14" t="s">
        <v>45</v>
      </c>
      <c r="B23" s="28">
        <v>590029209</v>
      </c>
      <c r="C23" s="28">
        <v>77</v>
      </c>
      <c r="D23" s="65">
        <f>'Quiz 1'!O24</f>
      </c>
      <c r="E23" s="65">
        <f>'Assignment 1'!N24/10</f>
      </c>
      <c r="F23" s="65">
        <f>'Class Test 1'!P24</f>
      </c>
      <c r="G23" s="12"/>
      <c r="H23" s="12"/>
      <c r="I23" s="12"/>
      <c r="J23" s="3">
        <f>MEDIAN(_xlfn._xlws.FILTER(AA27:AA85, AA27:AA85&lt;&gt;0))</f>
      </c>
      <c r="K23" s="21"/>
      <c r="L23" s="66">
        <f>SUM(J23:K23)/2</f>
      </c>
      <c r="M23" s="66">
        <f>L23*0.5</f>
      </c>
      <c r="N23" s="66">
        <f>O23/5</f>
      </c>
      <c r="O23" s="3">
        <f>'Mid Sem'!O24</f>
      </c>
      <c r="P23" s="3">
        <f>'End Sem'!N24</f>
      </c>
      <c r="Q23" s="3">
        <f>P23*0.3</f>
      </c>
      <c r="R23" s="39">
        <f>SUM(M23,N23,Q23)</f>
      </c>
      <c r="S23" s="12"/>
      <c r="T23" s="2"/>
      <c r="U23" s="56" t="s">
        <v>46</v>
      </c>
      <c r="V23" s="3">
        <v>25010104887</v>
      </c>
    </row>
    <row x14ac:dyDescent="0.25" r="24" customHeight="1" ht="18.75">
      <c r="A24" s="14" t="s">
        <v>47</v>
      </c>
      <c r="B24" s="28">
        <v>590027268</v>
      </c>
      <c r="C24" s="28">
        <v>77</v>
      </c>
      <c r="D24" s="65">
        <f>'Quiz 1'!O25</f>
      </c>
      <c r="E24" s="65">
        <f>'Assignment 1'!N25/10</f>
      </c>
      <c r="F24" s="64">
        <f>'Class Test 1'!P25</f>
      </c>
      <c r="G24" s="12"/>
      <c r="H24" s="12"/>
      <c r="I24" s="12"/>
      <c r="J24" s="66">
        <f>MEDIAN(_xlfn._xlws.FILTER(AA28:AA86, AA28:AA86&lt;&gt;0))</f>
      </c>
      <c r="K24" s="21"/>
      <c r="L24" s="66">
        <f>SUM(J24:K24)/2</f>
      </c>
      <c r="M24" s="66">
        <f>L24*0.5</f>
      </c>
      <c r="N24" s="66">
        <f>O24/5</f>
      </c>
      <c r="O24" s="3">
        <f>'Mid Sem'!O25</f>
      </c>
      <c r="P24" s="3">
        <f>'End Sem'!N25</f>
      </c>
      <c r="Q24" s="3">
        <f>P24*0.3</f>
      </c>
      <c r="R24" s="39">
        <f>SUM(M24,N24,Q24)</f>
      </c>
      <c r="S24" s="68"/>
      <c r="T24" s="2"/>
      <c r="U24" s="56" t="s">
        <v>48</v>
      </c>
      <c r="V24" s="3">
        <v>25010104933</v>
      </c>
    </row>
    <row x14ac:dyDescent="0.25" r="25" customHeight="1" ht="18.75">
      <c r="A25" s="14" t="s">
        <v>50</v>
      </c>
      <c r="B25" s="28">
        <v>590029227</v>
      </c>
      <c r="C25" s="28">
        <v>77</v>
      </c>
      <c r="D25" s="65">
        <f>'Quiz 1'!O26</f>
      </c>
      <c r="E25" s="64">
        <f>'Assignment 1'!N26/10</f>
      </c>
      <c r="F25" s="64">
        <f>'Class Test 1'!P26</f>
      </c>
      <c r="G25" s="12"/>
      <c r="H25" s="12"/>
      <c r="I25" s="12"/>
      <c r="J25" s="66">
        <f>MEDIAN(_xlfn._xlws.FILTER(AA29:AA87, AA29:AA87&lt;&gt;0))</f>
      </c>
      <c r="K25" s="21"/>
      <c r="L25" s="66">
        <f>SUM(J25:K25)/2</f>
      </c>
      <c r="M25" s="66">
        <f>L25*0.5</f>
      </c>
      <c r="N25" s="3">
        <f>O25/5</f>
      </c>
      <c r="O25" s="3">
        <f>'Mid Sem'!O26</f>
      </c>
      <c r="P25" s="3">
        <f>'End Sem'!N26</f>
      </c>
      <c r="Q25" s="3">
        <f>P25*0.3</f>
      </c>
      <c r="R25" s="39">
        <f>SUM(M25,N25,Q25)</f>
      </c>
      <c r="S25" s="68"/>
      <c r="T25" s="2"/>
      <c r="U25" s="56" t="s">
        <v>51</v>
      </c>
      <c r="V25" s="3">
        <v>25010104900</v>
      </c>
    </row>
    <row x14ac:dyDescent="0.25" r="26" customHeight="1" ht="18.75">
      <c r="A26" s="14" t="s">
        <v>52</v>
      </c>
      <c r="B26" s="28">
        <v>590029241</v>
      </c>
      <c r="C26" s="28">
        <v>77</v>
      </c>
      <c r="D26" s="64">
        <f>'Quiz 1'!O27</f>
      </c>
      <c r="E26" s="64">
        <f>'Assignment 1'!N27/10</f>
      </c>
      <c r="F26" s="65">
        <f>'Class Test 1'!P27</f>
      </c>
      <c r="G26" s="12"/>
      <c r="H26" s="12"/>
      <c r="I26" s="12"/>
      <c r="J26" s="66">
        <f>MEDIAN(_xlfn._xlws.FILTER(AA30:AA88, AA30:AA88&lt;&gt;0))</f>
      </c>
      <c r="K26" s="21"/>
      <c r="L26" s="66">
        <f>SUM(J26:K26)/2</f>
      </c>
      <c r="M26" s="66">
        <f>L26*0.5</f>
      </c>
      <c r="N26" s="66">
        <f>O26/5</f>
      </c>
      <c r="O26" s="3">
        <f>'Mid Sem'!O27</f>
      </c>
      <c r="P26" s="3">
        <f>'End Sem'!N27</f>
      </c>
      <c r="Q26" s="3">
        <f>P26*0.3</f>
      </c>
      <c r="R26" s="39">
        <f>SUM(M26,N26,Q26)</f>
      </c>
      <c r="S26" s="68"/>
      <c r="T26" s="2"/>
      <c r="U26" s="56" t="s">
        <v>53</v>
      </c>
      <c r="V26" s="3">
        <v>25010104915</v>
      </c>
    </row>
    <row x14ac:dyDescent="0.25" r="27" customHeight="1" ht="18.75">
      <c r="A27" s="14" t="s">
        <v>54</v>
      </c>
      <c r="B27" s="28">
        <v>590023855</v>
      </c>
      <c r="C27" s="28">
        <v>77</v>
      </c>
      <c r="D27" s="65">
        <f>'Quiz 1'!O28</f>
      </c>
      <c r="E27" s="65">
        <f>'Assignment 1'!N28/10</f>
      </c>
      <c r="F27" s="64">
        <f>'Class Test 1'!P28</f>
      </c>
      <c r="G27" s="12"/>
      <c r="H27" s="12"/>
      <c r="I27" s="12"/>
      <c r="J27" s="66">
        <f>MEDIAN(_xlfn._xlws.FILTER(AA31:AA89, AA31:AA89&lt;&gt;0))</f>
      </c>
      <c r="K27" s="21"/>
      <c r="L27" s="66">
        <f>SUM(J27:K27)/2</f>
      </c>
      <c r="M27" s="66">
        <f>L27*0.5</f>
      </c>
      <c r="N27" s="66">
        <f>O27/5</f>
      </c>
      <c r="O27" s="3">
        <f>'Mid Sem'!O28</f>
      </c>
      <c r="P27" s="3">
        <f>'End Sem'!N28</f>
      </c>
      <c r="Q27" s="3">
        <f>P27*0.3</f>
      </c>
      <c r="R27" s="39">
        <f>SUM(M27,N27,Q27)</f>
      </c>
      <c r="S27" s="68"/>
      <c r="T27" s="2"/>
      <c r="U27" s="56" t="s">
        <v>55</v>
      </c>
      <c r="V27" s="3">
        <v>25010104868</v>
      </c>
    </row>
    <row x14ac:dyDescent="0.25" r="28" customHeight="1" ht="18.75">
      <c r="A28" s="14" t="s">
        <v>56</v>
      </c>
      <c r="B28" s="28">
        <v>590029215</v>
      </c>
      <c r="C28" s="28">
        <v>77</v>
      </c>
      <c r="D28" s="65">
        <f>'Quiz 1'!O29</f>
      </c>
      <c r="E28" s="65">
        <f>'Assignment 1'!N29/10</f>
      </c>
      <c r="F28" s="64">
        <f>'Class Test 1'!P29</f>
      </c>
      <c r="G28" s="12"/>
      <c r="H28" s="12"/>
      <c r="I28" s="12"/>
      <c r="J28" s="66">
        <f>MEDIAN(_xlfn._xlws.FILTER(AA32:AA90, AA32:AA90&lt;&gt;0))</f>
      </c>
      <c r="K28" s="21"/>
      <c r="L28" s="66">
        <f>SUM(J28:K28)/2</f>
      </c>
      <c r="M28" s="66">
        <f>L28*0.5</f>
      </c>
      <c r="N28" s="66">
        <f>O28/5</f>
      </c>
      <c r="O28" s="3">
        <f>'Mid Sem'!O29</f>
      </c>
      <c r="P28" s="3">
        <f>'End Sem'!N29</f>
      </c>
      <c r="Q28" s="3">
        <f>P28*0.3</f>
      </c>
      <c r="R28" s="39">
        <f>SUM(M28,N28,Q28)</f>
      </c>
      <c r="S28" s="68"/>
      <c r="T28" s="2"/>
      <c r="U28" s="56" t="s">
        <v>57</v>
      </c>
      <c r="V28" s="3">
        <v>25010104884</v>
      </c>
    </row>
    <row x14ac:dyDescent="0.25" r="29" customHeight="1" ht="18.75">
      <c r="A29" s="14" t="s">
        <v>58</v>
      </c>
      <c r="B29" s="28">
        <v>590029111</v>
      </c>
      <c r="C29" s="28">
        <v>77</v>
      </c>
      <c r="D29" s="64">
        <f>'Quiz 1'!O30</f>
      </c>
      <c r="E29" s="64">
        <f>'Assignment 1'!N30/10</f>
      </c>
      <c r="F29" s="65">
        <f>'Class Test 1'!P30</f>
      </c>
      <c r="G29" s="12"/>
      <c r="H29" s="12"/>
      <c r="I29" s="12"/>
      <c r="J29" s="66">
        <f>MEDIAN(_xlfn._xlws.FILTER(AA33:AA91, AA33:AA91&lt;&gt;0))</f>
      </c>
      <c r="K29" s="21"/>
      <c r="L29" s="66">
        <f>SUM(J29:K29)/2</f>
      </c>
      <c r="M29" s="66">
        <f>L29*0.5</f>
      </c>
      <c r="N29" s="66">
        <f>O29/5</f>
      </c>
      <c r="O29" s="3">
        <f>'Mid Sem'!O30</f>
      </c>
      <c r="P29" s="3">
        <f>'End Sem'!N30</f>
      </c>
      <c r="Q29" s="3">
        <f>P29*0.3</f>
      </c>
      <c r="R29" s="39">
        <f>SUM(M29,N29,Q29)</f>
      </c>
      <c r="S29" s="68"/>
      <c r="T29" s="2"/>
      <c r="U29" s="56" t="s">
        <v>59</v>
      </c>
      <c r="V29" s="3">
        <v>25010104888</v>
      </c>
    </row>
    <row x14ac:dyDescent="0.25" r="30" customHeight="1" ht="18.75">
      <c r="A30" s="14" t="s">
        <v>60</v>
      </c>
      <c r="B30" s="28">
        <v>590028683</v>
      </c>
      <c r="C30" s="28">
        <v>77</v>
      </c>
      <c r="D30" s="65">
        <f>'Quiz 1'!O31</f>
      </c>
      <c r="E30" s="65">
        <f>'Assignment 1'!N31/10</f>
      </c>
      <c r="F30" s="65">
        <f>'Class Test 1'!P31</f>
      </c>
      <c r="G30" s="12"/>
      <c r="H30" s="12"/>
      <c r="I30" s="12"/>
      <c r="J30" s="3">
        <f>MEDIAN(_xlfn._xlws.FILTER(AA34:AA92, AA34:AA92&lt;&gt;0))</f>
      </c>
      <c r="K30" s="21"/>
      <c r="L30" s="66">
        <f>SUM(J30:K30)/2</f>
      </c>
      <c r="M30" s="66">
        <f>L30*0.5</f>
      </c>
      <c r="N30" s="66">
        <f>O30/5</f>
      </c>
      <c r="O30" s="3">
        <f>'Mid Sem'!O31</f>
      </c>
      <c r="P30" s="3">
        <f>'End Sem'!N31</f>
      </c>
      <c r="Q30" s="3">
        <f>P30*0.3</f>
      </c>
      <c r="R30" s="39">
        <f>SUM(M30,N30,Q30)</f>
      </c>
      <c r="S30" s="68"/>
      <c r="T30" s="2"/>
      <c r="U30" s="56" t="s">
        <v>61</v>
      </c>
      <c r="V30" s="3">
        <v>25010104936</v>
      </c>
    </row>
    <row x14ac:dyDescent="0.25" r="31" customHeight="1" ht="18.75">
      <c r="A31" s="14" t="s">
        <v>62</v>
      </c>
      <c r="B31" s="28">
        <v>590029121</v>
      </c>
      <c r="C31" s="28">
        <v>77</v>
      </c>
      <c r="D31" s="64">
        <f>'Quiz 1'!O32</f>
      </c>
      <c r="E31" s="64">
        <f>'Assignment 1'!N32/10</f>
      </c>
      <c r="F31" s="64">
        <f>'Class Test 1'!P32</f>
      </c>
      <c r="G31" s="12"/>
      <c r="H31" s="12"/>
      <c r="I31" s="12"/>
      <c r="J31" s="66">
        <f>MEDIAN(_xlfn._xlws.FILTER(AA35:AA93, AA35:AA93&lt;&gt;0))</f>
      </c>
      <c r="K31" s="21"/>
      <c r="L31" s="66">
        <f>SUM(J31:K31)/2</f>
      </c>
      <c r="M31" s="66">
        <f>L31*0.5</f>
      </c>
      <c r="N31" s="66">
        <f>O31/5</f>
      </c>
      <c r="O31" s="3">
        <f>'Mid Sem'!O32</f>
      </c>
      <c r="P31" s="3">
        <f>'End Sem'!N32</f>
      </c>
      <c r="Q31" s="3">
        <f>P31*0.3</f>
      </c>
      <c r="R31" s="39">
        <f>SUM(M31,N31,Q31)</f>
      </c>
      <c r="S31" s="68"/>
      <c r="T31" s="2"/>
      <c r="U31" s="56" t="s">
        <v>63</v>
      </c>
      <c r="V31" s="3">
        <v>25010104875</v>
      </c>
    </row>
    <row x14ac:dyDescent="0.25" r="32" customHeight="1" ht="18.75">
      <c r="A32" s="14" t="s">
        <v>64</v>
      </c>
      <c r="B32" s="28">
        <v>590029048</v>
      </c>
      <c r="C32" s="28">
        <v>77</v>
      </c>
      <c r="D32" s="65">
        <f>'Quiz 1'!O33</f>
      </c>
      <c r="E32" s="64">
        <f>'Assignment 1'!N33/10</f>
      </c>
      <c r="F32" s="65">
        <f>'Class Test 1'!P33</f>
      </c>
      <c r="G32" s="12"/>
      <c r="H32" s="12"/>
      <c r="I32" s="12"/>
      <c r="J32" s="66">
        <f>MEDIAN(_xlfn._xlws.FILTER(AA36:AA94, AA36:AA94&lt;&gt;0))</f>
      </c>
      <c r="K32" s="21"/>
      <c r="L32" s="66">
        <f>SUM(J32:K32)/2</f>
      </c>
      <c r="M32" s="66">
        <f>L32*0.5</f>
      </c>
      <c r="N32" s="66">
        <f>O32/5</f>
      </c>
      <c r="O32" s="3">
        <f>'Mid Sem'!O33</f>
      </c>
      <c r="P32" s="3">
        <f>'End Sem'!N33</f>
      </c>
      <c r="Q32" s="3">
        <f>P32*0.3</f>
      </c>
      <c r="R32" s="39">
        <f>SUM(M32,N32,Q32)</f>
      </c>
      <c r="S32" s="68"/>
      <c r="T32" s="2"/>
      <c r="U32" s="56" t="s">
        <v>65</v>
      </c>
      <c r="V32" s="3">
        <v>25010104925</v>
      </c>
    </row>
    <row x14ac:dyDescent="0.25" r="33" customHeight="1" ht="18.75">
      <c r="A33" s="14" t="s">
        <v>66</v>
      </c>
      <c r="B33" s="28">
        <v>590029184</v>
      </c>
      <c r="C33" s="28">
        <v>77</v>
      </c>
      <c r="D33" s="65">
        <f>'Quiz 1'!O34</f>
      </c>
      <c r="E33" s="65">
        <f>'Assignment 1'!N34/10</f>
      </c>
      <c r="F33" s="64">
        <f>'Class Test 1'!P34</f>
      </c>
      <c r="G33" s="12"/>
      <c r="H33" s="12"/>
      <c r="I33" s="12"/>
      <c r="J33" s="66">
        <f>MEDIAN(_xlfn._xlws.FILTER(AA37:AA95, AA37:AA95&lt;&gt;0))</f>
      </c>
      <c r="K33" s="21"/>
      <c r="L33" s="66">
        <f>SUM(J33:K33)/2</f>
      </c>
      <c r="M33" s="66">
        <f>L33*0.5</f>
      </c>
      <c r="N33" s="3">
        <f>O33/5</f>
      </c>
      <c r="O33" s="3">
        <f>'Mid Sem'!O34</f>
      </c>
      <c r="P33" s="3">
        <f>'End Sem'!N34</f>
      </c>
      <c r="Q33" s="3">
        <f>P33*0.3</f>
      </c>
      <c r="R33" s="39">
        <f>SUM(M33,N33,Q33)</f>
      </c>
      <c r="S33" s="68"/>
      <c r="T33" s="2"/>
      <c r="U33" s="56" t="s">
        <v>67</v>
      </c>
      <c r="V33" s="3">
        <v>25010104879</v>
      </c>
    </row>
    <row x14ac:dyDescent="0.25" r="34" customHeight="1" ht="18.75">
      <c r="A34" s="14" t="s">
        <v>68</v>
      </c>
      <c r="B34" s="28">
        <v>590029330</v>
      </c>
      <c r="C34" s="28">
        <v>78</v>
      </c>
      <c r="D34" s="65">
        <f>'Quiz 1'!O35</f>
      </c>
      <c r="E34" s="64">
        <f>'Assignment 1'!N35/10</f>
      </c>
      <c r="F34" s="65">
        <f>'Class Test 1'!P35</f>
      </c>
      <c r="G34" s="12"/>
      <c r="H34" s="12"/>
      <c r="I34" s="12"/>
      <c r="J34" s="66">
        <f>MEDIAN(_xlfn._xlws.FILTER(AA38:AA96, AA38:AA96&lt;&gt;0))</f>
      </c>
      <c r="K34" s="21"/>
      <c r="L34" s="66">
        <f>SUM(J34:K34)/2</f>
      </c>
      <c r="M34" s="66">
        <f>L34*0.5</f>
      </c>
      <c r="N34" s="66">
        <f>O34/5</f>
      </c>
      <c r="O34" s="3">
        <f>'Mid Sem'!O35</f>
      </c>
      <c r="P34" s="3">
        <f>'End Sem'!N35</f>
      </c>
      <c r="Q34" s="3">
        <f>P34*0.3</f>
      </c>
      <c r="R34" s="39">
        <f>SUM(M34,N34,Q34)</f>
      </c>
      <c r="S34" s="68"/>
      <c r="T34" s="2"/>
      <c r="U34" s="56" t="s">
        <v>69</v>
      </c>
      <c r="V34" s="3">
        <v>25010104997</v>
      </c>
    </row>
    <row x14ac:dyDescent="0.25" r="35" customHeight="1" ht="18.75">
      <c r="A35" s="14" t="s">
        <v>71</v>
      </c>
      <c r="B35" s="28">
        <v>590027630</v>
      </c>
      <c r="C35" s="28">
        <v>78</v>
      </c>
      <c r="D35" s="65">
        <f>'Quiz 1'!O36</f>
      </c>
      <c r="E35" s="64">
        <f>'Assignment 1'!N36/10</f>
      </c>
      <c r="F35" s="65">
        <f>'Class Test 1'!P36</f>
      </c>
      <c r="G35" s="12"/>
      <c r="H35" s="12"/>
      <c r="I35" s="12"/>
      <c r="J35" s="66">
        <f>MEDIAN(_xlfn._xlws.FILTER(AA39:AA97, AA39:AA97&lt;&gt;0))</f>
      </c>
      <c r="K35" s="21"/>
      <c r="L35" s="66">
        <f>SUM(J35:K35)/2</f>
      </c>
      <c r="M35" s="66">
        <f>L35*0.5</f>
      </c>
      <c r="N35" s="3">
        <f>O35/5</f>
      </c>
      <c r="O35" s="3">
        <f>'Mid Sem'!O36</f>
      </c>
      <c r="P35" s="3">
        <f>'End Sem'!N36</f>
      </c>
      <c r="Q35" s="3">
        <f>P35*0.3</f>
      </c>
      <c r="R35" s="39">
        <f>SUM(M35,N35,Q35)</f>
      </c>
      <c r="S35" s="68"/>
      <c r="T35" s="2"/>
      <c r="U35" s="56" t="s">
        <v>72</v>
      </c>
      <c r="V35" s="3">
        <v>25010105001</v>
      </c>
    </row>
    <row x14ac:dyDescent="0.25" r="36" customHeight="1" ht="18.75">
      <c r="A36" s="14" t="s">
        <v>73</v>
      </c>
      <c r="B36" s="28">
        <v>590029219</v>
      </c>
      <c r="C36" s="28">
        <v>78</v>
      </c>
      <c r="D36" s="65">
        <f>'Quiz 1'!O37</f>
      </c>
      <c r="E36" s="64">
        <f>'Assignment 1'!N37/10</f>
      </c>
      <c r="F36" s="65">
        <f>'Class Test 1'!P37</f>
      </c>
      <c r="G36" s="12"/>
      <c r="H36" s="12"/>
      <c r="I36" s="12"/>
      <c r="J36" s="66">
        <f>MEDIAN(_xlfn._xlws.FILTER(AA40:AA98, AA40:AA98&lt;&gt;0))</f>
      </c>
      <c r="K36" s="21"/>
      <c r="L36" s="66">
        <f>SUM(J36:K36)/2</f>
      </c>
      <c r="M36" s="66">
        <f>L36*0.5</f>
      </c>
      <c r="N36" s="66">
        <f>O36/5</f>
      </c>
      <c r="O36" s="3">
        <f>'Mid Sem'!O37</f>
      </c>
      <c r="P36" s="3">
        <f>'End Sem'!N37</f>
      </c>
      <c r="Q36" s="3">
        <f>P36*0.3</f>
      </c>
      <c r="R36" s="39">
        <f>SUM(M36,N36,Q36)</f>
      </c>
      <c r="S36" s="68"/>
      <c r="T36" s="2"/>
      <c r="U36" s="56" t="s">
        <v>74</v>
      </c>
      <c r="V36" s="3">
        <v>25010104956</v>
      </c>
    </row>
    <row x14ac:dyDescent="0.25" r="37" customHeight="1" ht="18.75">
      <c r="A37" s="14" t="s">
        <v>75</v>
      </c>
      <c r="B37" s="28">
        <v>590028933</v>
      </c>
      <c r="C37" s="28">
        <v>78</v>
      </c>
      <c r="D37" s="65">
        <f>'Quiz 1'!O38</f>
      </c>
      <c r="E37" s="65">
        <f>'Assignment 1'!N38/10</f>
      </c>
      <c r="F37" s="65">
        <f>'Class Test 1'!P38</f>
      </c>
      <c r="G37" s="12"/>
      <c r="H37" s="12"/>
      <c r="I37" s="12"/>
      <c r="J37" s="3">
        <f>MEDIAN(_xlfn._xlws.FILTER(AA41:AA99, AA41:AA99&lt;&gt;0))</f>
      </c>
      <c r="K37" s="21"/>
      <c r="L37" s="66">
        <f>SUM(J37:K37)/2</f>
      </c>
      <c r="M37" s="66">
        <f>L37*0.5</f>
      </c>
      <c r="N37" s="66">
        <f>O37/5</f>
      </c>
      <c r="O37" s="3">
        <f>'Mid Sem'!O38</f>
      </c>
      <c r="P37" s="3">
        <f>'End Sem'!N38</f>
      </c>
      <c r="Q37" s="3">
        <f>P37*0.3</f>
      </c>
      <c r="R37" s="39">
        <f>SUM(M37,N37,Q37)</f>
      </c>
      <c r="S37" s="68"/>
      <c r="T37" s="2"/>
      <c r="U37" s="56" t="s">
        <v>76</v>
      </c>
      <c r="V37" s="3">
        <v>25010104948</v>
      </c>
    </row>
    <row x14ac:dyDescent="0.25" r="38" customHeight="1" ht="18.75">
      <c r="A38" s="14" t="s">
        <v>77</v>
      </c>
      <c r="B38" s="28">
        <v>590027859</v>
      </c>
      <c r="C38" s="28">
        <v>78</v>
      </c>
      <c r="D38" s="65">
        <f>'Quiz 1'!O39</f>
      </c>
      <c r="E38" s="64">
        <f>'Assignment 1'!N39/10</f>
      </c>
      <c r="F38" s="65">
        <f>'Class Test 1'!P39</f>
      </c>
      <c r="G38" s="12"/>
      <c r="H38" s="12"/>
      <c r="I38" s="12"/>
      <c r="J38" s="66">
        <f>MEDIAN(_xlfn._xlws.FILTER(AA42:AA100, AA42:AA100&lt;&gt;0))</f>
      </c>
      <c r="K38" s="21"/>
      <c r="L38" s="66">
        <f>SUM(J38:K38)/2</f>
      </c>
      <c r="M38" s="66">
        <f>L38*0.5</f>
      </c>
      <c r="N38" s="66">
        <f>O38/5</f>
      </c>
      <c r="O38" s="3">
        <f>'Mid Sem'!O39</f>
      </c>
      <c r="P38" s="3">
        <f>'End Sem'!N39</f>
      </c>
      <c r="Q38" s="3">
        <f>P38*0.3</f>
      </c>
      <c r="R38" s="39">
        <f>SUM(M38,N38,Q38)</f>
      </c>
      <c r="S38" s="12"/>
      <c r="T38" s="2"/>
      <c r="U38" s="56" t="s">
        <v>78</v>
      </c>
      <c r="V38" s="3">
        <v>25010104974</v>
      </c>
    </row>
    <row x14ac:dyDescent="0.25" r="39" customHeight="1" ht="18.75">
      <c r="A39" s="14" t="s">
        <v>79</v>
      </c>
      <c r="B39" s="28">
        <v>590028682</v>
      </c>
      <c r="C39" s="28">
        <v>78</v>
      </c>
      <c r="D39" s="64">
        <f>'Quiz 1'!O40</f>
      </c>
      <c r="E39" s="65">
        <f>'Assignment 1'!N40/10</f>
      </c>
      <c r="F39" s="64">
        <f>'Class Test 1'!P40</f>
      </c>
      <c r="G39" s="12"/>
      <c r="H39" s="12"/>
      <c r="I39" s="12"/>
      <c r="J39" s="3">
        <f>MEDIAN(_xlfn._xlws.FILTER(AA43:AA101, AA43:AA101&lt;&gt;0))</f>
      </c>
      <c r="K39" s="21"/>
      <c r="L39" s="3">
        <f>SUM(J39:K39)/2</f>
      </c>
      <c r="M39" s="3">
        <f>L39*0.5</f>
      </c>
      <c r="N39" s="66">
        <f>O39/5</f>
      </c>
      <c r="O39" s="3">
        <f>'Mid Sem'!O40</f>
      </c>
      <c r="P39" s="3">
        <f>'End Sem'!N40</f>
      </c>
      <c r="Q39" s="3">
        <f>P39*0.3</f>
      </c>
      <c r="R39" s="39">
        <f>SUM(M39,N39,Q39)</f>
      </c>
      <c r="S39" s="12"/>
      <c r="T39" s="2"/>
      <c r="U39" s="56" t="s">
        <v>80</v>
      </c>
      <c r="V39" s="3">
        <v>25010104995</v>
      </c>
    </row>
    <row x14ac:dyDescent="0.25" r="40" customHeight="1" ht="18.75">
      <c r="A40" s="14" t="s">
        <v>81</v>
      </c>
      <c r="B40" s="28">
        <v>590023917</v>
      </c>
      <c r="C40" s="28">
        <v>78</v>
      </c>
      <c r="D40" s="65">
        <f>'Quiz 1'!O41</f>
      </c>
      <c r="E40" s="65">
        <f>'Assignment 1'!N41/10</f>
      </c>
      <c r="F40" s="65">
        <f>'Class Test 1'!P41</f>
      </c>
      <c r="G40" s="12"/>
      <c r="H40" s="12"/>
      <c r="I40" s="12"/>
      <c r="J40" s="3">
        <f>MEDIAN(_xlfn._xlws.FILTER(AA44:AA102, AA44:AA102&lt;&gt;0))</f>
      </c>
      <c r="K40" s="21"/>
      <c r="L40" s="3">
        <f>SUM(J40:K40)/2</f>
      </c>
      <c r="M40" s="3">
        <f>L40*0.5</f>
      </c>
      <c r="N40" s="66">
        <f>O40/5</f>
      </c>
      <c r="O40" s="3">
        <f>'Mid Sem'!O41</f>
      </c>
      <c r="P40" s="3">
        <f>'End Sem'!N41</f>
      </c>
      <c r="Q40" s="3">
        <f>P40*0.3</f>
      </c>
      <c r="R40" s="39">
        <f>SUM(M40,N40,Q40)</f>
      </c>
      <c r="S40" s="12"/>
      <c r="T40" s="2"/>
      <c r="U40" s="56" t="s">
        <v>82</v>
      </c>
      <c r="V40" s="3">
        <v>25010105012</v>
      </c>
    </row>
    <row x14ac:dyDescent="0.25" r="41" customHeight="1" ht="18.75">
      <c r="A41" s="14" t="s">
        <v>83</v>
      </c>
      <c r="B41" s="28">
        <v>590023785</v>
      </c>
      <c r="C41" s="28">
        <v>78</v>
      </c>
      <c r="D41" s="65">
        <f>'Quiz 1'!O42</f>
      </c>
      <c r="E41" s="64">
        <f>'Assignment 1'!N42/10</f>
      </c>
      <c r="F41" s="65">
        <f>'Class Test 1'!P42</f>
      </c>
      <c r="G41" s="12"/>
      <c r="H41" s="12"/>
      <c r="I41" s="12"/>
      <c r="J41" s="66">
        <f>MEDIAN(_xlfn._xlws.FILTER(AA45:AA103, AA45:AA103&lt;&gt;0))</f>
      </c>
      <c r="K41" s="21"/>
      <c r="L41" s="66">
        <f>SUM(J41:K41)/2</f>
      </c>
      <c r="M41" s="66">
        <f>L41*0.5</f>
      </c>
      <c r="N41" s="3">
        <f>O41/5</f>
      </c>
      <c r="O41" s="3">
        <f>'Mid Sem'!O42</f>
      </c>
      <c r="P41" s="3">
        <f>'End Sem'!N42</f>
      </c>
      <c r="Q41" s="3">
        <f>P41*0.3</f>
      </c>
      <c r="R41" s="39">
        <f>SUM(M41,N41,Q41)</f>
      </c>
      <c r="S41" s="12"/>
      <c r="T41" s="2"/>
      <c r="U41" s="56" t="s">
        <v>84</v>
      </c>
      <c r="V41" s="3">
        <v>25010104947</v>
      </c>
    </row>
    <row x14ac:dyDescent="0.25" r="42" customHeight="1" ht="18.75">
      <c r="A42" s="14" t="s">
        <v>85</v>
      </c>
      <c r="B42" s="28">
        <v>590029264</v>
      </c>
      <c r="C42" s="28">
        <v>78</v>
      </c>
      <c r="D42" s="65">
        <f>'Quiz 1'!O43</f>
      </c>
      <c r="E42" s="64">
        <f>'Assignment 1'!N43/10</f>
      </c>
      <c r="F42" s="65">
        <f>'Class Test 1'!P43</f>
      </c>
      <c r="G42" s="12"/>
      <c r="H42" s="12"/>
      <c r="I42" s="12"/>
      <c r="J42" s="66">
        <f>MEDIAN(_xlfn._xlws.FILTER(AA46:AA104, AA46:AA104&lt;&gt;0))</f>
      </c>
      <c r="K42" s="21"/>
      <c r="L42" s="66">
        <f>SUM(J42:K42)/2</f>
      </c>
      <c r="M42" s="66">
        <f>L42*0.5</f>
      </c>
      <c r="N42" s="66">
        <f>O42/5</f>
      </c>
      <c r="O42" s="3">
        <f>'Mid Sem'!O43</f>
      </c>
      <c r="P42" s="3">
        <f>'End Sem'!N43</f>
      </c>
      <c r="Q42" s="3">
        <f>P42*0.3</f>
      </c>
      <c r="R42" s="39">
        <f>SUM(M42,N42,Q42)</f>
      </c>
      <c r="S42" s="12"/>
      <c r="T42" s="2"/>
      <c r="U42" s="56" t="s">
        <v>86</v>
      </c>
      <c r="V42" s="3">
        <v>25010104986</v>
      </c>
    </row>
    <row x14ac:dyDescent="0.25" r="43" customHeight="1" ht="18.75">
      <c r="A43" s="14" t="s">
        <v>87</v>
      </c>
      <c r="B43" s="28">
        <v>590029042</v>
      </c>
      <c r="C43" s="28">
        <v>78</v>
      </c>
      <c r="D43" s="65">
        <f>'Quiz 1'!O44</f>
      </c>
      <c r="E43" s="65">
        <f>'Assignment 1'!N44/10</f>
      </c>
      <c r="F43" s="65">
        <f>'Class Test 1'!P44</f>
      </c>
      <c r="G43" s="12"/>
      <c r="H43" s="12"/>
      <c r="I43" s="12"/>
      <c r="J43" s="3">
        <f>MEDIAN(_xlfn._xlws.FILTER(AA47:AA105, AA47:AA105&lt;&gt;0))</f>
      </c>
      <c r="K43" s="21"/>
      <c r="L43" s="3">
        <f>SUM(J43:K43)/2</f>
      </c>
      <c r="M43" s="3">
        <f>L43*0.5</f>
      </c>
      <c r="N43" s="3">
        <f>O43/5</f>
      </c>
      <c r="O43" s="3">
        <f>'Mid Sem'!O44</f>
      </c>
      <c r="P43" s="3">
        <f>'End Sem'!N44</f>
      </c>
      <c r="Q43" s="3">
        <f>P43*0.3</f>
      </c>
      <c r="R43" s="38">
        <f>SUM(M43,N43,Q43)</f>
      </c>
      <c r="S43" s="12"/>
      <c r="T43" s="2"/>
      <c r="U43" s="56" t="s">
        <v>88</v>
      </c>
      <c r="V43" s="3">
        <v>25010104982</v>
      </c>
    </row>
    <row x14ac:dyDescent="0.25" r="44" customHeight="1" ht="18.75">
      <c r="A44" s="14" t="s">
        <v>89</v>
      </c>
      <c r="B44" s="28">
        <v>590029336</v>
      </c>
      <c r="C44" s="28">
        <v>78</v>
      </c>
      <c r="D44" s="65">
        <f>'Quiz 1'!O45</f>
      </c>
      <c r="E44" s="64">
        <f>'Assignment 1'!N45/10</f>
      </c>
      <c r="F44" s="65">
        <f>'Class Test 1'!P45</f>
      </c>
      <c r="G44" s="12"/>
      <c r="H44" s="12"/>
      <c r="I44" s="12"/>
      <c r="J44" s="66">
        <f>MEDIAN(_xlfn._xlws.FILTER(AA48:AA106, AA48:AA106&lt;&gt;0))</f>
      </c>
      <c r="K44" s="21"/>
      <c r="L44" s="66">
        <f>SUM(J44:K44)/2</f>
      </c>
      <c r="M44" s="66">
        <f>L44*0.5</f>
      </c>
      <c r="N44" s="66">
        <f>O44/5</f>
      </c>
      <c r="O44" s="3">
        <f>'Mid Sem'!O45</f>
      </c>
      <c r="P44" s="3">
        <f>'End Sem'!N45</f>
      </c>
      <c r="Q44" s="3">
        <f>P44*0.3</f>
      </c>
      <c r="R44" s="39">
        <f>SUM(M44,N44,Q44)</f>
      </c>
      <c r="S44" s="12"/>
      <c r="T44" s="2"/>
      <c r="U44" s="56" t="s">
        <v>90</v>
      </c>
      <c r="V44" s="3">
        <v>25010104998</v>
      </c>
    </row>
    <row x14ac:dyDescent="0.25" r="45" customHeight="1" ht="18.75">
      <c r="A45" s="14" t="s">
        <v>91</v>
      </c>
      <c r="B45" s="28">
        <v>590029233</v>
      </c>
      <c r="C45" s="28">
        <v>78</v>
      </c>
      <c r="D45" s="64">
        <f>'Quiz 1'!O46</f>
      </c>
      <c r="E45" s="65">
        <f>'Assignment 1'!N46/10</f>
      </c>
      <c r="F45" s="64">
        <f>'Class Test 1'!P46</f>
      </c>
      <c r="G45" s="12"/>
      <c r="H45" s="12"/>
      <c r="I45" s="12"/>
      <c r="J45" s="3">
        <f>MEDIAN(_xlfn._xlws.FILTER(AA49:AA107, AA49:AA107&lt;&gt;0))</f>
      </c>
      <c r="K45" s="21"/>
      <c r="L45" s="66">
        <f>SUM(J45:K45)/2</f>
      </c>
      <c r="M45" s="66">
        <f>L45*0.5</f>
      </c>
      <c r="N45" s="3">
        <f>O45/5</f>
      </c>
      <c r="O45" s="3">
        <f>'Mid Sem'!O46</f>
      </c>
      <c r="P45" s="3">
        <f>'End Sem'!N46</f>
      </c>
      <c r="Q45" s="3">
        <f>P45*0.3</f>
      </c>
      <c r="R45" s="39">
        <f>SUM(M45,N45,Q45)</f>
      </c>
      <c r="S45" s="12"/>
      <c r="T45" s="2"/>
      <c r="U45" s="56" t="s">
        <v>92</v>
      </c>
      <c r="V45" s="3">
        <v>25010104996</v>
      </c>
    </row>
    <row x14ac:dyDescent="0.25" r="46" customHeight="1" ht="18.75">
      <c r="A46" s="14" t="s">
        <v>93</v>
      </c>
      <c r="B46" s="28">
        <v>590029328</v>
      </c>
      <c r="C46" s="28">
        <v>78</v>
      </c>
      <c r="D46" s="65">
        <f>'Quiz 1'!O47</f>
      </c>
      <c r="E46" s="64">
        <f>'Assignment 1'!N47/10</f>
      </c>
      <c r="F46" s="65">
        <f>'Class Test 1'!P47</f>
      </c>
      <c r="G46" s="12"/>
      <c r="H46" s="12"/>
      <c r="I46" s="12"/>
      <c r="J46" s="66">
        <f>MEDIAN(_xlfn._xlws.FILTER(AA50:AA108, AA50:AA108&lt;&gt;0))</f>
      </c>
      <c r="K46" s="21"/>
      <c r="L46" s="66">
        <f>SUM(J46:K46)/2</f>
      </c>
      <c r="M46" s="66">
        <f>L46*0.5</f>
      </c>
      <c r="N46" s="3">
        <f>O46/5</f>
      </c>
      <c r="O46" s="3">
        <f>'Mid Sem'!O47</f>
      </c>
      <c r="P46" s="3">
        <f>'End Sem'!N47</f>
      </c>
      <c r="Q46" s="3">
        <f>P46*0.3</f>
      </c>
      <c r="R46" s="39">
        <f>SUM(M46,N46,Q46)</f>
      </c>
      <c r="S46" s="12"/>
      <c r="T46" s="2"/>
      <c r="U46" s="56" t="s">
        <v>94</v>
      </c>
      <c r="V46" s="3">
        <v>25010105010</v>
      </c>
    </row>
    <row x14ac:dyDescent="0.25" r="47" customHeight="1" ht="18.75">
      <c r="A47" s="14" t="s">
        <v>95</v>
      </c>
      <c r="B47" s="28">
        <v>590028608</v>
      </c>
      <c r="C47" s="28">
        <v>78</v>
      </c>
      <c r="D47" s="64">
        <f>'Quiz 1'!O48</f>
      </c>
      <c r="E47" s="65">
        <f>'Assignment 1'!N48/10</f>
      </c>
      <c r="F47" s="64">
        <f>'Class Test 1'!P48</f>
      </c>
      <c r="G47" s="12"/>
      <c r="H47" s="12"/>
      <c r="I47" s="12"/>
      <c r="J47" s="3">
        <f>MEDIAN(_xlfn._xlws.FILTER(AA51:AA109, AA51:AA109&lt;&gt;0))</f>
      </c>
      <c r="K47" s="21"/>
      <c r="L47" s="66">
        <f>SUM(J47:K47)/2</f>
      </c>
      <c r="M47" s="66">
        <f>L47*0.5</f>
      </c>
      <c r="N47" s="66">
        <f>O47/5</f>
      </c>
      <c r="O47" s="3">
        <f>'Mid Sem'!O48</f>
      </c>
      <c r="P47" s="3">
        <f>'End Sem'!N48</f>
      </c>
      <c r="Q47" s="3">
        <f>P47*0.3</f>
      </c>
      <c r="R47" s="39">
        <f>SUM(M47,N47,Q47)</f>
      </c>
      <c r="S47" s="12"/>
      <c r="T47" s="2"/>
      <c r="U47" s="56" t="s">
        <v>96</v>
      </c>
      <c r="V47" s="3">
        <v>25010104999</v>
      </c>
    </row>
    <row x14ac:dyDescent="0.25" r="48" customHeight="1" ht="18.75">
      <c r="A48" s="14" t="s">
        <v>97</v>
      </c>
      <c r="B48" s="28">
        <v>590028605</v>
      </c>
      <c r="C48" s="28">
        <v>78</v>
      </c>
      <c r="D48" s="65">
        <f>'Quiz 1'!O49</f>
      </c>
      <c r="E48" s="64">
        <f>'Assignment 1'!N49/10</f>
      </c>
      <c r="F48" s="65">
        <f>'Class Test 1'!P49</f>
      </c>
      <c r="G48" s="12"/>
      <c r="H48" s="12"/>
      <c r="I48" s="12"/>
      <c r="J48" s="66">
        <f>MEDIAN(_xlfn._xlws.FILTER(AA52:AA110, AA52:AA110&lt;&gt;0))</f>
      </c>
      <c r="K48" s="21"/>
      <c r="L48" s="66">
        <f>SUM(J48:K48)/2</f>
      </c>
      <c r="M48" s="66">
        <f>L48*0.5</f>
      </c>
      <c r="N48" s="3">
        <f>O48/5</f>
      </c>
      <c r="O48" s="3">
        <f>'Mid Sem'!O49</f>
      </c>
      <c r="P48" s="3">
        <f>'End Sem'!N49</f>
      </c>
      <c r="Q48" s="3">
        <f>P48*0.3</f>
      </c>
      <c r="R48" s="39">
        <f>SUM(M48,N48,Q48)</f>
      </c>
      <c r="S48" s="12"/>
      <c r="T48" s="2"/>
      <c r="U48" s="56" t="s">
        <v>98</v>
      </c>
      <c r="V48" s="3">
        <v>25010104326</v>
      </c>
    </row>
    <row x14ac:dyDescent="0.25" r="49" customHeight="1" ht="18.75">
      <c r="A49" s="14" t="s">
        <v>99</v>
      </c>
      <c r="B49" s="28">
        <v>590026626</v>
      </c>
      <c r="C49" s="28">
        <v>78</v>
      </c>
      <c r="D49" s="65">
        <f>'Quiz 1'!O50</f>
      </c>
      <c r="E49" s="65">
        <f>'Assignment 1'!N50/10</f>
      </c>
      <c r="F49" s="65">
        <f>'Class Test 1'!P50</f>
      </c>
      <c r="G49" s="12"/>
      <c r="H49" s="12"/>
      <c r="I49" s="12"/>
      <c r="J49" s="3">
        <f>MEDIAN(_xlfn._xlws.FILTER(AA53:AA111, AA53:AA111&lt;&gt;0))</f>
      </c>
      <c r="K49" s="21"/>
      <c r="L49" s="3">
        <f>SUM(J49:K49)/2</f>
      </c>
      <c r="M49" s="3">
        <f>L49*0.5</f>
      </c>
      <c r="N49" s="3">
        <f>O49/5</f>
      </c>
      <c r="O49" s="3">
        <f>'Mid Sem'!O50</f>
      </c>
      <c r="P49" s="3">
        <f>'End Sem'!N50</f>
      </c>
      <c r="Q49" s="3">
        <f>P49*0.3</f>
      </c>
      <c r="R49" s="38">
        <f>SUM(M49,N49,Q49)</f>
      </c>
      <c r="S49" s="12"/>
      <c r="T49" s="2"/>
      <c r="U49" s="56" t="s">
        <v>100</v>
      </c>
      <c r="V49" s="3">
        <v>25010104601</v>
      </c>
    </row>
    <row x14ac:dyDescent="0.25" r="50" customHeight="1" ht="18.75">
      <c r="A50" s="14" t="s">
        <v>101</v>
      </c>
      <c r="B50" s="28">
        <v>590029310</v>
      </c>
      <c r="C50" s="28">
        <v>78</v>
      </c>
      <c r="D50" s="65">
        <f>'Quiz 1'!O51</f>
      </c>
      <c r="E50" s="64">
        <f>'Assignment 1'!N51/10</f>
      </c>
      <c r="F50" s="65">
        <f>'Class Test 1'!P51</f>
      </c>
      <c r="G50" s="12"/>
      <c r="H50" s="12"/>
      <c r="I50" s="12"/>
      <c r="J50" s="66">
        <f>MEDIAN(_xlfn._xlws.FILTER(AA54:AA112, AA54:AA112&lt;&gt;0))</f>
      </c>
      <c r="K50" s="21"/>
      <c r="L50" s="66">
        <f>SUM(J50:K50)/2</f>
      </c>
      <c r="M50" s="66">
        <f>L50*0.5</f>
      </c>
      <c r="N50" s="66">
        <f>O50/5</f>
      </c>
      <c r="O50" s="3">
        <f>'Mid Sem'!O51</f>
      </c>
      <c r="P50" s="3">
        <f>'End Sem'!N51</f>
      </c>
      <c r="Q50" s="3">
        <f>P50*0.3</f>
      </c>
      <c r="R50" s="39">
        <f>SUM(M50,N50,Q50)</f>
      </c>
      <c r="S50" s="12"/>
      <c r="T50" s="2"/>
      <c r="U50" s="56" t="s">
        <v>102</v>
      </c>
      <c r="V50" s="3">
        <v>25010104970</v>
      </c>
    </row>
    <row x14ac:dyDescent="0.25" r="51" customHeight="1" ht="18.75">
      <c r="A51" s="14" t="s">
        <v>103</v>
      </c>
      <c r="B51" s="28">
        <v>590029319</v>
      </c>
      <c r="C51" s="28">
        <v>78</v>
      </c>
      <c r="D51" s="65">
        <f>'Quiz 1'!O52</f>
      </c>
      <c r="E51" s="64">
        <f>'Assignment 1'!N52/10</f>
      </c>
      <c r="F51" s="65">
        <f>'Class Test 1'!P52</f>
      </c>
      <c r="G51" s="12"/>
      <c r="H51" s="12"/>
      <c r="I51" s="12"/>
      <c r="J51" s="66">
        <f>MEDIAN(_xlfn._xlws.FILTER(AA55:AA113, AA55:AA113&lt;&gt;0))</f>
      </c>
      <c r="K51" s="21"/>
      <c r="L51" s="66">
        <f>SUM(J51:K51)/2</f>
      </c>
      <c r="M51" s="66">
        <f>L51*0.5</f>
      </c>
      <c r="N51" s="66">
        <f>O51/5</f>
      </c>
      <c r="O51" s="3">
        <f>'Mid Sem'!O52</f>
      </c>
      <c r="P51" s="3">
        <f>'End Sem'!N52</f>
      </c>
      <c r="Q51" s="3">
        <f>P51*0.3</f>
      </c>
      <c r="R51" s="39">
        <f>SUM(M51,N51,Q51)</f>
      </c>
      <c r="S51" s="12"/>
      <c r="T51" s="2"/>
      <c r="U51" s="56" t="s">
        <v>104</v>
      </c>
      <c r="V51" s="3">
        <v>25010105008</v>
      </c>
    </row>
    <row x14ac:dyDescent="0.25" r="52" customHeight="1" ht="18.75">
      <c r="A52" s="14" t="s">
        <v>105</v>
      </c>
      <c r="B52" s="28">
        <v>590029339</v>
      </c>
      <c r="C52" s="28">
        <v>78</v>
      </c>
      <c r="D52" s="65">
        <f>'Quiz 1'!O53</f>
      </c>
      <c r="E52" s="65">
        <f>'Assignment 1'!N53/10</f>
      </c>
      <c r="F52" s="65">
        <f>'Class Test 1'!P53</f>
      </c>
      <c r="G52" s="12"/>
      <c r="H52" s="12"/>
      <c r="I52" s="12"/>
      <c r="J52" s="3">
        <f>MEDIAN(_xlfn._xlws.FILTER(AA56:AA114, AA56:AA114&lt;&gt;0))</f>
      </c>
      <c r="K52" s="21"/>
      <c r="L52" s="66">
        <f>SUM(J52:K52)/2</f>
      </c>
      <c r="M52" s="66">
        <f>L52*0.5</f>
      </c>
      <c r="N52" s="66">
        <f>O52/5</f>
      </c>
      <c r="O52" s="3">
        <f>'Mid Sem'!O53</f>
      </c>
      <c r="P52" s="3">
        <f>'End Sem'!N53</f>
      </c>
      <c r="Q52" s="3">
        <f>P52*0.3</f>
      </c>
      <c r="R52" s="39">
        <f>SUM(M52,N52,Q52)</f>
      </c>
      <c r="S52" s="12"/>
      <c r="T52" s="2"/>
      <c r="U52" s="56" t="s">
        <v>106</v>
      </c>
      <c r="V52" s="3">
        <v>25010105011</v>
      </c>
    </row>
    <row x14ac:dyDescent="0.25" r="53" customHeight="1" ht="18.75">
      <c r="A53" s="14" t="s">
        <v>107</v>
      </c>
      <c r="B53" s="28">
        <v>590029148</v>
      </c>
      <c r="C53" s="28">
        <v>78</v>
      </c>
      <c r="D53" s="64">
        <f>'Quiz 1'!O54</f>
      </c>
      <c r="E53" s="64">
        <f>'Assignment 1'!N54/10</f>
      </c>
      <c r="F53" s="64">
        <f>'Class Test 1'!P54</f>
      </c>
      <c r="G53" s="12"/>
      <c r="H53" s="12"/>
      <c r="I53" s="12"/>
      <c r="J53" s="66">
        <f>MEDIAN(_xlfn._xlws.FILTER(AA57:AA115, AA57:AA115&lt;&gt;0))</f>
      </c>
      <c r="K53" s="12"/>
      <c r="L53" s="66">
        <f>SUM(J53:K53)/2</f>
      </c>
      <c r="M53" s="66">
        <f>L53*0.5</f>
      </c>
      <c r="N53" s="66">
        <f>O53/5</f>
      </c>
      <c r="O53" s="3">
        <f>'Mid Sem'!O54</f>
      </c>
      <c r="P53" s="3">
        <f>'End Sem'!N54</f>
      </c>
      <c r="Q53" s="3">
        <f>P53*0.3</f>
      </c>
      <c r="R53" s="39">
        <f>SUM(M53,N53,Q53)</f>
      </c>
      <c r="S53" s="12"/>
      <c r="T53" s="2"/>
      <c r="U53" s="56" t="s">
        <v>108</v>
      </c>
      <c r="V53" s="3">
        <v>25010104992</v>
      </c>
    </row>
    <row x14ac:dyDescent="0.25" r="54" customHeight="1" ht="18.75">
      <c r="A54" s="14" t="s">
        <v>109</v>
      </c>
      <c r="B54" s="28">
        <v>590029309</v>
      </c>
      <c r="C54" s="28">
        <v>78</v>
      </c>
      <c r="D54" s="65">
        <f>'Quiz 1'!O55</f>
      </c>
      <c r="E54" s="64">
        <f>'Assignment 1'!N55/10</f>
      </c>
      <c r="F54" s="65">
        <f>'Class Test 1'!P55</f>
      </c>
      <c r="G54" s="12"/>
      <c r="H54" s="12"/>
      <c r="I54" s="12"/>
      <c r="J54" s="66">
        <f>MEDIAN(_xlfn._xlws.FILTER(AA58:AA116, AA58:AA116&lt;&gt;0))</f>
      </c>
      <c r="K54" s="12"/>
      <c r="L54" s="66">
        <f>SUM(J54:K54)/2</f>
      </c>
      <c r="M54" s="66">
        <f>L54*0.5</f>
      </c>
      <c r="N54" s="66">
        <f>O54/5</f>
      </c>
      <c r="O54" s="3">
        <f>'Mid Sem'!O55</f>
      </c>
      <c r="P54" s="3">
        <f>'End Sem'!N55</f>
      </c>
      <c r="Q54" s="3">
        <f>P54*0.3</f>
      </c>
      <c r="R54" s="39">
        <f>SUM(M54,N54,Q54)</f>
      </c>
      <c r="S54" s="12"/>
      <c r="T54" s="2"/>
      <c r="U54" s="56" t="s">
        <v>110</v>
      </c>
      <c r="V54" s="3">
        <v>25010104979</v>
      </c>
    </row>
    <row x14ac:dyDescent="0.25" r="55" customHeight="1" ht="18.75">
      <c r="A55" s="14" t="s">
        <v>111</v>
      </c>
      <c r="B55" s="28">
        <v>590028838</v>
      </c>
      <c r="C55" s="28">
        <v>78</v>
      </c>
      <c r="D55" s="65">
        <f>'Quiz 1'!O56</f>
      </c>
      <c r="E55" s="64">
        <f>'Assignment 1'!N56/10</f>
      </c>
      <c r="F55" s="65">
        <f>'Class Test 1'!P56</f>
      </c>
      <c r="G55" s="12"/>
      <c r="H55" s="12"/>
      <c r="I55" s="12"/>
      <c r="J55" s="66">
        <f>MEDIAN(_xlfn._xlws.FILTER(AA59:AA117, AA59:AA117&lt;&gt;0))</f>
      </c>
      <c r="K55" s="12"/>
      <c r="L55" s="66">
        <f>SUM(J55:K55)/2</f>
      </c>
      <c r="M55" s="66">
        <f>L55*0.5</f>
      </c>
      <c r="N55" s="3">
        <f>O55/5</f>
      </c>
      <c r="O55" s="3">
        <f>'Mid Sem'!O56</f>
      </c>
      <c r="P55" s="3">
        <f>'End Sem'!N56</f>
      </c>
      <c r="Q55" s="3">
        <f>P55*0.3</f>
      </c>
      <c r="R55" s="39">
        <f>SUM(M55,N55,Q55)</f>
      </c>
      <c r="S55" s="12"/>
      <c r="T55" s="2"/>
      <c r="U55" s="56" t="s">
        <v>112</v>
      </c>
      <c r="V55" s="3">
        <v>25010104945</v>
      </c>
    </row>
    <row x14ac:dyDescent="0.25" r="56" customHeight="1" ht="18.75">
      <c r="A56" s="14" t="s">
        <v>113</v>
      </c>
      <c r="B56" s="28">
        <v>590029107</v>
      </c>
      <c r="C56" s="28">
        <v>78</v>
      </c>
      <c r="D56" s="65">
        <f>'Quiz 1'!O57</f>
      </c>
      <c r="E56" s="65">
        <f>'Assignment 1'!N57/10</f>
      </c>
      <c r="F56" s="65">
        <f>'Class Test 1'!P57</f>
      </c>
      <c r="G56" s="12"/>
      <c r="H56" s="12"/>
      <c r="I56" s="12"/>
      <c r="J56" s="3">
        <f>MEDIAN(_xlfn._xlws.FILTER(AA60:AA118, AA60:AA118&lt;&gt;0))</f>
      </c>
      <c r="K56" s="12"/>
      <c r="L56" s="66">
        <f>SUM(J56:K56)/2</f>
      </c>
      <c r="M56" s="66">
        <f>L56*0.5</f>
      </c>
      <c r="N56" s="66">
        <f>O56/5</f>
      </c>
      <c r="O56" s="3">
        <f>'Mid Sem'!O57</f>
      </c>
      <c r="P56" s="3">
        <f>'End Sem'!N57</f>
      </c>
      <c r="Q56" s="3">
        <f>P56*0.3</f>
      </c>
      <c r="R56" s="39">
        <f>SUM(M56,N56,Q56)</f>
      </c>
      <c r="S56" s="12"/>
      <c r="T56" s="2"/>
      <c r="U56" s="56" t="s">
        <v>114</v>
      </c>
      <c r="V56" s="3">
        <v>25010104988</v>
      </c>
    </row>
    <row x14ac:dyDescent="0.25" r="57" customHeight="1" ht="18.75">
      <c r="A57" s="14" t="s">
        <v>115</v>
      </c>
      <c r="B57" s="28">
        <v>590029266</v>
      </c>
      <c r="C57" s="28">
        <v>78</v>
      </c>
      <c r="D57" s="65">
        <f>'Quiz 1'!O58</f>
      </c>
      <c r="E57" s="65">
        <f>'Assignment 1'!N58/10</f>
      </c>
      <c r="F57" s="65">
        <f>'Class Test 1'!P58</f>
      </c>
      <c r="G57" s="12"/>
      <c r="H57" s="12"/>
      <c r="I57" s="12"/>
      <c r="J57" s="3">
        <f>MEDIAN(_xlfn._xlws.FILTER(AA61:AA119, AA61:AA119&lt;&gt;0))</f>
      </c>
      <c r="K57" s="12"/>
      <c r="L57" s="66">
        <f>SUM(J57:K57)/2</f>
      </c>
      <c r="M57" s="66">
        <f>L57*0.5</f>
      </c>
      <c r="N57" s="66">
        <f>O57/5</f>
      </c>
      <c r="O57" s="3">
        <f>'Mid Sem'!O58</f>
      </c>
      <c r="P57" s="3">
        <f>'End Sem'!N58</f>
      </c>
      <c r="Q57" s="3">
        <f>P57*0.3</f>
      </c>
      <c r="R57" s="39">
        <f>SUM(M57,N57,Q57)</f>
      </c>
      <c r="S57" s="12"/>
      <c r="T57" s="2"/>
      <c r="U57" s="56" t="s">
        <v>116</v>
      </c>
      <c r="V57" s="3">
        <v>25010104958</v>
      </c>
    </row>
    <row x14ac:dyDescent="0.25" r="58" customHeight="1" ht="18.75">
      <c r="A58" s="14" t="s">
        <v>117</v>
      </c>
      <c r="B58" s="28">
        <v>590029354</v>
      </c>
      <c r="C58" s="28">
        <v>78</v>
      </c>
      <c r="D58" s="65">
        <f>'Quiz 1'!O59</f>
      </c>
      <c r="E58" s="64">
        <f>'Assignment 1'!N59/10</f>
      </c>
      <c r="F58" s="65">
        <f>'Class Test 1'!P59</f>
      </c>
      <c r="G58" s="12"/>
      <c r="H58" s="12"/>
      <c r="I58" s="12"/>
      <c r="J58" s="66">
        <f>MEDIAN(_xlfn._xlws.FILTER(AA62:AA120, AA62:AA120&lt;&gt;0))</f>
      </c>
      <c r="K58" s="12"/>
      <c r="L58" s="66">
        <f>SUM(J58:K58)/2</f>
      </c>
      <c r="M58" s="66">
        <f>L58*0.5</f>
      </c>
      <c r="N58" s="66">
        <f>O58/5</f>
      </c>
      <c r="O58" s="3">
        <f>'Mid Sem'!O59</f>
      </c>
      <c r="P58" s="3">
        <f>'End Sem'!N59</f>
      </c>
      <c r="Q58" s="3">
        <f>P58*0.3</f>
      </c>
      <c r="R58" s="39">
        <f>SUM(M58,N58,Q58)</f>
      </c>
      <c r="S58" s="12"/>
      <c r="T58" s="2"/>
      <c r="U58" s="56" t="s">
        <v>118</v>
      </c>
      <c r="V58" s="3">
        <v>25010105018</v>
      </c>
    </row>
    <row x14ac:dyDescent="0.25" r="59" customHeight="1" ht="18.75">
      <c r="A59" s="14" t="s">
        <v>119</v>
      </c>
      <c r="B59" s="28">
        <v>590029349</v>
      </c>
      <c r="C59" s="28">
        <v>78</v>
      </c>
      <c r="D59" s="65">
        <f>'Quiz 1'!O60</f>
      </c>
      <c r="E59" s="65">
        <f>'Assignment 1'!N60/10</f>
      </c>
      <c r="F59" s="64">
        <f>'Class Test 1'!P60</f>
      </c>
      <c r="G59" s="12"/>
      <c r="H59" s="12"/>
      <c r="I59" s="12"/>
      <c r="J59" s="66">
        <f>MEDIAN(_xlfn._xlws.FILTER(AA63:AA121, AA63:AA121&lt;&gt;0))</f>
      </c>
      <c r="K59" s="12"/>
      <c r="L59" s="66">
        <f>SUM(J59:K59)/2</f>
      </c>
      <c r="M59" s="66">
        <f>L59*0.5</f>
      </c>
      <c r="N59" s="66">
        <f>O59/5</f>
      </c>
      <c r="O59" s="3">
        <f>'Mid Sem'!O60</f>
      </c>
      <c r="P59" s="3">
        <f>'End Sem'!N60</f>
      </c>
      <c r="Q59" s="3">
        <f>P59*0.3</f>
      </c>
      <c r="R59" s="39">
        <f>SUM(M59,N59,Q59)</f>
      </c>
      <c r="S59" s="12"/>
      <c r="T59" s="2"/>
      <c r="U59" s="56" t="s">
        <v>120</v>
      </c>
      <c r="V59" s="3">
        <v>25010105017</v>
      </c>
    </row>
    <row x14ac:dyDescent="0.25" r="60" customHeight="1" ht="18.75">
      <c r="A60" s="14" t="s">
        <v>121</v>
      </c>
      <c r="B60" s="28">
        <v>590029302</v>
      </c>
      <c r="C60" s="28">
        <v>78</v>
      </c>
      <c r="D60" s="65">
        <f>'Quiz 1'!O61</f>
      </c>
      <c r="E60" s="64">
        <f>'Assignment 1'!N61/10</f>
      </c>
      <c r="F60" s="65">
        <f>'Class Test 1'!P61</f>
      </c>
      <c r="G60" s="12"/>
      <c r="H60" s="12"/>
      <c r="I60" s="12"/>
      <c r="J60" s="66">
        <f>MEDIAN(_xlfn._xlws.FILTER(AA64:AA122, AA64:AA122&lt;&gt;0))</f>
      </c>
      <c r="K60" s="12"/>
      <c r="L60" s="66">
        <f>SUM(J60:K60)/2</f>
      </c>
      <c r="M60" s="66">
        <f>L60*0.5</f>
      </c>
      <c r="N60" s="66">
        <f>O60/5</f>
      </c>
      <c r="O60" s="3">
        <f>'Mid Sem'!O61</f>
      </c>
      <c r="P60" s="3">
        <f>'End Sem'!N61</f>
      </c>
      <c r="Q60" s="3">
        <f>P60*0.3</f>
      </c>
      <c r="R60" s="39">
        <f>SUM(M60,N60,Q60)</f>
      </c>
      <c r="S60" s="12"/>
      <c r="T60" s="2"/>
      <c r="U60" s="56" t="s">
        <v>122</v>
      </c>
      <c r="V60" s="3">
        <v>25010104954</v>
      </c>
    </row>
    <row x14ac:dyDescent="0.25" r="61" customHeight="1" ht="18.75">
      <c r="A61" s="14" t="s">
        <v>123</v>
      </c>
      <c r="B61" s="28">
        <v>590029262</v>
      </c>
      <c r="C61" s="28">
        <v>78</v>
      </c>
      <c r="D61" s="65">
        <f>'Quiz 1'!O62</f>
      </c>
      <c r="E61" s="64">
        <f>'Assignment 1'!N62/10</f>
      </c>
      <c r="F61" s="65">
        <f>'Class Test 1'!P62</f>
      </c>
      <c r="G61" s="12"/>
      <c r="H61" s="12"/>
      <c r="I61" s="12"/>
      <c r="J61" s="66">
        <f>MEDIAN(_xlfn._xlws.FILTER(AA65:AA123, AA65:AA123&lt;&gt;0))</f>
      </c>
      <c r="K61" s="12"/>
      <c r="L61" s="66">
        <f>SUM(J61:K61)/2</f>
      </c>
      <c r="M61" s="66">
        <f>L61*0.5</f>
      </c>
      <c r="N61" s="3">
        <f>O61/5</f>
      </c>
      <c r="O61" s="3">
        <f>'Mid Sem'!O62</f>
      </c>
      <c r="P61" s="3">
        <f>'End Sem'!N62</f>
      </c>
      <c r="Q61" s="3">
        <f>P61*0.3</f>
      </c>
      <c r="R61" s="39">
        <f>SUM(M61,N61,Q61)</f>
      </c>
      <c r="S61" s="12"/>
      <c r="T61" s="2"/>
      <c r="U61" s="56" t="s">
        <v>124</v>
      </c>
      <c r="V61" s="3">
        <v>25010104987</v>
      </c>
    </row>
    <row x14ac:dyDescent="0.25" r="62" customHeight="1" ht="18.75">
      <c r="A62" s="14" t="s">
        <v>125</v>
      </c>
      <c r="B62" s="28">
        <v>590029285</v>
      </c>
      <c r="C62" s="28">
        <v>78</v>
      </c>
      <c r="D62" s="64">
        <f>'Quiz 1'!O63</f>
      </c>
      <c r="E62" s="64">
        <f>'Assignment 1'!N63/10</f>
      </c>
      <c r="F62" s="65">
        <f>'Class Test 1'!P63</f>
      </c>
      <c r="G62" s="12"/>
      <c r="H62" s="12"/>
      <c r="I62" s="12"/>
      <c r="J62" s="3">
        <f>MEDIAN(_xlfn._xlws.FILTER(AA66:AA124, AA66:AA124&lt;&gt;0))</f>
      </c>
      <c r="K62" s="12"/>
      <c r="L62" s="3">
        <f>SUM(J62:K62)/2</f>
      </c>
      <c r="M62" s="66">
        <f>L62*0.5</f>
      </c>
      <c r="N62" s="66">
        <f>O62/5</f>
      </c>
      <c r="O62" s="3">
        <f>'Mid Sem'!O63</f>
      </c>
      <c r="P62" s="3">
        <f>'End Sem'!N63</f>
      </c>
      <c r="Q62" s="3">
        <f>P62*0.3</f>
      </c>
      <c r="R62" s="39">
        <f>SUM(M62,N62,Q62)</f>
      </c>
      <c r="S62" s="12"/>
      <c r="T62" s="2"/>
      <c r="U62" s="56" t="s">
        <v>126</v>
      </c>
      <c r="V62" s="3">
        <v>25010104949</v>
      </c>
    </row>
    <row x14ac:dyDescent="0.25" r="63" customHeight="1" ht="18.75">
      <c r="A63" s="14" t="s">
        <v>127</v>
      </c>
      <c r="B63" s="28">
        <v>590029353</v>
      </c>
      <c r="C63" s="28">
        <v>78</v>
      </c>
      <c r="D63" s="65">
        <f>'Quiz 1'!O64</f>
      </c>
      <c r="E63" s="64">
        <f>'Assignment 1'!N64/10</f>
      </c>
      <c r="F63" s="65">
        <f>'Class Test 1'!P64</f>
      </c>
      <c r="G63" s="12"/>
      <c r="H63" s="12"/>
      <c r="I63" s="12"/>
      <c r="J63" s="66">
        <f>MEDIAN(_xlfn._xlws.FILTER(AA67:AA125, AA67:AA125&lt;&gt;0))</f>
      </c>
      <c r="K63" s="12"/>
      <c r="L63" s="66">
        <f>SUM(J63:K63)/2</f>
      </c>
      <c r="M63" s="66">
        <f>L63*0.5</f>
      </c>
      <c r="N63" s="66">
        <f>O63/5</f>
      </c>
      <c r="O63" s="3">
        <f>'Mid Sem'!O64</f>
      </c>
      <c r="P63" s="3">
        <f>'End Sem'!N64</f>
      </c>
      <c r="Q63" s="3">
        <f>P63*0.3</f>
      </c>
      <c r="R63" s="39">
        <f>SUM(M63,N63,Q63)</f>
      </c>
      <c r="S63" s="12"/>
      <c r="T63" s="2"/>
      <c r="U63" s="56" t="s">
        <v>128</v>
      </c>
      <c r="V63" s="3">
        <v>122514758</v>
      </c>
    </row>
    <row x14ac:dyDescent="0.25" r="64" customHeight="1" ht="18.75">
      <c r="A64" s="2"/>
      <c r="B64" s="21"/>
      <c r="C64" s="21"/>
      <c r="D64" s="1"/>
      <c r="E64" s="1"/>
      <c r="F64" s="69"/>
      <c r="G64" s="21"/>
      <c r="H64" s="21"/>
      <c r="I64" s="21"/>
      <c r="J64" s="69"/>
      <c r="K64" s="21"/>
      <c r="L64" s="69"/>
      <c r="M64" s="69"/>
      <c r="N64" s="69"/>
      <c r="O64" s="1"/>
      <c r="P64" s="21"/>
      <c r="Q64" s="21"/>
      <c r="R64" s="69"/>
      <c r="S64" s="21"/>
      <c r="T64" s="2"/>
      <c r="U64" s="56"/>
      <c r="V64" s="21"/>
    </row>
    <row x14ac:dyDescent="0.25" r="65" customHeight="1" ht="18.75">
      <c r="A65" s="2"/>
      <c r="B65" s="21"/>
      <c r="C65" s="21" t="s">
        <v>172</v>
      </c>
      <c r="D65" s="3">
        <f>MAX(D5:D63)</f>
      </c>
      <c r="E65" s="3">
        <f>MAX(E5:E63)</f>
      </c>
      <c r="F65" s="3">
        <f>MAX(F5:F63)</f>
      </c>
      <c r="G65" s="3">
        <f>MAX(G5:G63)</f>
      </c>
      <c r="H65" s="3">
        <f>MAX(H5:H63)</f>
      </c>
      <c r="I65" s="3">
        <f>MAX(I5:I63)</f>
      </c>
      <c r="J65" s="66">
        <f>MAX(J5:J63)</f>
      </c>
      <c r="K65" s="3">
        <f>MAX(K5:K63)</f>
      </c>
      <c r="L65" s="66">
        <f>MAX(L5:L63)</f>
      </c>
      <c r="M65" s="66">
        <f>MAX(M5:M63)</f>
      </c>
      <c r="N65" s="66">
        <f>MAX(N5:N63)</f>
      </c>
      <c r="O65" s="3">
        <f>MAX(O5:O63)</f>
      </c>
      <c r="P65" s="3">
        <f>MAX(P5:P63)</f>
      </c>
      <c r="Q65" s="3">
        <f>MAX(Q5:Q63)</f>
      </c>
      <c r="R65" s="66">
        <f>MAX(R5:R63)</f>
      </c>
      <c r="S65" s="3">
        <f>MAX(S5:S63)</f>
      </c>
      <c r="T65" s="2"/>
      <c r="U65" s="56"/>
      <c r="V65" s="21"/>
    </row>
    <row x14ac:dyDescent="0.25" r="66" customHeight="1" ht="18.75">
      <c r="A66" s="2"/>
      <c r="B66" s="21"/>
      <c r="C66" s="21" t="s">
        <v>173</v>
      </c>
      <c r="D66" s="3">
        <f>_xlfn.MINIFS(D5:D63, D5:D63, "&gt;0")</f>
      </c>
      <c r="E66" s="66">
        <f>_xlfn.MINIFS(E5:E63, E5:E63, "&gt;0")</f>
      </c>
      <c r="F66" s="3">
        <f>_xlfn.MINIFS(F5:F63, F5:F63, "&gt;0")</f>
      </c>
      <c r="G66" s="3">
        <f>_xlfn.MINIFS(G5:G63, G5:G63, "&gt;0")</f>
      </c>
      <c r="H66" s="3">
        <f>_xlfn.MINIFS(H5:H63, H5:H63, "&gt;0")</f>
      </c>
      <c r="I66" s="3">
        <f>_xlfn.MINIFS(I5:I63, I5:I63, "&gt;0")</f>
      </c>
      <c r="J66" s="66">
        <f>_xlfn.MINIFS(J5:J63, J5:J63, "&gt;0")</f>
      </c>
      <c r="K66" s="3">
        <f>_xlfn.MINIFS(K5:K63, K5:K63, "&gt;0")</f>
      </c>
      <c r="L66" s="66">
        <f>_xlfn.MINIFS(L5:L63, L5:L63, "&gt;0")</f>
      </c>
      <c r="M66" s="66">
        <f>_xlfn.MINIFS(M5:M63, M5:M63, "&gt;0")</f>
      </c>
      <c r="N66" s="66">
        <f>_xlfn.MINIFS(N5:N63, N5:N63, "&gt;0")</f>
      </c>
      <c r="O66" s="3">
        <f>_xlfn.MINIFS(O5:O63, O5:O63, "&gt;0")</f>
      </c>
      <c r="P66" s="3">
        <f>_xlfn.MINIFS(P5:P63, P5:P63, "&gt;0")</f>
      </c>
      <c r="Q66" s="3">
        <f>_xlfn.MINIFS(Q5:Q63, Q5:Q63, "&gt;0")</f>
      </c>
      <c r="R66" s="66">
        <f>_xlfn.MINIFS(R5:R63, R5:R63, "&gt;0")</f>
      </c>
      <c r="S66" s="3">
        <f>_xlfn.MINIFS(S5:S63, S5:S63, "&gt;0")</f>
      </c>
      <c r="T66" s="2"/>
      <c r="U66" s="56"/>
      <c r="V66" s="21"/>
    </row>
    <row x14ac:dyDescent="0.25" r="67" customHeight="1" ht="18.75">
      <c r="A67" s="2"/>
      <c r="B67" s="21"/>
      <c r="C67" s="21" t="s">
        <v>174</v>
      </c>
      <c r="D67" s="3">
        <f>MEDIAN(D5:D63)</f>
      </c>
      <c r="E67" s="66">
        <f>MEDIAN(E5:E63)</f>
      </c>
      <c r="F67" s="66">
        <f>MEDIAN(F5:F63)</f>
      </c>
      <c r="G67" s="21">
        <f>MEDIAN(G5:G63)</f>
      </c>
      <c r="H67" s="21">
        <f>MEDIAN(H5:H63)</f>
      </c>
      <c r="I67" s="21">
        <f>MEDIAN(I5:I63)</f>
      </c>
      <c r="J67" s="66">
        <f>MEDIAN(J5:J63)</f>
      </c>
      <c r="K67" s="21">
        <f>MEDIAN(K5:K63)</f>
      </c>
      <c r="L67" s="66">
        <f>MEDIAN(L5:L63)</f>
      </c>
      <c r="M67" s="66">
        <f>MEDIAN(M5:M63)</f>
      </c>
      <c r="N67" s="66">
        <f>MEDIAN(N5:N63)</f>
      </c>
      <c r="O67" s="3">
        <f>MEDIAN(O5:O63)</f>
      </c>
      <c r="P67" s="3">
        <f>MEDIAN(P5:P63)</f>
      </c>
      <c r="Q67" s="3">
        <f>MEDIAN(Q5:Q63)</f>
      </c>
      <c r="R67" s="66">
        <f>MEDIAN(R5:R63)</f>
      </c>
      <c r="S67" s="21">
        <f>MEDIAN(S5:S63)</f>
      </c>
      <c r="T67" s="2"/>
      <c r="U67" s="56"/>
      <c r="V67" s="21"/>
    </row>
    <row x14ac:dyDescent="0.25" r="68" customHeight="1" ht="18.75">
      <c r="A68" s="2"/>
      <c r="B68" s="21"/>
      <c r="C68" s="21" t="s">
        <v>174</v>
      </c>
      <c r="D68" s="3">
        <f>MEDIAN(_xlfn._xlws.FILTER(D5:D63, D5:D63&lt;&gt;0))</f>
      </c>
      <c r="E68" s="3">
        <f>MEDIAN(_xlfn._xlws.FILTER(E5:E63, E5:E63&lt;&gt;0))</f>
      </c>
      <c r="F68" s="66">
        <f>MEDIAN(_xlfn._xlws.FILTER(F5:F63, F5:F63&lt;&gt;0))</f>
      </c>
      <c r="G68" s="21">
        <f>MEDIAN(_xlfn._xlws.FILTER(G5:G63, G5:G63&lt;&gt;0))</f>
      </c>
      <c r="H68" s="21">
        <f>MEDIAN(_xlfn._xlws.FILTER(H5:H63, H5:H63&lt;&gt;0))</f>
      </c>
      <c r="I68" s="21">
        <f>MEDIAN(_xlfn._xlws.FILTER(I5:I63, I5:I63&lt;&gt;0))</f>
      </c>
      <c r="J68" s="66">
        <f>MEDIAN(_xlfn._xlws.FILTER(J5:J63, J5:J63&lt;&gt;0))</f>
      </c>
      <c r="K68" s="21">
        <f>MEDIAN(_xlfn._xlws.FILTER(K5:K63, K5:K63&lt;&gt;0))</f>
      </c>
      <c r="L68" s="66">
        <f>MEDIAN(_xlfn._xlws.FILTER(L5:L63, L5:L63&lt;&gt;0))</f>
      </c>
      <c r="M68" s="66">
        <f>MEDIAN(_xlfn._xlws.FILTER(M5:M63, M5:M63&lt;&gt;0))</f>
      </c>
      <c r="N68" s="66">
        <f>MEDIAN(_xlfn._xlws.FILTER(N5:N63, N5:N63&lt;&gt;0))</f>
      </c>
      <c r="O68" s="3">
        <f>MEDIAN(_xlfn._xlws.FILTER(O5:O63, O5:O63&lt;&gt;0))</f>
      </c>
      <c r="P68" s="21">
        <f>MEDIAN(_xlfn._xlws.FILTER(P5:P63, P5:P63&lt;&gt;0))</f>
      </c>
      <c r="Q68" s="21">
        <f>MEDIAN(_xlfn._xlws.FILTER(Q5:Q63, Q5:Q63&lt;&gt;0))</f>
      </c>
      <c r="R68" s="45">
        <f>MEDIAN(_xlfn._xlws.FILTER(R5:R63, R5:R63&lt;&gt;0))</f>
      </c>
      <c r="S68" s="21"/>
      <c r="T68" s="2"/>
      <c r="U68" s="56"/>
      <c r="V68" s="21"/>
    </row>
  </sheetData>
  <mergeCells count="2">
    <mergeCell ref="A1:S1"/>
    <mergeCell ref="A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65"/>
  <sheetViews>
    <sheetView workbookViewId="0"/>
  </sheetViews>
  <sheetFormatPr defaultRowHeight="15" x14ac:dyDescent="0.25"/>
  <cols>
    <col min="1" max="1" style="22" width="19.005" customWidth="1" bestFit="1"/>
    <col min="2" max="2" style="5" width="24.290714285714284" customWidth="1" bestFit="1"/>
    <col min="3" max="3" style="5" width="5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22" width="4.576428571428571" customWidth="1" bestFit="1"/>
    <col min="11" max="11" style="54" width="4.576428571428571" customWidth="1" bestFit="1"/>
    <col min="12" max="12" style="54" width="4.576428571428571" customWidth="1" bestFit="1"/>
    <col min="13" max="13" style="22" width="4.576428571428571" customWidth="1" bestFit="1"/>
    <col min="14" max="14" style="5" width="4.576428571428571" customWidth="1" bestFit="1"/>
    <col min="15" max="15" style="22" width="5.433571428571429" customWidth="1" bestFit="1"/>
    <col min="16" max="16" style="5" width="16.005" customWidth="1" bestFit="1"/>
    <col min="17" max="17" style="5" width="13.576428571428572" customWidth="1" bestFit="1"/>
    <col min="18" max="18" style="5" width="13.576428571428572" customWidth="1" bestFit="1"/>
    <col min="19" max="19" style="54" width="13.576428571428572" customWidth="1" bestFit="1"/>
    <col min="20" max="20" style="54" width="13.576428571428572" customWidth="1" bestFit="1"/>
    <col min="21" max="21" style="22" width="13.576428571428572" customWidth="1" bestFit="1"/>
  </cols>
  <sheetData>
    <row x14ac:dyDescent="0.25" r="1" customHeight="1" ht="18.75">
      <c r="A1" s="8" t="s">
        <v>159</v>
      </c>
      <c r="B1" s="9"/>
      <c r="C1" s="9"/>
      <c r="D1" s="8"/>
      <c r="E1" s="8"/>
      <c r="F1" s="8"/>
      <c r="G1" s="8"/>
      <c r="H1" s="8"/>
      <c r="I1" s="8"/>
      <c r="J1" s="8"/>
      <c r="K1" s="47"/>
      <c r="L1" s="47"/>
      <c r="M1" s="8"/>
      <c r="N1" s="9"/>
      <c r="O1" s="8"/>
      <c r="P1" s="9"/>
      <c r="Q1" s="2"/>
      <c r="R1" s="2"/>
      <c r="S1" s="48"/>
      <c r="T1" s="48"/>
      <c r="U1" s="21"/>
    </row>
    <row x14ac:dyDescent="0.25" r="2" customHeight="1" ht="18.75">
      <c r="A2" s="8">
        <f>Marksheet!A2</f>
      </c>
      <c r="B2" s="11"/>
      <c r="C2" s="11"/>
      <c r="D2" s="10"/>
      <c r="E2" s="10"/>
      <c r="F2" s="10"/>
      <c r="G2" s="10"/>
      <c r="H2" s="10"/>
      <c r="I2" s="10"/>
      <c r="J2" s="10"/>
      <c r="K2" s="49"/>
      <c r="L2" s="49"/>
      <c r="M2" s="10"/>
      <c r="N2" s="11"/>
      <c r="O2" s="10"/>
      <c r="P2" s="11"/>
      <c r="Q2" s="2"/>
      <c r="R2" s="2"/>
      <c r="S2" s="48"/>
      <c r="T2" s="48"/>
      <c r="U2" s="21"/>
    </row>
    <row x14ac:dyDescent="0.25" r="3" customHeight="1" ht="18.75">
      <c r="A3" s="12"/>
      <c r="B3" s="14"/>
      <c r="C3" s="14"/>
      <c r="D3" s="24" t="s">
        <v>130</v>
      </c>
      <c r="E3" s="24" t="s">
        <v>130</v>
      </c>
      <c r="F3" s="24" t="s">
        <v>130</v>
      </c>
      <c r="G3" s="24" t="s">
        <v>130</v>
      </c>
      <c r="H3" s="24" t="s">
        <v>131</v>
      </c>
      <c r="I3" s="24" t="s">
        <v>131</v>
      </c>
      <c r="J3" s="24" t="s">
        <v>131</v>
      </c>
      <c r="K3" s="50" t="s">
        <v>130</v>
      </c>
      <c r="L3" s="50" t="s">
        <v>131</v>
      </c>
      <c r="M3" s="24" t="s">
        <v>130</v>
      </c>
      <c r="N3" s="13"/>
      <c r="O3" s="12"/>
      <c r="P3" s="14"/>
      <c r="Q3" s="2"/>
      <c r="R3" s="2"/>
      <c r="S3" s="50" t="s">
        <v>130</v>
      </c>
      <c r="T3" s="50" t="s">
        <v>131</v>
      </c>
      <c r="U3" s="21"/>
    </row>
    <row x14ac:dyDescent="0.25" r="4" customHeight="1" ht="18.75">
      <c r="A4" s="15" t="s">
        <v>134</v>
      </c>
      <c r="B4" s="16" t="s">
        <v>1</v>
      </c>
      <c r="C4" s="16"/>
      <c r="D4" s="15" t="s">
        <v>135</v>
      </c>
      <c r="E4" s="15" t="s">
        <v>136</v>
      </c>
      <c r="F4" s="15" t="s">
        <v>137</v>
      </c>
      <c r="G4" s="15" t="s">
        <v>138</v>
      </c>
      <c r="H4" s="15" t="s">
        <v>139</v>
      </c>
      <c r="I4" s="15" t="s">
        <v>140</v>
      </c>
      <c r="J4" s="15" t="s">
        <v>141</v>
      </c>
      <c r="K4" s="51" t="s">
        <v>142</v>
      </c>
      <c r="L4" s="51" t="s">
        <v>143</v>
      </c>
      <c r="M4" s="15" t="s">
        <v>144</v>
      </c>
      <c r="N4" s="16" t="s">
        <v>145</v>
      </c>
      <c r="O4" s="15" t="s">
        <v>146</v>
      </c>
      <c r="P4" s="23" t="s">
        <v>147</v>
      </c>
      <c r="Q4" s="2"/>
      <c r="R4" s="2"/>
      <c r="S4" s="51"/>
      <c r="T4" s="51"/>
      <c r="U4" s="15" t="s">
        <v>146</v>
      </c>
    </row>
    <row x14ac:dyDescent="0.25" r="5" customHeight="1" ht="18.75">
      <c r="A5" s="17"/>
      <c r="B5" s="18" t="s">
        <v>148</v>
      </c>
      <c r="C5" s="18" t="s">
        <v>160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52">
        <v>2.5</v>
      </c>
      <c r="L5" s="52">
        <v>2.5</v>
      </c>
      <c r="M5" s="19">
        <v>3</v>
      </c>
      <c r="N5" s="18"/>
      <c r="O5" s="19">
        <f>SUM(D5:N5)</f>
      </c>
      <c r="P5" s="18"/>
      <c r="Q5" s="2"/>
      <c r="R5" s="2"/>
      <c r="S5" s="52">
        <f>SUM(D5:G5,K5,M5)</f>
      </c>
      <c r="T5" s="52">
        <f>SUM(H5,I5,J5,L5)</f>
      </c>
      <c r="U5" s="19">
        <f>SUM(S5:T5)</f>
      </c>
    </row>
    <row x14ac:dyDescent="0.25" r="6" customHeight="1" ht="18.75">
      <c r="A6" s="20">
        <f>'Mid Sem'!B6</f>
      </c>
      <c r="B6" s="25">
        <f>'Mid Sem'!A6</f>
      </c>
      <c r="C6" s="37" t="s">
        <v>157</v>
      </c>
      <c r="D6" s="45">
        <v>0.5</v>
      </c>
      <c r="E6" s="20">
        <v>1</v>
      </c>
      <c r="F6" s="20">
        <v>1</v>
      </c>
      <c r="G6" s="20">
        <v>1</v>
      </c>
      <c r="H6" s="20">
        <v>1</v>
      </c>
      <c r="I6" s="20">
        <v>1</v>
      </c>
      <c r="J6" s="20">
        <v>1</v>
      </c>
      <c r="K6" s="45">
        <v>2.5</v>
      </c>
      <c r="L6" s="45">
        <v>2.5</v>
      </c>
      <c r="M6" s="20">
        <v>3</v>
      </c>
      <c r="N6" s="14"/>
      <c r="O6" s="39">
        <f>SUM(D6:N6)</f>
      </c>
      <c r="P6" s="14"/>
      <c r="Q6" s="2"/>
      <c r="R6" s="2"/>
      <c r="S6" s="38">
        <f>SUM(D6:G6,K6,M6)</f>
      </c>
      <c r="T6" s="39">
        <f>SUM(H6,I6,J6,L6)</f>
      </c>
      <c r="U6" s="39">
        <f>SUM(S6:T6)</f>
      </c>
    </row>
    <row x14ac:dyDescent="0.25" r="7" customHeight="1" ht="18.75">
      <c r="A7" s="20">
        <f>'Mid Sem'!B7</f>
      </c>
      <c r="B7" s="25">
        <f>'Mid Sem'!A7</f>
      </c>
      <c r="C7" s="37" t="s">
        <v>157</v>
      </c>
      <c r="D7" s="20">
        <v>1</v>
      </c>
      <c r="E7" s="20">
        <v>1</v>
      </c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45">
        <v>2.5</v>
      </c>
      <c r="L7" s="45">
        <v>2.5</v>
      </c>
      <c r="M7" s="20">
        <v>3</v>
      </c>
      <c r="N7" s="14"/>
      <c r="O7" s="38">
        <f>SUM(D7:N7)</f>
      </c>
      <c r="P7" s="14"/>
      <c r="Q7" s="2"/>
      <c r="R7" s="2"/>
      <c r="S7" s="39">
        <f>SUM(D7:G7,K7,M7)</f>
      </c>
      <c r="T7" s="39">
        <f>SUM(H7,I7,J7,L7)</f>
      </c>
      <c r="U7" s="38">
        <f>SUM(S7:T7)</f>
      </c>
    </row>
    <row x14ac:dyDescent="0.25" r="8" customHeight="1" ht="18.75">
      <c r="A8" s="20">
        <f>'Mid Sem'!B8</f>
      </c>
      <c r="B8" s="25">
        <f>'Mid Sem'!A8</f>
      </c>
      <c r="C8" s="37" t="s">
        <v>157</v>
      </c>
      <c r="D8" s="20">
        <v>0</v>
      </c>
      <c r="E8" s="20">
        <v>1</v>
      </c>
      <c r="F8" s="20">
        <v>1</v>
      </c>
      <c r="G8" s="20">
        <v>0</v>
      </c>
      <c r="H8" s="20">
        <v>1</v>
      </c>
      <c r="I8" s="20">
        <v>1</v>
      </c>
      <c r="J8" s="20">
        <v>1</v>
      </c>
      <c r="K8" s="20">
        <v>0</v>
      </c>
      <c r="L8" s="20">
        <v>1</v>
      </c>
      <c r="M8" s="20">
        <v>2</v>
      </c>
      <c r="N8" s="14"/>
      <c r="O8" s="38">
        <f>SUM(D8:N8)</f>
      </c>
      <c r="P8" s="14"/>
      <c r="Q8" s="2"/>
      <c r="R8" s="2"/>
      <c r="S8" s="38">
        <f>SUM(D8:G8,K8,M8)</f>
      </c>
      <c r="T8" s="38">
        <f>SUM(H8,I8,J8,L8)</f>
      </c>
      <c r="U8" s="38">
        <f>SUM(S8:T8)</f>
      </c>
    </row>
    <row x14ac:dyDescent="0.25" r="9" customHeight="1" ht="18.75">
      <c r="A9" s="20">
        <f>'Mid Sem'!B9</f>
      </c>
      <c r="B9" s="25">
        <f>'Mid Sem'!A9</f>
      </c>
      <c r="C9" s="37" t="s">
        <v>157</v>
      </c>
      <c r="D9" s="20">
        <v>1</v>
      </c>
      <c r="E9" s="20">
        <v>1</v>
      </c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45">
        <v>1.5</v>
      </c>
      <c r="L9" s="45">
        <v>2.5</v>
      </c>
      <c r="M9" s="20">
        <v>0</v>
      </c>
      <c r="N9" s="14"/>
      <c r="O9" s="38">
        <f>SUM(D9:N9)</f>
      </c>
      <c r="P9" s="14"/>
      <c r="Q9" s="2"/>
      <c r="R9" s="2"/>
      <c r="S9" s="39">
        <f>SUM(D9:G9,K9,M9)</f>
      </c>
      <c r="T9" s="39">
        <f>SUM(H9,I9,J9,L9)</f>
      </c>
      <c r="U9" s="38">
        <f>SUM(S9:T9)</f>
      </c>
    </row>
    <row x14ac:dyDescent="0.25" r="10" customHeight="1" ht="18.75">
      <c r="A10" s="20">
        <f>'Mid Sem'!B10</f>
      </c>
      <c r="B10" s="25">
        <f>'Mid Sem'!A10</f>
      </c>
      <c r="C10" s="37" t="s">
        <v>157</v>
      </c>
      <c r="D10" s="20">
        <v>1</v>
      </c>
      <c r="E10" s="20">
        <v>1</v>
      </c>
      <c r="F10" s="20">
        <v>0</v>
      </c>
      <c r="G10" s="20">
        <v>1</v>
      </c>
      <c r="H10" s="20">
        <v>1</v>
      </c>
      <c r="I10" s="20">
        <v>1</v>
      </c>
      <c r="J10" s="20">
        <v>1</v>
      </c>
      <c r="K10" s="45">
        <v>2.5</v>
      </c>
      <c r="L10" s="45">
        <v>2.5</v>
      </c>
      <c r="M10" s="20">
        <v>2</v>
      </c>
      <c r="N10" s="14"/>
      <c r="O10" s="38">
        <f>SUM(D10:N10)</f>
      </c>
      <c r="P10" s="14"/>
      <c r="Q10" s="2"/>
      <c r="R10" s="2"/>
      <c r="S10" s="39">
        <f>SUM(D10:G10,K10,M10)</f>
      </c>
      <c r="T10" s="39">
        <f>SUM(H10,I10,J10,L10)</f>
      </c>
      <c r="U10" s="38">
        <f>SUM(S10:T10)</f>
      </c>
    </row>
    <row x14ac:dyDescent="0.25" r="11" customHeight="1" ht="18.75">
      <c r="A11" s="20">
        <f>'Mid Sem'!B11</f>
      </c>
      <c r="B11" s="25">
        <f>'Mid Sem'!A11</f>
      </c>
      <c r="C11" s="37" t="s">
        <v>157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45">
        <v>2.5</v>
      </c>
      <c r="L11" s="45">
        <v>2.5</v>
      </c>
      <c r="M11" s="20">
        <v>3</v>
      </c>
      <c r="N11" s="14"/>
      <c r="O11" s="38">
        <f>SUM(D11:N11)</f>
      </c>
      <c r="P11" s="14"/>
      <c r="Q11" s="2"/>
      <c r="R11" s="2"/>
      <c r="S11" s="39">
        <f>SUM(D11:G11,K11,M11)</f>
      </c>
      <c r="T11" s="39">
        <f>SUM(H11,I11,J11,L11)</f>
      </c>
      <c r="U11" s="38">
        <f>SUM(S11:T11)</f>
      </c>
    </row>
    <row x14ac:dyDescent="0.25" r="12" customHeight="1" ht="18.75">
      <c r="A12" s="20">
        <f>'Mid Sem'!B12</f>
      </c>
      <c r="B12" s="25">
        <f>'Mid Sem'!A12</f>
      </c>
      <c r="C12" s="37" t="s">
        <v>157</v>
      </c>
      <c r="D12" s="20">
        <v>1</v>
      </c>
      <c r="E12" s="20">
        <v>1</v>
      </c>
      <c r="F12" s="20">
        <v>1</v>
      </c>
      <c r="G12" s="20">
        <v>0</v>
      </c>
      <c r="H12" s="20">
        <v>1</v>
      </c>
      <c r="I12" s="20">
        <v>1</v>
      </c>
      <c r="J12" s="20">
        <v>1</v>
      </c>
      <c r="K12" s="45">
        <v>0.5</v>
      </c>
      <c r="L12" s="20">
        <v>0</v>
      </c>
      <c r="M12" s="20">
        <v>2</v>
      </c>
      <c r="N12" s="14"/>
      <c r="O12" s="39">
        <f>SUM(D12:N12)</f>
      </c>
      <c r="P12" s="14"/>
      <c r="Q12" s="2"/>
      <c r="R12" s="2"/>
      <c r="S12" s="39">
        <f>SUM(D12:G12,K12,M12)</f>
      </c>
      <c r="T12" s="38">
        <f>SUM(H12,I12,J12,L12)</f>
      </c>
      <c r="U12" s="39">
        <f>SUM(S12:T12)</f>
      </c>
    </row>
    <row x14ac:dyDescent="0.25" r="13" customHeight="1" ht="18.75">
      <c r="A13" s="20">
        <f>'Mid Sem'!B13</f>
      </c>
      <c r="B13" s="25">
        <f>'Mid Sem'!A13</f>
      </c>
      <c r="C13" s="37" t="s">
        <v>157</v>
      </c>
      <c r="D13" s="20">
        <v>1</v>
      </c>
      <c r="E13" s="20">
        <v>1</v>
      </c>
      <c r="F13" s="20">
        <v>1</v>
      </c>
      <c r="G13" s="20">
        <v>1</v>
      </c>
      <c r="H13" s="20">
        <v>0</v>
      </c>
      <c r="I13" s="20">
        <v>1</v>
      </c>
      <c r="J13" s="20">
        <v>1</v>
      </c>
      <c r="K13" s="20">
        <v>0</v>
      </c>
      <c r="L13" s="45">
        <v>2.5</v>
      </c>
      <c r="M13" s="20">
        <v>0</v>
      </c>
      <c r="N13" s="14"/>
      <c r="O13" s="39">
        <f>SUM(D13:N13)</f>
      </c>
      <c r="P13" s="14"/>
      <c r="Q13" s="2"/>
      <c r="R13" s="2"/>
      <c r="S13" s="38">
        <f>SUM(D13:G13,K13,M13)</f>
      </c>
      <c r="T13" s="39">
        <f>SUM(H13,I13,J13,L13)</f>
      </c>
      <c r="U13" s="39">
        <f>SUM(S13:T13)</f>
      </c>
    </row>
    <row x14ac:dyDescent="0.25" r="14" customHeight="1" ht="18.75">
      <c r="A14" s="20">
        <f>'Mid Sem'!B14</f>
      </c>
      <c r="B14" s="25">
        <f>'Mid Sem'!A14</f>
      </c>
      <c r="C14" s="37" t="s">
        <v>157</v>
      </c>
      <c r="D14" s="20">
        <v>1</v>
      </c>
      <c r="E14" s="20">
        <v>1</v>
      </c>
      <c r="F14" s="20">
        <v>1</v>
      </c>
      <c r="G14" s="20">
        <v>1</v>
      </c>
      <c r="H14" s="20">
        <v>1</v>
      </c>
      <c r="I14" s="20">
        <v>1</v>
      </c>
      <c r="J14" s="20">
        <v>1</v>
      </c>
      <c r="K14" s="45">
        <v>2.5</v>
      </c>
      <c r="L14" s="45">
        <v>2.5</v>
      </c>
      <c r="M14" s="20">
        <v>0</v>
      </c>
      <c r="N14" s="14"/>
      <c r="O14" s="38">
        <f>SUM(D14:N14)</f>
      </c>
      <c r="P14" s="14"/>
      <c r="Q14" s="2"/>
      <c r="R14" s="2"/>
      <c r="S14" s="39">
        <f>SUM(D14:G14,K14,M14)</f>
      </c>
      <c r="T14" s="39">
        <f>SUM(H14,I14,J14,L14)</f>
      </c>
      <c r="U14" s="38">
        <f>SUM(S14:T14)</f>
      </c>
    </row>
    <row x14ac:dyDescent="0.25" r="15" customHeight="1" ht="18.75">
      <c r="A15" s="20">
        <f>'Mid Sem'!B15</f>
      </c>
      <c r="B15" s="25">
        <f>'Mid Sem'!A15</f>
      </c>
      <c r="C15" s="37" t="s">
        <v>158</v>
      </c>
      <c r="D15" s="12"/>
      <c r="E15" s="12"/>
      <c r="F15" s="12"/>
      <c r="G15" s="12"/>
      <c r="H15" s="12"/>
      <c r="I15" s="12"/>
      <c r="J15" s="12"/>
      <c r="K15" s="53"/>
      <c r="L15" s="53"/>
      <c r="M15" s="12"/>
      <c r="N15" s="14"/>
      <c r="O15" s="46"/>
      <c r="P15" s="14"/>
      <c r="Q15" s="2"/>
      <c r="R15" s="2"/>
      <c r="S15" s="38">
        <f>SUM(D15:G15,K15,M15)</f>
      </c>
      <c r="T15" s="38">
        <f>SUM(H15,I15,J15,L15)</f>
      </c>
      <c r="U15" s="38">
        <f>SUM(S15:T15)</f>
      </c>
    </row>
    <row x14ac:dyDescent="0.25" r="16" customHeight="1" ht="18.75">
      <c r="A16" s="20">
        <f>'Mid Sem'!B16</f>
      </c>
      <c r="B16" s="25">
        <f>'Mid Sem'!A16</f>
      </c>
      <c r="C16" s="37" t="s">
        <v>157</v>
      </c>
      <c r="D16" s="20">
        <v>1</v>
      </c>
      <c r="E16" s="20">
        <v>0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45">
        <v>2.5</v>
      </c>
      <c r="N16" s="14"/>
      <c r="O16" s="39">
        <f>SUM(D16:N16)</f>
      </c>
      <c r="P16" s="14"/>
      <c r="Q16" s="2"/>
      <c r="R16" s="2"/>
      <c r="S16" s="39">
        <f>SUM(D16:G16,K16,M16)</f>
      </c>
      <c r="T16" s="38">
        <f>SUM(H16,I16,J16,L16)</f>
      </c>
      <c r="U16" s="39">
        <f>SUM(S16:T16)</f>
      </c>
    </row>
    <row x14ac:dyDescent="0.25" r="17" customHeight="1" ht="18.75">
      <c r="A17" s="20">
        <f>'Mid Sem'!B17</f>
      </c>
      <c r="B17" s="25">
        <f>'Mid Sem'!A17</f>
      </c>
      <c r="C17" s="37" t="s">
        <v>157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45">
        <v>0.5</v>
      </c>
      <c r="L17" s="45">
        <v>1.5</v>
      </c>
      <c r="M17" s="20">
        <v>3</v>
      </c>
      <c r="N17" s="14"/>
      <c r="O17" s="38">
        <f>SUM(D17:N17)</f>
      </c>
      <c r="P17" s="14"/>
      <c r="Q17" s="2"/>
      <c r="R17" s="2"/>
      <c r="S17" s="39">
        <f>SUM(D17:G17,K17,M17)</f>
      </c>
      <c r="T17" s="39">
        <f>SUM(H17,I17,J17,L17)</f>
      </c>
      <c r="U17" s="38">
        <f>SUM(S17:T17)</f>
      </c>
    </row>
    <row x14ac:dyDescent="0.25" r="18" customHeight="1" ht="18.75">
      <c r="A18" s="20">
        <f>'Mid Sem'!B18</f>
      </c>
      <c r="B18" s="25">
        <f>'Mid Sem'!A18</f>
      </c>
      <c r="C18" s="37" t="s">
        <v>158</v>
      </c>
      <c r="D18" s="12"/>
      <c r="E18" s="12"/>
      <c r="F18" s="12"/>
      <c r="G18" s="12"/>
      <c r="H18" s="12"/>
      <c r="I18" s="12"/>
      <c r="J18" s="12"/>
      <c r="K18" s="53"/>
      <c r="L18" s="53"/>
      <c r="M18" s="12"/>
      <c r="N18" s="14"/>
      <c r="O18" s="46"/>
      <c r="P18" s="14"/>
      <c r="Q18" s="2"/>
      <c r="R18" s="2"/>
      <c r="S18" s="38">
        <f>SUM(D18:G18,K18,M18)</f>
      </c>
      <c r="T18" s="38">
        <f>SUM(H18,I18,J18,L18)</f>
      </c>
      <c r="U18" s="38">
        <f>SUM(S18:T18)</f>
      </c>
    </row>
    <row x14ac:dyDescent="0.25" r="19" customHeight="1" ht="18.75">
      <c r="A19" s="20">
        <f>'Mid Sem'!B19</f>
      </c>
      <c r="B19" s="25">
        <f>'Mid Sem'!A19</f>
      </c>
      <c r="C19" s="37" t="s">
        <v>158</v>
      </c>
      <c r="D19" s="12"/>
      <c r="E19" s="12"/>
      <c r="F19" s="12"/>
      <c r="G19" s="12"/>
      <c r="H19" s="12"/>
      <c r="I19" s="12"/>
      <c r="J19" s="12"/>
      <c r="K19" s="53"/>
      <c r="L19" s="53"/>
      <c r="M19" s="12"/>
      <c r="N19" s="14"/>
      <c r="O19" s="46"/>
      <c r="P19" s="14"/>
      <c r="Q19" s="2"/>
      <c r="R19" s="2"/>
      <c r="S19" s="38">
        <f>SUM(D19:G19,K19,M19)</f>
      </c>
      <c r="T19" s="38">
        <f>SUM(H19,I19,J19,L19)</f>
      </c>
      <c r="U19" s="38">
        <f>SUM(S19:T19)</f>
      </c>
    </row>
    <row x14ac:dyDescent="0.25" r="20" customHeight="1" ht="18.75">
      <c r="A20" s="20">
        <f>'Mid Sem'!B20</f>
      </c>
      <c r="B20" s="25">
        <f>'Mid Sem'!A20</f>
      </c>
      <c r="C20" s="37" t="s">
        <v>157</v>
      </c>
      <c r="D20" s="20">
        <v>1</v>
      </c>
      <c r="E20" s="20">
        <v>1</v>
      </c>
      <c r="F20" s="20">
        <v>1</v>
      </c>
      <c r="G20" s="20">
        <v>1</v>
      </c>
      <c r="H20" s="20">
        <v>0</v>
      </c>
      <c r="I20" s="20">
        <v>1</v>
      </c>
      <c r="J20" s="20">
        <v>0</v>
      </c>
      <c r="K20" s="45">
        <v>1.5</v>
      </c>
      <c r="L20" s="45">
        <v>2.5</v>
      </c>
      <c r="M20" s="20">
        <v>1</v>
      </c>
      <c r="N20" s="14"/>
      <c r="O20" s="38">
        <f>SUM(D20:N20)</f>
      </c>
      <c r="P20" s="14"/>
      <c r="Q20" s="2"/>
      <c r="R20" s="2"/>
      <c r="S20" s="39">
        <f>SUM(D20:G20,K20,M20)</f>
      </c>
      <c r="T20" s="39">
        <f>SUM(H20,I20,J20,L20)</f>
      </c>
      <c r="U20" s="38">
        <f>SUM(S20:T20)</f>
      </c>
    </row>
    <row x14ac:dyDescent="0.25" r="21" customHeight="1" ht="18.75">
      <c r="A21" s="20">
        <f>'Mid Sem'!B21</f>
      </c>
      <c r="B21" s="25">
        <f>'Mid Sem'!A21</f>
      </c>
      <c r="C21" s="37" t="s">
        <v>157</v>
      </c>
      <c r="D21" s="20">
        <v>1</v>
      </c>
      <c r="E21" s="20">
        <v>0</v>
      </c>
      <c r="F21" s="20">
        <v>1</v>
      </c>
      <c r="G21" s="20">
        <v>1</v>
      </c>
      <c r="H21" s="20">
        <v>1</v>
      </c>
      <c r="I21" s="20">
        <v>1</v>
      </c>
      <c r="J21" s="20">
        <v>1</v>
      </c>
      <c r="K21" s="20">
        <v>0</v>
      </c>
      <c r="L21" s="20">
        <v>1</v>
      </c>
      <c r="M21" s="20">
        <v>1</v>
      </c>
      <c r="N21" s="14"/>
      <c r="O21" s="38">
        <f>SUM(D21:N21)</f>
      </c>
      <c r="P21" s="14"/>
      <c r="Q21" s="2"/>
      <c r="R21" s="2"/>
      <c r="S21" s="38">
        <f>SUM(D21:G21,K21,M21)</f>
      </c>
      <c r="T21" s="38">
        <f>SUM(H21,I21,J21,L21)</f>
      </c>
      <c r="U21" s="38">
        <f>SUM(S21:T21)</f>
      </c>
    </row>
    <row x14ac:dyDescent="0.25" r="22" customHeight="1" ht="18.75">
      <c r="A22" s="20">
        <f>'Mid Sem'!B22</f>
      </c>
      <c r="B22" s="25">
        <f>'Mid Sem'!A22</f>
      </c>
      <c r="C22" s="37" t="s">
        <v>158</v>
      </c>
      <c r="D22" s="12"/>
      <c r="E22" s="12"/>
      <c r="F22" s="12"/>
      <c r="G22" s="12"/>
      <c r="H22" s="12"/>
      <c r="I22" s="12"/>
      <c r="J22" s="12"/>
      <c r="K22" s="53"/>
      <c r="L22" s="53"/>
      <c r="M22" s="12"/>
      <c r="N22" s="14"/>
      <c r="O22" s="46"/>
      <c r="P22" s="14"/>
      <c r="Q22" s="2"/>
      <c r="R22" s="2"/>
      <c r="S22" s="38">
        <f>SUM(D22:G22,K22,M22)</f>
      </c>
      <c r="T22" s="38">
        <f>SUM(H22,I22,J22,L22)</f>
      </c>
      <c r="U22" s="38">
        <f>SUM(S22:T22)</f>
      </c>
    </row>
    <row x14ac:dyDescent="0.25" r="23" customHeight="1" ht="18.75">
      <c r="A23" s="20">
        <f>'Mid Sem'!B23</f>
      </c>
      <c r="B23" s="25">
        <f>'Mid Sem'!A23</f>
      </c>
      <c r="C23" s="37" t="s">
        <v>157</v>
      </c>
      <c r="D23" s="20">
        <v>1</v>
      </c>
      <c r="E23" s="20">
        <v>1</v>
      </c>
      <c r="F23" s="20">
        <v>1</v>
      </c>
      <c r="G23" s="20">
        <v>1</v>
      </c>
      <c r="H23" s="20">
        <v>1</v>
      </c>
      <c r="I23" s="20">
        <v>1</v>
      </c>
      <c r="J23" s="20">
        <v>1</v>
      </c>
      <c r="K23" s="45">
        <v>2.5</v>
      </c>
      <c r="L23" s="45">
        <v>2.5</v>
      </c>
      <c r="M23" s="20">
        <v>3</v>
      </c>
      <c r="N23" s="14"/>
      <c r="O23" s="38">
        <f>SUM(D23:N23)</f>
      </c>
      <c r="P23" s="14"/>
      <c r="Q23" s="2"/>
      <c r="R23" s="2"/>
      <c r="S23" s="39">
        <f>SUM(D23:G23,K23,M23)</f>
      </c>
      <c r="T23" s="39">
        <f>SUM(H23,I23,J23,L23)</f>
      </c>
      <c r="U23" s="38">
        <f>SUM(S23:T23)</f>
      </c>
    </row>
    <row x14ac:dyDescent="0.25" r="24" customHeight="1" ht="18.75">
      <c r="A24" s="20">
        <f>'Mid Sem'!B24</f>
      </c>
      <c r="B24" s="25">
        <f>'Mid Sem'!A24</f>
      </c>
      <c r="C24" s="37" t="s">
        <v>157</v>
      </c>
      <c r="D24" s="20">
        <v>1</v>
      </c>
      <c r="E24" s="20">
        <v>0</v>
      </c>
      <c r="F24" s="20">
        <v>1</v>
      </c>
      <c r="G24" s="20">
        <v>1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0">
        <v>3</v>
      </c>
      <c r="N24" s="14"/>
      <c r="O24" s="38">
        <f>SUM(D24:N24)</f>
      </c>
      <c r="P24" s="14"/>
      <c r="Q24" s="2"/>
      <c r="R24" s="2"/>
      <c r="S24" s="38">
        <f>SUM(D24:G24,K24,M24)</f>
      </c>
      <c r="T24" s="38">
        <f>SUM(H24,I24,J24,L24)</f>
      </c>
      <c r="U24" s="38">
        <f>SUM(S24:T24)</f>
      </c>
    </row>
    <row x14ac:dyDescent="0.25" r="25" customHeight="1" ht="18.75">
      <c r="A25" s="20">
        <f>'Mid Sem'!B25</f>
      </c>
      <c r="B25" s="25">
        <f>'Mid Sem'!A25</f>
      </c>
      <c r="C25" s="37" t="s">
        <v>157</v>
      </c>
      <c r="D25" s="20">
        <v>1</v>
      </c>
      <c r="E25" s="20">
        <v>1</v>
      </c>
      <c r="F25" s="20">
        <v>1</v>
      </c>
      <c r="G25" s="20">
        <v>1</v>
      </c>
      <c r="H25" s="20">
        <v>1</v>
      </c>
      <c r="I25" s="20">
        <v>1</v>
      </c>
      <c r="J25" s="20">
        <v>1</v>
      </c>
      <c r="K25" s="45">
        <v>1.5</v>
      </c>
      <c r="L25" s="45">
        <v>2.5</v>
      </c>
      <c r="M25" s="20">
        <v>0</v>
      </c>
      <c r="N25" s="14"/>
      <c r="O25" s="38">
        <f>SUM(D25:N25)</f>
      </c>
      <c r="P25" s="14"/>
      <c r="Q25" s="2"/>
      <c r="R25" s="2"/>
      <c r="S25" s="39">
        <f>SUM(D25:G25,K25,M25)</f>
      </c>
      <c r="T25" s="39">
        <f>SUM(H25,I25,J25,L25)</f>
      </c>
      <c r="U25" s="38">
        <f>SUM(S25:T25)</f>
      </c>
    </row>
    <row x14ac:dyDescent="0.25" r="26" customHeight="1" ht="18.75">
      <c r="A26" s="20">
        <f>'Mid Sem'!B26</f>
      </c>
      <c r="B26" s="25">
        <f>'Mid Sem'!A26</f>
      </c>
      <c r="C26" s="37" t="s">
        <v>157</v>
      </c>
      <c r="D26" s="20">
        <v>1</v>
      </c>
      <c r="E26" s="20">
        <v>1</v>
      </c>
      <c r="F26" s="20">
        <v>1</v>
      </c>
      <c r="G26" s="20">
        <v>1</v>
      </c>
      <c r="H26" s="20">
        <v>1</v>
      </c>
      <c r="I26" s="20">
        <v>1</v>
      </c>
      <c r="J26" s="20">
        <v>1</v>
      </c>
      <c r="K26" s="45">
        <v>2.5</v>
      </c>
      <c r="L26" s="45">
        <v>2.5</v>
      </c>
      <c r="M26" s="20">
        <v>3</v>
      </c>
      <c r="N26" s="14"/>
      <c r="O26" s="38">
        <f>SUM(D26:N26)</f>
      </c>
      <c r="P26" s="14"/>
      <c r="Q26" s="2"/>
      <c r="R26" s="2"/>
      <c r="S26" s="39">
        <f>SUM(D26:G26,K26,M26)</f>
      </c>
      <c r="T26" s="39">
        <f>SUM(H26,I26,J26,L26)</f>
      </c>
      <c r="U26" s="38">
        <f>SUM(S26:T26)</f>
      </c>
    </row>
    <row x14ac:dyDescent="0.25" r="27" customHeight="1" ht="18.75">
      <c r="A27" s="20">
        <f>'Mid Sem'!B27</f>
      </c>
      <c r="B27" s="25">
        <f>'Mid Sem'!A27</f>
      </c>
      <c r="C27" s="37" t="s">
        <v>157</v>
      </c>
      <c r="D27" s="20">
        <v>1</v>
      </c>
      <c r="E27" s="20">
        <v>1</v>
      </c>
      <c r="F27" s="20">
        <v>1</v>
      </c>
      <c r="G27" s="20">
        <v>1</v>
      </c>
      <c r="H27" s="20">
        <v>1</v>
      </c>
      <c r="I27" s="20">
        <v>1</v>
      </c>
      <c r="J27" s="20">
        <v>1</v>
      </c>
      <c r="K27" s="20">
        <v>2</v>
      </c>
      <c r="L27" s="45">
        <v>2.5</v>
      </c>
      <c r="M27" s="20">
        <v>3</v>
      </c>
      <c r="N27" s="14"/>
      <c r="O27" s="39">
        <f>SUM(D27:N27)</f>
      </c>
      <c r="P27" s="14"/>
      <c r="Q27" s="2"/>
      <c r="R27" s="2"/>
      <c r="S27" s="38">
        <f>SUM(D27:G27,K27,M27)</f>
      </c>
      <c r="T27" s="39">
        <f>SUM(H27,I27,J27,L27)</f>
      </c>
      <c r="U27" s="39">
        <f>SUM(S27:T27)</f>
      </c>
    </row>
    <row x14ac:dyDescent="0.25" r="28" customHeight="1" ht="18.75">
      <c r="A28" s="20">
        <f>'Mid Sem'!B28</f>
      </c>
      <c r="B28" s="25">
        <f>'Mid Sem'!A28</f>
      </c>
      <c r="C28" s="37" t="s">
        <v>157</v>
      </c>
      <c r="D28" s="20">
        <v>1</v>
      </c>
      <c r="E28" s="20">
        <v>1</v>
      </c>
      <c r="F28" s="20">
        <v>1</v>
      </c>
      <c r="G28" s="20">
        <v>1</v>
      </c>
      <c r="H28" s="20">
        <v>1</v>
      </c>
      <c r="I28" s="20">
        <v>1</v>
      </c>
      <c r="J28" s="20">
        <v>1</v>
      </c>
      <c r="K28" s="20">
        <v>1</v>
      </c>
      <c r="L28" s="45">
        <v>2.5</v>
      </c>
      <c r="M28" s="45">
        <v>1.5</v>
      </c>
      <c r="N28" s="14"/>
      <c r="O28" s="38">
        <f>SUM(D28:N28)</f>
      </c>
      <c r="P28" s="14"/>
      <c r="Q28" s="2"/>
      <c r="R28" s="2"/>
      <c r="S28" s="39">
        <f>SUM(D28:G28,K28,M28)</f>
      </c>
      <c r="T28" s="39">
        <f>SUM(H28,I28,J28,L28)</f>
      </c>
      <c r="U28" s="38">
        <f>SUM(S28:T28)</f>
      </c>
    </row>
    <row x14ac:dyDescent="0.25" r="29" customHeight="1" ht="18.75">
      <c r="A29" s="20">
        <f>'Mid Sem'!B29</f>
      </c>
      <c r="B29" s="25">
        <f>'Mid Sem'!A29</f>
      </c>
      <c r="C29" s="37" t="s">
        <v>158</v>
      </c>
      <c r="D29" s="12"/>
      <c r="E29" s="12"/>
      <c r="F29" s="12"/>
      <c r="G29" s="12"/>
      <c r="H29" s="12"/>
      <c r="I29" s="12"/>
      <c r="J29" s="12"/>
      <c r="K29" s="53"/>
      <c r="L29" s="53"/>
      <c r="M29" s="12"/>
      <c r="N29" s="14"/>
      <c r="O29" s="46"/>
      <c r="P29" s="14"/>
      <c r="Q29" s="2"/>
      <c r="R29" s="2"/>
      <c r="S29" s="38">
        <f>SUM(D29:G29,K29,M29)</f>
      </c>
      <c r="T29" s="38">
        <f>SUM(H29,I29,J29,L29)</f>
      </c>
      <c r="U29" s="38">
        <f>SUM(S29:T29)</f>
      </c>
    </row>
    <row x14ac:dyDescent="0.25" r="30" customHeight="1" ht="18.75">
      <c r="A30" s="20">
        <f>'Mid Sem'!B30</f>
      </c>
      <c r="B30" s="25">
        <f>'Mid Sem'!A30</f>
      </c>
      <c r="C30" s="37" t="s">
        <v>157</v>
      </c>
      <c r="D30" s="20">
        <v>0</v>
      </c>
      <c r="E30" s="20">
        <v>1</v>
      </c>
      <c r="F30" s="20">
        <v>0</v>
      </c>
      <c r="G30" s="20">
        <v>1</v>
      </c>
      <c r="H30" s="20">
        <v>1</v>
      </c>
      <c r="I30" s="20">
        <v>1</v>
      </c>
      <c r="J30" s="20">
        <v>1</v>
      </c>
      <c r="K30" s="20">
        <v>0</v>
      </c>
      <c r="L30" s="45">
        <v>2.5</v>
      </c>
      <c r="M30" s="20">
        <v>1</v>
      </c>
      <c r="N30" s="14"/>
      <c r="O30" s="39">
        <f>SUM(D30:N30)</f>
      </c>
      <c r="P30" s="14"/>
      <c r="Q30" s="2"/>
      <c r="R30" s="2"/>
      <c r="S30" s="38">
        <f>SUM(D30:G30,K30,M30)</f>
      </c>
      <c r="T30" s="39">
        <f>SUM(H30,I30,J30,L30)</f>
      </c>
      <c r="U30" s="39">
        <f>SUM(S30:T30)</f>
      </c>
    </row>
    <row x14ac:dyDescent="0.25" r="31" customHeight="1" ht="18.75">
      <c r="A31" s="20">
        <f>'Mid Sem'!B31</f>
      </c>
      <c r="B31" s="25">
        <f>'Mid Sem'!A31</f>
      </c>
      <c r="C31" s="37" t="s">
        <v>157</v>
      </c>
      <c r="D31" s="20">
        <v>1</v>
      </c>
      <c r="E31" s="20">
        <v>1</v>
      </c>
      <c r="F31" s="20">
        <v>1</v>
      </c>
      <c r="G31" s="20">
        <v>1</v>
      </c>
      <c r="H31" s="20">
        <v>1</v>
      </c>
      <c r="I31" s="20">
        <v>1</v>
      </c>
      <c r="J31" s="20">
        <v>1</v>
      </c>
      <c r="K31" s="45">
        <v>2.5</v>
      </c>
      <c r="L31" s="45">
        <v>2.5</v>
      </c>
      <c r="M31" s="20">
        <v>0</v>
      </c>
      <c r="N31" s="14"/>
      <c r="O31" s="38">
        <f>SUM(D31:N31)</f>
      </c>
      <c r="P31" s="14"/>
      <c r="Q31" s="2"/>
      <c r="R31" s="2"/>
      <c r="S31" s="39">
        <f>SUM(D31:G31,K31,M31)</f>
      </c>
      <c r="T31" s="39">
        <f>SUM(H31,I31,J31,L31)</f>
      </c>
      <c r="U31" s="38">
        <f>SUM(S31:T31)</f>
      </c>
    </row>
    <row x14ac:dyDescent="0.25" r="32" customHeight="1" ht="18.75">
      <c r="A32" s="20">
        <f>'Mid Sem'!B32</f>
      </c>
      <c r="B32" s="25">
        <f>'Mid Sem'!A32</f>
      </c>
      <c r="C32" s="37" t="s">
        <v>157</v>
      </c>
      <c r="D32" s="20">
        <v>0</v>
      </c>
      <c r="E32" s="20">
        <v>1</v>
      </c>
      <c r="F32" s="20">
        <v>0</v>
      </c>
      <c r="G32" s="20">
        <v>1</v>
      </c>
      <c r="H32" s="20">
        <v>1</v>
      </c>
      <c r="I32" s="20">
        <v>1</v>
      </c>
      <c r="J32" s="20">
        <v>1</v>
      </c>
      <c r="K32" s="20">
        <v>0</v>
      </c>
      <c r="L32" s="45">
        <v>2.5</v>
      </c>
      <c r="M32" s="20">
        <v>1</v>
      </c>
      <c r="N32" s="14"/>
      <c r="O32" s="39">
        <f>SUM(D32:N32)</f>
      </c>
      <c r="P32" s="14"/>
      <c r="Q32" s="2"/>
      <c r="R32" s="2"/>
      <c r="S32" s="38">
        <f>SUM(D32:G32,K32,M32)</f>
      </c>
      <c r="T32" s="39">
        <f>SUM(H32,I32,J32,L32)</f>
      </c>
      <c r="U32" s="39">
        <f>SUM(S32:T32)</f>
      </c>
    </row>
    <row x14ac:dyDescent="0.25" r="33" customHeight="1" ht="18.75">
      <c r="A33" s="20">
        <f>'Mid Sem'!B33</f>
      </c>
      <c r="B33" s="25">
        <f>'Mid Sem'!A33</f>
      </c>
      <c r="C33" s="37" t="s">
        <v>157</v>
      </c>
      <c r="D33" s="20">
        <v>1</v>
      </c>
      <c r="E33" s="20">
        <v>1</v>
      </c>
      <c r="F33" s="20">
        <v>1</v>
      </c>
      <c r="G33" s="20">
        <v>1</v>
      </c>
      <c r="H33" s="20">
        <v>1</v>
      </c>
      <c r="I33" s="20">
        <v>0</v>
      </c>
      <c r="J33" s="20">
        <v>1</v>
      </c>
      <c r="K33" s="20">
        <v>1</v>
      </c>
      <c r="L33" s="20">
        <v>1</v>
      </c>
      <c r="M33" s="20">
        <v>3</v>
      </c>
      <c r="N33" s="14"/>
      <c r="O33" s="38">
        <f>SUM(D33:N33)</f>
      </c>
      <c r="P33" s="14"/>
      <c r="Q33" s="2"/>
      <c r="R33" s="2"/>
      <c r="S33" s="38">
        <f>SUM(D33:G33,K33,M33)</f>
      </c>
      <c r="T33" s="38">
        <f>SUM(H33,I33,J33,L33)</f>
      </c>
      <c r="U33" s="38">
        <f>SUM(S33:T33)</f>
      </c>
    </row>
    <row x14ac:dyDescent="0.25" r="34" customHeight="1" ht="18.75">
      <c r="A34" s="20">
        <f>'Mid Sem'!B34</f>
      </c>
      <c r="B34" s="25">
        <f>'Mid Sem'!A34</f>
      </c>
      <c r="C34" s="37" t="s">
        <v>157</v>
      </c>
      <c r="D34" s="20">
        <v>1</v>
      </c>
      <c r="E34" s="20">
        <v>1</v>
      </c>
      <c r="F34" s="20">
        <v>1</v>
      </c>
      <c r="G34" s="20">
        <v>1</v>
      </c>
      <c r="H34" s="20">
        <v>1</v>
      </c>
      <c r="I34" s="20">
        <v>1</v>
      </c>
      <c r="J34" s="20">
        <v>1</v>
      </c>
      <c r="K34" s="45">
        <v>2.5</v>
      </c>
      <c r="L34" s="45">
        <v>2.5</v>
      </c>
      <c r="M34" s="20">
        <v>3</v>
      </c>
      <c r="N34" s="14"/>
      <c r="O34" s="38">
        <f>SUM(D34:N34)</f>
      </c>
      <c r="P34" s="14"/>
      <c r="Q34" s="2"/>
      <c r="R34" s="2"/>
      <c r="S34" s="39">
        <f>SUM(D34:G34,K34,M34)</f>
      </c>
      <c r="T34" s="39">
        <f>SUM(H34,I34,J34,L34)</f>
      </c>
      <c r="U34" s="38">
        <f>SUM(S34:T34)</f>
      </c>
    </row>
    <row x14ac:dyDescent="0.25" r="35" customHeight="1" ht="18.75">
      <c r="A35" s="20">
        <f>'Mid Sem'!B35</f>
      </c>
      <c r="B35" s="25">
        <f>'Mid Sem'!A35</f>
      </c>
      <c r="C35" s="37" t="s">
        <v>157</v>
      </c>
      <c r="D35" s="20">
        <v>1</v>
      </c>
      <c r="E35" s="20">
        <v>1</v>
      </c>
      <c r="F35" s="20">
        <v>1</v>
      </c>
      <c r="G35" s="20">
        <v>1</v>
      </c>
      <c r="H35" s="20">
        <v>1</v>
      </c>
      <c r="I35" s="20">
        <v>1</v>
      </c>
      <c r="J35" s="20">
        <v>1</v>
      </c>
      <c r="K35" s="45">
        <v>2.5</v>
      </c>
      <c r="L35" s="45">
        <v>2.5</v>
      </c>
      <c r="M35" s="20">
        <v>0</v>
      </c>
      <c r="N35" s="14"/>
      <c r="O35" s="38">
        <f>SUM(D35:N35)</f>
      </c>
      <c r="P35" s="14"/>
      <c r="Q35" s="2"/>
      <c r="R35" s="2"/>
      <c r="S35" s="39">
        <f>SUM(D35:G35,K35,M35)</f>
      </c>
      <c r="T35" s="39">
        <f>SUM(H35,I35,J35,L35)</f>
      </c>
      <c r="U35" s="38">
        <f>SUM(S35:T35)</f>
      </c>
    </row>
    <row x14ac:dyDescent="0.25" r="36" customHeight="1" ht="18.75">
      <c r="A36" s="20">
        <f>'Mid Sem'!B36</f>
      </c>
      <c r="B36" s="25">
        <f>'Mid Sem'!A36</f>
      </c>
      <c r="C36" s="37" t="s">
        <v>157</v>
      </c>
      <c r="D36" s="20">
        <v>1</v>
      </c>
      <c r="E36" s="20">
        <v>1</v>
      </c>
      <c r="F36" s="20">
        <v>1</v>
      </c>
      <c r="G36" s="20">
        <v>1</v>
      </c>
      <c r="H36" s="20">
        <v>1</v>
      </c>
      <c r="I36" s="20">
        <v>1</v>
      </c>
      <c r="J36" s="20">
        <v>1</v>
      </c>
      <c r="K36" s="45">
        <v>2.5</v>
      </c>
      <c r="L36" s="45">
        <v>2.5</v>
      </c>
      <c r="M36" s="20">
        <v>3</v>
      </c>
      <c r="N36" s="14"/>
      <c r="O36" s="38">
        <f>SUM(D36:N36)</f>
      </c>
      <c r="P36" s="14"/>
      <c r="Q36" s="2"/>
      <c r="R36" s="2"/>
      <c r="S36" s="39">
        <f>SUM(D36:G36,K36,M36)</f>
      </c>
      <c r="T36" s="39">
        <f>SUM(H36,I36,J36,L36)</f>
      </c>
      <c r="U36" s="38">
        <f>SUM(S36:T36)</f>
      </c>
    </row>
    <row x14ac:dyDescent="0.25" r="37" customHeight="1" ht="18.75">
      <c r="A37" s="20">
        <f>'Mid Sem'!B37</f>
      </c>
      <c r="B37" s="25">
        <f>'Mid Sem'!A37</f>
      </c>
      <c r="C37" s="37" t="s">
        <v>157</v>
      </c>
      <c r="D37" s="20">
        <v>1</v>
      </c>
      <c r="E37" s="20">
        <v>1</v>
      </c>
      <c r="F37" s="20">
        <v>1</v>
      </c>
      <c r="G37" s="20">
        <v>1</v>
      </c>
      <c r="H37" s="20">
        <v>1</v>
      </c>
      <c r="I37" s="20">
        <v>1</v>
      </c>
      <c r="J37" s="20">
        <v>1</v>
      </c>
      <c r="K37" s="20">
        <v>0</v>
      </c>
      <c r="L37" s="20">
        <v>1</v>
      </c>
      <c r="M37" s="20">
        <v>0</v>
      </c>
      <c r="N37" s="14"/>
      <c r="O37" s="38">
        <f>SUM(D37:N37)</f>
      </c>
      <c r="P37" s="14"/>
      <c r="Q37" s="2"/>
      <c r="R37" s="2"/>
      <c r="S37" s="38">
        <f>SUM(D37:G37,K37,M37)</f>
      </c>
      <c r="T37" s="38">
        <f>SUM(H37,I37,J37,L37)</f>
      </c>
      <c r="U37" s="38">
        <f>SUM(S37:T37)</f>
      </c>
    </row>
    <row x14ac:dyDescent="0.25" r="38" customHeight="1" ht="18.75">
      <c r="A38" s="20">
        <f>'Mid Sem'!B38</f>
      </c>
      <c r="B38" s="25">
        <f>'Mid Sem'!A38</f>
      </c>
      <c r="C38" s="37" t="s">
        <v>157</v>
      </c>
      <c r="D38" s="20">
        <v>1</v>
      </c>
      <c r="E38" s="20">
        <v>1</v>
      </c>
      <c r="F38" s="20">
        <v>1</v>
      </c>
      <c r="G38" s="20">
        <v>1</v>
      </c>
      <c r="H38" s="20">
        <v>1</v>
      </c>
      <c r="I38" s="20">
        <v>1</v>
      </c>
      <c r="J38" s="20">
        <v>1</v>
      </c>
      <c r="K38" s="45">
        <v>2.5</v>
      </c>
      <c r="L38" s="45">
        <v>2.5</v>
      </c>
      <c r="M38" s="20">
        <v>3</v>
      </c>
      <c r="N38" s="14"/>
      <c r="O38" s="38">
        <f>SUM(D38:N38)</f>
      </c>
      <c r="P38" s="14"/>
      <c r="Q38" s="2"/>
      <c r="R38" s="2"/>
      <c r="S38" s="39">
        <f>SUM(D38:G38,K38,M38)</f>
      </c>
      <c r="T38" s="39">
        <f>SUM(H38,I38,J38,L38)</f>
      </c>
      <c r="U38" s="38">
        <f>SUM(S38:T38)</f>
      </c>
    </row>
    <row x14ac:dyDescent="0.25" r="39" customHeight="1" ht="18.75">
      <c r="A39" s="20">
        <f>'Mid Sem'!B39</f>
      </c>
      <c r="B39" s="25">
        <f>'Mid Sem'!A39</f>
      </c>
      <c r="C39" s="37" t="s">
        <v>157</v>
      </c>
      <c r="D39" s="20">
        <v>1</v>
      </c>
      <c r="E39" s="20">
        <v>1</v>
      </c>
      <c r="F39" s="20">
        <v>1</v>
      </c>
      <c r="G39" s="20">
        <v>1</v>
      </c>
      <c r="H39" s="20">
        <v>1</v>
      </c>
      <c r="I39" s="20">
        <v>1</v>
      </c>
      <c r="J39" s="20">
        <v>1</v>
      </c>
      <c r="K39" s="20">
        <v>1</v>
      </c>
      <c r="L39" s="20">
        <v>0</v>
      </c>
      <c r="M39" s="20">
        <v>0</v>
      </c>
      <c r="N39" s="14"/>
      <c r="O39" s="38">
        <f>SUM(D39:N39)</f>
      </c>
      <c r="P39" s="14"/>
      <c r="Q39" s="2"/>
      <c r="R39" s="2"/>
      <c r="S39" s="38">
        <f>SUM(D39:G39,K39,M39)</f>
      </c>
      <c r="T39" s="38">
        <f>SUM(H39,I39,J39,L39)</f>
      </c>
      <c r="U39" s="38">
        <f>SUM(S39:T39)</f>
      </c>
    </row>
    <row x14ac:dyDescent="0.25" r="40" customHeight="1" ht="18.75">
      <c r="A40" s="20">
        <f>'Mid Sem'!B40</f>
      </c>
      <c r="B40" s="25">
        <f>'Mid Sem'!A40</f>
      </c>
      <c r="C40" s="37" t="s">
        <v>157</v>
      </c>
      <c r="D40" s="20">
        <v>1</v>
      </c>
      <c r="E40" s="20">
        <v>1</v>
      </c>
      <c r="F40" s="20">
        <v>1</v>
      </c>
      <c r="G40" s="20">
        <v>1</v>
      </c>
      <c r="H40" s="20">
        <v>1</v>
      </c>
      <c r="I40" s="20">
        <v>1</v>
      </c>
      <c r="J40" s="20">
        <v>1</v>
      </c>
      <c r="K40" s="20">
        <v>0</v>
      </c>
      <c r="L40" s="45">
        <v>2.5</v>
      </c>
      <c r="M40" s="20">
        <v>3</v>
      </c>
      <c r="N40" s="14"/>
      <c r="O40" s="39">
        <f>SUM(D40:N40)</f>
      </c>
      <c r="P40" s="14"/>
      <c r="Q40" s="2"/>
      <c r="R40" s="2"/>
      <c r="S40" s="38">
        <f>SUM(D40:G40,K40,M40)</f>
      </c>
      <c r="T40" s="39">
        <f>SUM(H40,I40,J40,L40)</f>
      </c>
      <c r="U40" s="39">
        <f>SUM(S40:T40)</f>
      </c>
    </row>
    <row x14ac:dyDescent="0.25" r="41" customHeight="1" ht="18.75">
      <c r="A41" s="20">
        <f>'Mid Sem'!B41</f>
      </c>
      <c r="B41" s="25">
        <f>'Mid Sem'!A41</f>
      </c>
      <c r="C41" s="37" t="s">
        <v>158</v>
      </c>
      <c r="D41" s="12"/>
      <c r="E41" s="12"/>
      <c r="F41" s="12"/>
      <c r="G41" s="12"/>
      <c r="H41" s="12"/>
      <c r="I41" s="12"/>
      <c r="J41" s="12"/>
      <c r="K41" s="53"/>
      <c r="L41" s="53"/>
      <c r="M41" s="12"/>
      <c r="N41" s="14"/>
      <c r="O41" s="46"/>
      <c r="P41" s="14"/>
      <c r="Q41" s="2"/>
      <c r="R41" s="2"/>
      <c r="S41" s="38">
        <f>SUM(D41:G41,K41,M41)</f>
      </c>
      <c r="T41" s="38">
        <f>SUM(H41,I41,J41,L41)</f>
      </c>
      <c r="U41" s="38">
        <f>SUM(S41:T41)</f>
      </c>
    </row>
    <row x14ac:dyDescent="0.25" r="42" customHeight="1" ht="18.75">
      <c r="A42" s="20">
        <f>'Mid Sem'!B42</f>
      </c>
      <c r="B42" s="25">
        <f>'Mid Sem'!A42</f>
      </c>
      <c r="C42" s="37" t="s">
        <v>157</v>
      </c>
      <c r="D42" s="20">
        <v>1</v>
      </c>
      <c r="E42" s="20">
        <v>1</v>
      </c>
      <c r="F42" s="20">
        <v>1</v>
      </c>
      <c r="G42" s="20">
        <v>1</v>
      </c>
      <c r="H42" s="20">
        <v>1</v>
      </c>
      <c r="I42" s="20">
        <v>0</v>
      </c>
      <c r="J42" s="20">
        <v>1</v>
      </c>
      <c r="K42" s="20">
        <v>1</v>
      </c>
      <c r="L42" s="20">
        <v>1</v>
      </c>
      <c r="M42" s="20">
        <v>2</v>
      </c>
      <c r="N42" s="14"/>
      <c r="O42" s="38">
        <f>SUM(D42:N42)</f>
      </c>
      <c r="P42" s="14"/>
      <c r="Q42" s="2"/>
      <c r="R42" s="2"/>
      <c r="S42" s="38">
        <f>SUM(D42:G42,K42,M42)</f>
      </c>
      <c r="T42" s="38">
        <f>SUM(H42,I42,J42,L42)</f>
      </c>
      <c r="U42" s="38">
        <f>SUM(S42:T42)</f>
      </c>
    </row>
    <row x14ac:dyDescent="0.25" r="43" customHeight="1" ht="18.75">
      <c r="A43" s="20">
        <f>'Mid Sem'!B43</f>
      </c>
      <c r="B43" s="25">
        <f>'Mid Sem'!A43</f>
      </c>
      <c r="C43" s="37" t="s">
        <v>158</v>
      </c>
      <c r="D43" s="12"/>
      <c r="E43" s="12"/>
      <c r="F43" s="12"/>
      <c r="G43" s="12"/>
      <c r="H43" s="12"/>
      <c r="I43" s="12"/>
      <c r="J43" s="12"/>
      <c r="K43" s="53"/>
      <c r="L43" s="53"/>
      <c r="M43" s="12"/>
      <c r="N43" s="14"/>
      <c r="O43" s="46"/>
      <c r="P43" s="14"/>
      <c r="Q43" s="2"/>
      <c r="R43" s="2"/>
      <c r="S43" s="38">
        <f>SUM(D43:G43,K43,M43)</f>
      </c>
      <c r="T43" s="38">
        <f>SUM(H43,I43,J43,L43)</f>
      </c>
      <c r="U43" s="38">
        <f>SUM(S43:T43)</f>
      </c>
    </row>
    <row x14ac:dyDescent="0.25" r="44" customHeight="1" ht="18.75">
      <c r="A44" s="20">
        <f>'Mid Sem'!B44</f>
      </c>
      <c r="B44" s="25">
        <f>'Mid Sem'!A44</f>
      </c>
      <c r="C44" s="37" t="s">
        <v>158</v>
      </c>
      <c r="D44" s="12"/>
      <c r="E44" s="12"/>
      <c r="F44" s="12"/>
      <c r="G44" s="12"/>
      <c r="H44" s="12"/>
      <c r="I44" s="12"/>
      <c r="J44" s="12"/>
      <c r="K44" s="53"/>
      <c r="L44" s="53"/>
      <c r="M44" s="12"/>
      <c r="N44" s="14"/>
      <c r="O44" s="46"/>
      <c r="P44" s="14"/>
      <c r="Q44" s="2"/>
      <c r="R44" s="2"/>
      <c r="S44" s="38">
        <f>SUM(D44:G44,K44,M44)</f>
      </c>
      <c r="T44" s="38">
        <f>SUM(H44,I44,J44,L44)</f>
      </c>
      <c r="U44" s="38">
        <f>SUM(S44:T44)</f>
      </c>
    </row>
    <row x14ac:dyDescent="0.25" r="45" customHeight="1" ht="18.75">
      <c r="A45" s="20">
        <f>'Mid Sem'!B45</f>
      </c>
      <c r="B45" s="25">
        <f>'Mid Sem'!A45</f>
      </c>
      <c r="C45" s="37" t="s">
        <v>157</v>
      </c>
      <c r="D45" s="20">
        <v>1</v>
      </c>
      <c r="E45" s="20">
        <v>1</v>
      </c>
      <c r="F45" s="20">
        <v>1</v>
      </c>
      <c r="G45" s="20">
        <v>1</v>
      </c>
      <c r="H45" s="20">
        <v>1</v>
      </c>
      <c r="I45" s="20">
        <v>1</v>
      </c>
      <c r="J45" s="20">
        <v>1</v>
      </c>
      <c r="K45" s="45">
        <v>2.5</v>
      </c>
      <c r="L45" s="20">
        <v>2</v>
      </c>
      <c r="M45" s="45">
        <v>2.5</v>
      </c>
      <c r="N45" s="14"/>
      <c r="O45" s="38">
        <f>SUM(D45:N45)</f>
      </c>
      <c r="P45" s="14"/>
      <c r="Q45" s="2"/>
      <c r="R45" s="2"/>
      <c r="S45" s="38">
        <f>SUM(D45:G45,K45,M45)</f>
      </c>
      <c r="T45" s="38">
        <f>SUM(H45,I45,J45,L45)</f>
      </c>
      <c r="U45" s="38">
        <f>SUM(S45:T45)</f>
      </c>
    </row>
    <row x14ac:dyDescent="0.25" r="46" customHeight="1" ht="18.75">
      <c r="A46" s="20">
        <f>'Mid Sem'!B46</f>
      </c>
      <c r="B46" s="25">
        <f>'Mid Sem'!A46</f>
      </c>
      <c r="C46" s="37" t="s">
        <v>157</v>
      </c>
      <c r="D46" s="20">
        <v>0</v>
      </c>
      <c r="E46" s="20">
        <v>1</v>
      </c>
      <c r="F46" s="20">
        <v>1</v>
      </c>
      <c r="G46" s="20">
        <v>1</v>
      </c>
      <c r="H46" s="20">
        <v>0</v>
      </c>
      <c r="I46" s="20">
        <v>1</v>
      </c>
      <c r="J46" s="20">
        <v>0</v>
      </c>
      <c r="K46" s="20">
        <v>1</v>
      </c>
      <c r="L46" s="45">
        <v>2.5</v>
      </c>
      <c r="M46" s="20">
        <v>0</v>
      </c>
      <c r="N46" s="14"/>
      <c r="O46" s="39">
        <f>SUM(D46:N46)</f>
      </c>
      <c r="P46" s="14"/>
      <c r="Q46" s="2"/>
      <c r="R46" s="2"/>
      <c r="S46" s="38">
        <f>SUM(D46:G46,K46,M46)</f>
      </c>
      <c r="T46" s="39">
        <f>SUM(H46,I46,J46,L46)</f>
      </c>
      <c r="U46" s="39">
        <f>SUM(S46:T46)</f>
      </c>
    </row>
    <row x14ac:dyDescent="0.25" r="47" customHeight="1" ht="18.75">
      <c r="A47" s="20">
        <f>'Mid Sem'!B47</f>
      </c>
      <c r="B47" s="25">
        <f>'Mid Sem'!A47</f>
      </c>
      <c r="C47" s="37" t="s">
        <v>157</v>
      </c>
      <c r="D47" s="20">
        <v>1</v>
      </c>
      <c r="E47" s="20">
        <v>1</v>
      </c>
      <c r="F47" s="20">
        <v>1</v>
      </c>
      <c r="G47" s="20">
        <v>1</v>
      </c>
      <c r="H47" s="20">
        <v>1</v>
      </c>
      <c r="I47" s="20">
        <v>1</v>
      </c>
      <c r="J47" s="20">
        <v>1</v>
      </c>
      <c r="K47" s="45">
        <v>2.5</v>
      </c>
      <c r="L47" s="20">
        <v>2</v>
      </c>
      <c r="M47" s="45">
        <v>2.5</v>
      </c>
      <c r="N47" s="14"/>
      <c r="O47" s="38">
        <f>SUM(D47:N47)</f>
      </c>
      <c r="P47" s="14"/>
      <c r="Q47" s="2"/>
      <c r="R47" s="2"/>
      <c r="S47" s="38">
        <f>SUM(D47:G47,K47,M47)</f>
      </c>
      <c r="T47" s="38">
        <f>SUM(H47,I47,J47,L47)</f>
      </c>
      <c r="U47" s="38">
        <f>SUM(S47:T47)</f>
      </c>
    </row>
    <row x14ac:dyDescent="0.25" r="48" customHeight="1" ht="18.75">
      <c r="A48" s="20">
        <f>'Mid Sem'!B48</f>
      </c>
      <c r="B48" s="25">
        <f>'Mid Sem'!A48</f>
      </c>
      <c r="C48" s="37" t="s">
        <v>157</v>
      </c>
      <c r="D48" s="20">
        <v>0</v>
      </c>
      <c r="E48" s="20">
        <v>1</v>
      </c>
      <c r="F48" s="20">
        <v>1</v>
      </c>
      <c r="G48" s="20">
        <v>1</v>
      </c>
      <c r="H48" s="20">
        <v>0</v>
      </c>
      <c r="I48" s="20">
        <v>1</v>
      </c>
      <c r="J48" s="20">
        <v>0</v>
      </c>
      <c r="K48" s="20">
        <v>0</v>
      </c>
      <c r="L48" s="45">
        <v>2.5</v>
      </c>
      <c r="M48" s="20">
        <v>0</v>
      </c>
      <c r="N48" s="14"/>
      <c r="O48" s="39">
        <f>SUM(D48:N48)</f>
      </c>
      <c r="P48" s="14"/>
      <c r="Q48" s="2"/>
      <c r="R48" s="2"/>
      <c r="S48" s="38">
        <f>SUM(D48:G48,K48,M48)</f>
      </c>
      <c r="T48" s="39">
        <f>SUM(H48,I48,J48,L48)</f>
      </c>
      <c r="U48" s="39">
        <f>SUM(S48:T48)</f>
      </c>
    </row>
    <row x14ac:dyDescent="0.25" r="49" customHeight="1" ht="18.75">
      <c r="A49" s="20">
        <f>'Mid Sem'!B49</f>
      </c>
      <c r="B49" s="25">
        <f>'Mid Sem'!A49</f>
      </c>
      <c r="C49" s="37" t="s">
        <v>157</v>
      </c>
      <c r="D49" s="20">
        <v>1</v>
      </c>
      <c r="E49" s="20">
        <v>1</v>
      </c>
      <c r="F49" s="20">
        <v>1</v>
      </c>
      <c r="G49" s="20">
        <v>1</v>
      </c>
      <c r="H49" s="20">
        <v>1</v>
      </c>
      <c r="I49" s="20">
        <v>1</v>
      </c>
      <c r="J49" s="20">
        <v>1</v>
      </c>
      <c r="K49" s="20">
        <v>0</v>
      </c>
      <c r="L49" s="20">
        <v>1</v>
      </c>
      <c r="M49" s="20">
        <v>0</v>
      </c>
      <c r="N49" s="14"/>
      <c r="O49" s="38">
        <f>SUM(D49:N49)</f>
      </c>
      <c r="P49" s="14"/>
      <c r="Q49" s="2"/>
      <c r="R49" s="2"/>
      <c r="S49" s="38">
        <f>SUM(D49:G49,K49,M49)</f>
      </c>
      <c r="T49" s="38">
        <f>SUM(H49,I49,J49,L49)</f>
      </c>
      <c r="U49" s="38">
        <f>SUM(S49:T49)</f>
      </c>
    </row>
    <row x14ac:dyDescent="0.25" r="50" customHeight="1" ht="18.75">
      <c r="A50" s="20">
        <f>'Mid Sem'!B50</f>
      </c>
      <c r="B50" s="25">
        <f>'Mid Sem'!A50</f>
      </c>
      <c r="C50" s="37" t="s">
        <v>158</v>
      </c>
      <c r="D50" s="12"/>
      <c r="E50" s="12"/>
      <c r="F50" s="12"/>
      <c r="G50" s="12"/>
      <c r="H50" s="12"/>
      <c r="I50" s="12"/>
      <c r="J50" s="12"/>
      <c r="K50" s="53"/>
      <c r="L50" s="53"/>
      <c r="M50" s="12"/>
      <c r="N50" s="14"/>
      <c r="O50" s="46"/>
      <c r="P50" s="14"/>
      <c r="Q50" s="2"/>
      <c r="R50" s="2"/>
      <c r="S50" s="38">
        <f>SUM(D50:G50,K50,M50)</f>
      </c>
      <c r="T50" s="38">
        <f>SUM(H50,I50,J50,L50)</f>
      </c>
      <c r="U50" s="38">
        <f>SUM(S50:T50)</f>
      </c>
    </row>
    <row x14ac:dyDescent="0.25" r="51" customHeight="1" ht="18.75">
      <c r="A51" s="20">
        <f>'Mid Sem'!B51</f>
      </c>
      <c r="B51" s="25">
        <f>'Mid Sem'!A51</f>
      </c>
      <c r="C51" s="37" t="s">
        <v>157</v>
      </c>
      <c r="D51" s="20">
        <v>1</v>
      </c>
      <c r="E51" s="20">
        <v>0</v>
      </c>
      <c r="F51" s="20">
        <v>0</v>
      </c>
      <c r="G51" s="20">
        <v>0</v>
      </c>
      <c r="H51" s="20">
        <v>1</v>
      </c>
      <c r="I51" s="20">
        <v>0</v>
      </c>
      <c r="J51" s="20">
        <v>0</v>
      </c>
      <c r="K51" s="20">
        <v>1</v>
      </c>
      <c r="L51" s="20">
        <v>1</v>
      </c>
      <c r="M51" s="20">
        <v>1</v>
      </c>
      <c r="N51" s="14"/>
      <c r="O51" s="38">
        <f>SUM(D51:N51)</f>
      </c>
      <c r="P51" s="14"/>
      <c r="Q51" s="2"/>
      <c r="R51" s="2"/>
      <c r="S51" s="38">
        <f>SUM(D51:G51,K51,M51)</f>
      </c>
      <c r="T51" s="38">
        <f>SUM(H51,I51,J51,L51)</f>
      </c>
      <c r="U51" s="38">
        <f>SUM(S51:T51)</f>
      </c>
    </row>
    <row x14ac:dyDescent="0.25" r="52" customHeight="1" ht="18.75">
      <c r="A52" s="20">
        <f>'Mid Sem'!B52</f>
      </c>
      <c r="B52" s="25">
        <f>'Mid Sem'!A52</f>
      </c>
      <c r="C52" s="37" t="s">
        <v>157</v>
      </c>
      <c r="D52" s="20">
        <v>1</v>
      </c>
      <c r="E52" s="20">
        <v>1</v>
      </c>
      <c r="F52" s="20">
        <v>1</v>
      </c>
      <c r="G52" s="20">
        <v>1</v>
      </c>
      <c r="H52" s="20">
        <v>1</v>
      </c>
      <c r="I52" s="20">
        <v>1</v>
      </c>
      <c r="J52" s="20">
        <v>1</v>
      </c>
      <c r="K52" s="45">
        <v>2.5</v>
      </c>
      <c r="L52" s="45">
        <v>2.5</v>
      </c>
      <c r="M52" s="20">
        <v>3</v>
      </c>
      <c r="N52" s="14"/>
      <c r="O52" s="38">
        <f>SUM(D52:N52)</f>
      </c>
      <c r="P52" s="14"/>
      <c r="Q52" s="2"/>
      <c r="R52" s="2"/>
      <c r="S52" s="39">
        <f>SUM(D52:G52,K52,M52)</f>
      </c>
      <c r="T52" s="39">
        <f>SUM(H52,I52,J52,L52)</f>
      </c>
      <c r="U52" s="38">
        <f>SUM(S52:T52)</f>
      </c>
    </row>
    <row x14ac:dyDescent="0.25" r="53" customHeight="1" ht="18.75">
      <c r="A53" s="20">
        <f>'Mid Sem'!B53</f>
      </c>
      <c r="B53" s="25">
        <f>'Mid Sem'!A53</f>
      </c>
      <c r="C53" s="37" t="s">
        <v>157</v>
      </c>
      <c r="D53" s="20">
        <v>1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0</v>
      </c>
      <c r="L53" s="20">
        <v>0</v>
      </c>
      <c r="M53" s="20">
        <v>0</v>
      </c>
      <c r="N53" s="14"/>
      <c r="O53" s="38">
        <f>SUM(D53:N53)</f>
      </c>
      <c r="P53" s="14"/>
      <c r="Q53" s="2"/>
      <c r="R53" s="2"/>
      <c r="S53" s="38">
        <f>SUM(D53:G53,K53,M53)</f>
      </c>
      <c r="T53" s="38">
        <f>SUM(H53,I53,J53,L53)</f>
      </c>
      <c r="U53" s="38">
        <f>SUM(S53:T53)</f>
      </c>
    </row>
    <row x14ac:dyDescent="0.25" r="54" customHeight="1" ht="18.75">
      <c r="A54" s="20">
        <f>'Mid Sem'!B54</f>
      </c>
      <c r="B54" s="25">
        <f>'Mid Sem'!A54</f>
      </c>
      <c r="C54" s="37" t="s">
        <v>157</v>
      </c>
      <c r="D54" s="20">
        <v>1</v>
      </c>
      <c r="E54" s="20">
        <v>1</v>
      </c>
      <c r="F54" s="20">
        <v>1</v>
      </c>
      <c r="G54" s="20">
        <v>1</v>
      </c>
      <c r="H54" s="20">
        <v>1</v>
      </c>
      <c r="I54" s="20">
        <v>1</v>
      </c>
      <c r="J54" s="20">
        <v>1</v>
      </c>
      <c r="K54" s="45">
        <v>2.5</v>
      </c>
      <c r="L54" s="20">
        <v>0</v>
      </c>
      <c r="M54" s="20">
        <v>3</v>
      </c>
      <c r="N54" s="14"/>
      <c r="O54" s="39">
        <f>SUM(D54:N54)</f>
      </c>
      <c r="P54" s="14"/>
      <c r="Q54" s="2"/>
      <c r="R54" s="2"/>
      <c r="S54" s="39">
        <f>SUM(D54:G54,K54,M54)</f>
      </c>
      <c r="T54" s="38">
        <f>SUM(H54,I54,J54,L54)</f>
      </c>
      <c r="U54" s="39">
        <f>SUM(S54:T54)</f>
      </c>
    </row>
    <row x14ac:dyDescent="0.25" r="55" customHeight="1" ht="18.75">
      <c r="A55" s="20">
        <f>'Mid Sem'!B55</f>
      </c>
      <c r="B55" s="25">
        <f>'Mid Sem'!A55</f>
      </c>
      <c r="C55" s="37" t="s">
        <v>157</v>
      </c>
      <c r="D55" s="20">
        <v>1</v>
      </c>
      <c r="E55" s="20">
        <v>1</v>
      </c>
      <c r="F55" s="20">
        <v>1</v>
      </c>
      <c r="G55" s="20">
        <v>1</v>
      </c>
      <c r="H55" s="20">
        <v>1</v>
      </c>
      <c r="I55" s="20">
        <v>1</v>
      </c>
      <c r="J55" s="20">
        <v>1</v>
      </c>
      <c r="K55" s="45">
        <v>2.5</v>
      </c>
      <c r="L55" s="45">
        <v>2.5</v>
      </c>
      <c r="M55" s="20">
        <v>2</v>
      </c>
      <c r="N55" s="14"/>
      <c r="O55" s="38">
        <f>SUM(D55:N55)</f>
      </c>
      <c r="P55" s="14"/>
      <c r="Q55" s="2"/>
      <c r="R55" s="2"/>
      <c r="S55" s="39">
        <f>SUM(D55:G55,K55,M55)</f>
      </c>
      <c r="T55" s="39">
        <f>SUM(H55,I55,J55,L55)</f>
      </c>
      <c r="U55" s="38">
        <f>SUM(S55:T55)</f>
      </c>
    </row>
    <row x14ac:dyDescent="0.25" r="56" customHeight="1" ht="18.75">
      <c r="A56" s="20">
        <f>'Mid Sem'!B56</f>
      </c>
      <c r="B56" s="25">
        <f>'Mid Sem'!A56</f>
      </c>
      <c r="C56" s="37" t="s">
        <v>157</v>
      </c>
      <c r="D56" s="20">
        <v>1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45">
        <v>2.5</v>
      </c>
      <c r="L56" s="45">
        <v>2.5</v>
      </c>
      <c r="M56" s="20">
        <v>3</v>
      </c>
      <c r="N56" s="14"/>
      <c r="O56" s="38">
        <f>SUM(D56:N56)</f>
      </c>
      <c r="P56" s="14"/>
      <c r="Q56" s="2"/>
      <c r="R56" s="2"/>
      <c r="S56" s="39">
        <f>SUM(D56:G56,K56,M56)</f>
      </c>
      <c r="T56" s="39">
        <f>SUM(H56,I56,J56,L56)</f>
      </c>
      <c r="U56" s="38">
        <f>SUM(S56:T56)</f>
      </c>
    </row>
    <row x14ac:dyDescent="0.25" r="57" customHeight="1" ht="18.75">
      <c r="A57" s="20">
        <f>'Mid Sem'!B57</f>
      </c>
      <c r="B57" s="25">
        <f>'Mid Sem'!A57</f>
      </c>
      <c r="C57" s="37" t="s">
        <v>157</v>
      </c>
      <c r="D57" s="20">
        <v>1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45">
        <v>2.5</v>
      </c>
      <c r="L57" s="45">
        <v>2.5</v>
      </c>
      <c r="M57" s="20">
        <v>3</v>
      </c>
      <c r="N57" s="14"/>
      <c r="O57" s="38">
        <f>SUM(D57:N57)</f>
      </c>
      <c r="P57" s="14"/>
      <c r="Q57" s="2"/>
      <c r="R57" s="2"/>
      <c r="S57" s="39">
        <f>SUM(D57:G57,K57,M57)</f>
      </c>
      <c r="T57" s="39">
        <f>SUM(H57,I57,J57,L57)</f>
      </c>
      <c r="U57" s="38">
        <f>SUM(S57:T57)</f>
      </c>
    </row>
    <row x14ac:dyDescent="0.25" r="58" customHeight="1" ht="18.75">
      <c r="A58" s="20">
        <f>'Mid Sem'!B58</f>
      </c>
      <c r="B58" s="25">
        <f>'Mid Sem'!A58</f>
      </c>
      <c r="C58" s="37" t="s">
        <v>157</v>
      </c>
      <c r="D58" s="20">
        <v>1</v>
      </c>
      <c r="E58" s="20">
        <v>1</v>
      </c>
      <c r="F58" s="20">
        <v>1</v>
      </c>
      <c r="G58" s="20">
        <v>1</v>
      </c>
      <c r="H58" s="20">
        <v>1</v>
      </c>
      <c r="I58" s="20">
        <v>1</v>
      </c>
      <c r="J58" s="20">
        <v>1</v>
      </c>
      <c r="K58" s="45">
        <v>1.5</v>
      </c>
      <c r="L58" s="20">
        <v>1</v>
      </c>
      <c r="M58" s="45">
        <v>2.5</v>
      </c>
      <c r="N58" s="14"/>
      <c r="O58" s="38">
        <f>SUM(D58:N58)</f>
      </c>
      <c r="P58" s="14"/>
      <c r="Q58" s="2"/>
      <c r="R58" s="2"/>
      <c r="S58" s="38">
        <f>SUM(D58:G58,K58,M58)</f>
      </c>
      <c r="T58" s="38">
        <f>SUM(H58,I58,J58,L58)</f>
      </c>
      <c r="U58" s="38">
        <f>SUM(S58:T58)</f>
      </c>
    </row>
    <row x14ac:dyDescent="0.25" r="59" customHeight="1" ht="18.75">
      <c r="A59" s="20">
        <f>'Mid Sem'!B59</f>
      </c>
      <c r="B59" s="25">
        <f>'Mid Sem'!A59</f>
      </c>
      <c r="C59" s="37" t="s">
        <v>157</v>
      </c>
      <c r="D59" s="20">
        <v>1</v>
      </c>
      <c r="E59" s="20">
        <v>1</v>
      </c>
      <c r="F59" s="20">
        <v>1</v>
      </c>
      <c r="G59" s="20">
        <v>1</v>
      </c>
      <c r="H59" s="20">
        <v>1</v>
      </c>
      <c r="I59" s="20">
        <v>1</v>
      </c>
      <c r="J59" s="20">
        <v>1</v>
      </c>
      <c r="K59" s="45">
        <v>2.5</v>
      </c>
      <c r="L59" s="45">
        <v>2.5</v>
      </c>
      <c r="M59" s="20">
        <v>1</v>
      </c>
      <c r="N59" s="14"/>
      <c r="O59" s="38">
        <f>SUM(D59:N59)</f>
      </c>
      <c r="P59" s="14"/>
      <c r="Q59" s="2"/>
      <c r="R59" s="2"/>
      <c r="S59" s="39">
        <f>SUM(D59:G59,K59,M59)</f>
      </c>
      <c r="T59" s="39">
        <f>SUM(H59,I59,J59,L59)</f>
      </c>
      <c r="U59" s="38">
        <f>SUM(S59:T59)</f>
      </c>
    </row>
    <row x14ac:dyDescent="0.25" r="60" customHeight="1" ht="18.75">
      <c r="A60" s="20">
        <f>'Mid Sem'!B60</f>
      </c>
      <c r="B60" s="25">
        <f>'Mid Sem'!A60</f>
      </c>
      <c r="C60" s="37" t="s">
        <v>157</v>
      </c>
      <c r="D60" s="20">
        <v>1</v>
      </c>
      <c r="E60" s="20">
        <v>1</v>
      </c>
      <c r="F60" s="20">
        <v>1</v>
      </c>
      <c r="G60" s="20">
        <v>1</v>
      </c>
      <c r="H60" s="20">
        <v>1</v>
      </c>
      <c r="I60" s="20">
        <v>1</v>
      </c>
      <c r="J60" s="20">
        <v>1</v>
      </c>
      <c r="K60" s="45">
        <v>2.5</v>
      </c>
      <c r="L60" s="45">
        <v>2.5</v>
      </c>
      <c r="M60" s="20">
        <v>3</v>
      </c>
      <c r="N60" s="14"/>
      <c r="O60" s="38">
        <f>SUM(D60:N60)</f>
      </c>
      <c r="P60" s="14"/>
      <c r="Q60" s="2"/>
      <c r="R60" s="2"/>
      <c r="S60" s="39">
        <f>SUM(D60:G60,K60,M60)</f>
      </c>
      <c r="T60" s="39">
        <f>SUM(H60,I60,J60,L60)</f>
      </c>
      <c r="U60" s="38">
        <f>SUM(S60:T60)</f>
      </c>
    </row>
    <row x14ac:dyDescent="0.25" r="61" customHeight="1" ht="18.75">
      <c r="A61" s="20">
        <f>'Mid Sem'!B61</f>
      </c>
      <c r="B61" s="25">
        <f>'Mid Sem'!A61</f>
      </c>
      <c r="C61" s="37" t="s">
        <v>157</v>
      </c>
      <c r="D61" s="20">
        <v>1</v>
      </c>
      <c r="E61" s="20">
        <v>1</v>
      </c>
      <c r="F61" s="20">
        <v>1</v>
      </c>
      <c r="G61" s="20">
        <v>1</v>
      </c>
      <c r="H61" s="20">
        <v>1</v>
      </c>
      <c r="I61" s="20">
        <v>1</v>
      </c>
      <c r="J61" s="20">
        <v>1</v>
      </c>
      <c r="K61" s="20">
        <v>2</v>
      </c>
      <c r="L61" s="20">
        <v>1</v>
      </c>
      <c r="M61" s="20">
        <v>2</v>
      </c>
      <c r="N61" s="14"/>
      <c r="O61" s="38">
        <f>SUM(D61:N61)</f>
      </c>
      <c r="P61" s="14"/>
      <c r="Q61" s="2"/>
      <c r="R61" s="2"/>
      <c r="S61" s="38">
        <f>SUM(D61:G61,K61,M61)</f>
      </c>
      <c r="T61" s="38">
        <f>SUM(H61,I61,J61,L61)</f>
      </c>
      <c r="U61" s="38">
        <f>SUM(S61:T61)</f>
      </c>
    </row>
    <row x14ac:dyDescent="0.25" r="62" customHeight="1" ht="18.75">
      <c r="A62" s="20">
        <f>'Mid Sem'!B62</f>
      </c>
      <c r="B62" s="25">
        <f>'Mid Sem'!A62</f>
      </c>
      <c r="C62" s="37" t="s">
        <v>157</v>
      </c>
      <c r="D62" s="20">
        <v>0</v>
      </c>
      <c r="E62" s="20">
        <v>1</v>
      </c>
      <c r="F62" s="20">
        <v>1</v>
      </c>
      <c r="G62" s="20">
        <v>0</v>
      </c>
      <c r="H62" s="20">
        <v>1</v>
      </c>
      <c r="I62" s="20">
        <v>1</v>
      </c>
      <c r="J62" s="20">
        <v>1</v>
      </c>
      <c r="K62" s="45">
        <v>2.5</v>
      </c>
      <c r="L62" s="20">
        <v>2</v>
      </c>
      <c r="M62" s="45">
        <v>2.5</v>
      </c>
      <c r="N62" s="14"/>
      <c r="O62" s="38">
        <f>SUM(D62:N62)</f>
      </c>
      <c r="P62" s="14"/>
      <c r="Q62" s="2"/>
      <c r="R62" s="2"/>
      <c r="S62" s="38">
        <f>SUM(D62:G62,K62,M62)</f>
      </c>
      <c r="T62" s="38">
        <f>SUM(H62,I62,J62,L62)</f>
      </c>
      <c r="U62" s="38">
        <f>SUM(S62:T62)</f>
      </c>
    </row>
    <row x14ac:dyDescent="0.25" r="63" customHeight="1" ht="18.75">
      <c r="A63" s="20">
        <f>'Mid Sem'!B63</f>
      </c>
      <c r="B63" s="25">
        <f>'Mid Sem'!A63</f>
      </c>
      <c r="C63" s="37" t="s">
        <v>157</v>
      </c>
      <c r="D63" s="20">
        <v>1</v>
      </c>
      <c r="E63" s="20">
        <v>1</v>
      </c>
      <c r="F63" s="20">
        <v>0</v>
      </c>
      <c r="G63" s="20">
        <v>1</v>
      </c>
      <c r="H63" s="20">
        <v>1</v>
      </c>
      <c r="I63" s="20">
        <v>1</v>
      </c>
      <c r="J63" s="20">
        <v>1</v>
      </c>
      <c r="K63" s="20">
        <v>2</v>
      </c>
      <c r="L63" s="45">
        <v>2.5</v>
      </c>
      <c r="M63" s="20">
        <v>0</v>
      </c>
      <c r="N63" s="14"/>
      <c r="O63" s="39">
        <f>SUM(D63:N63)</f>
      </c>
      <c r="P63" s="14"/>
      <c r="Q63" s="2"/>
      <c r="R63" s="2"/>
      <c r="S63" s="38">
        <f>SUM(D63:G63,K63,M63)</f>
      </c>
      <c r="T63" s="39">
        <f>SUM(H63,I63,J63,L63)</f>
      </c>
      <c r="U63" s="39">
        <f>SUM(S63:T63)</f>
      </c>
    </row>
    <row x14ac:dyDescent="0.25" r="64" customHeight="1" ht="18.75">
      <c r="A64" s="20">
        <f>'Mid Sem'!B64</f>
      </c>
      <c r="B64" s="25">
        <f>'Mid Sem'!A64</f>
      </c>
      <c r="C64" s="37" t="s">
        <v>157</v>
      </c>
      <c r="D64" s="20">
        <v>1</v>
      </c>
      <c r="E64" s="20">
        <v>1</v>
      </c>
      <c r="F64" s="20">
        <v>1</v>
      </c>
      <c r="G64" s="20">
        <v>1</v>
      </c>
      <c r="H64" s="20">
        <v>1</v>
      </c>
      <c r="I64" s="20">
        <v>1</v>
      </c>
      <c r="J64" s="20">
        <v>1</v>
      </c>
      <c r="K64" s="45">
        <v>2.5</v>
      </c>
      <c r="L64" s="45">
        <v>1.5</v>
      </c>
      <c r="M64" s="20">
        <v>3</v>
      </c>
      <c r="N64" s="14"/>
      <c r="O64" s="38">
        <f>SUM(D64:N64)</f>
      </c>
      <c r="P64" s="14"/>
      <c r="Q64" s="2"/>
      <c r="R64" s="2"/>
      <c r="S64" s="39">
        <f>SUM(D64:G64,K64,M64)</f>
      </c>
      <c r="T64" s="39">
        <f>SUM(H64,I64,J64,L64)</f>
      </c>
      <c r="U64" s="38">
        <f>SUM(S64:T64)</f>
      </c>
    </row>
    <row x14ac:dyDescent="0.25" r="65" customHeight="1" ht="18.75">
      <c r="A65" s="12"/>
      <c r="B65" s="14"/>
      <c r="C65" s="14"/>
      <c r="D65" s="12"/>
      <c r="E65" s="12"/>
      <c r="F65" s="12"/>
      <c r="G65" s="12"/>
      <c r="H65" s="12"/>
      <c r="I65" s="12"/>
      <c r="J65" s="12"/>
      <c r="K65" s="53"/>
      <c r="L65" s="53"/>
      <c r="M65" s="12"/>
      <c r="N65" s="14"/>
      <c r="O65" s="12"/>
      <c r="P65" s="14"/>
      <c r="Q65" s="2"/>
      <c r="R65" s="2"/>
      <c r="S65" s="53"/>
      <c r="T65" s="53"/>
      <c r="U65" s="12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65"/>
  <sheetViews>
    <sheetView workbookViewId="0"/>
  </sheetViews>
  <sheetFormatPr defaultRowHeight="15" x14ac:dyDescent="0.25"/>
  <cols>
    <col min="1" max="1" style="22" width="18.719285714285714" customWidth="1" bestFit="1"/>
    <col min="2" max="2" style="5" width="24.290714285714284" customWidth="1" bestFit="1"/>
    <col min="3" max="3" style="5" width="4.862142857142857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5" width="4.576428571428571" customWidth="1" bestFit="1"/>
    <col min="15" max="15" style="5" width="4.576428571428571" customWidth="1" bestFit="1"/>
    <col min="16" max="16" style="22" width="5.433571428571429" customWidth="1" bestFit="1"/>
    <col min="17" max="17" style="5" width="15.290714285714287" customWidth="1" bestFit="1"/>
    <col min="18" max="18" style="5" width="13.576428571428572" customWidth="1" bestFit="1"/>
    <col min="19" max="19" style="5" width="13.576428571428572" customWidth="1" bestFit="1"/>
    <col min="20" max="20" style="22" width="13.576428571428572" customWidth="1" bestFit="1"/>
    <col min="21" max="21" style="22" width="13.576428571428572" customWidth="1" bestFit="1"/>
    <col min="22" max="22" style="22" width="13.576428571428572" customWidth="1" bestFit="1"/>
  </cols>
  <sheetData>
    <row x14ac:dyDescent="0.25" r="1" customHeight="1" ht="18.75">
      <c r="A1" s="8" t="s">
        <v>156</v>
      </c>
      <c r="B1" s="9"/>
      <c r="C1" s="9"/>
      <c r="D1" s="8"/>
      <c r="E1" s="8"/>
      <c r="F1" s="8"/>
      <c r="G1" s="8"/>
      <c r="H1" s="8"/>
      <c r="I1" s="8"/>
      <c r="J1" s="9"/>
      <c r="K1" s="9"/>
      <c r="L1" s="9"/>
      <c r="M1" s="9"/>
      <c r="N1" s="9"/>
      <c r="O1" s="9"/>
      <c r="P1" s="8"/>
      <c r="Q1" s="9"/>
      <c r="R1" s="2"/>
      <c r="S1" s="2"/>
      <c r="T1" s="21"/>
      <c r="U1" s="21"/>
      <c r="V1" s="21"/>
    </row>
    <row x14ac:dyDescent="0.25" r="2" customHeight="1" ht="18.75">
      <c r="A2" s="8">
        <f>Marksheet!A2</f>
      </c>
      <c r="B2" s="11"/>
      <c r="C2" s="11"/>
      <c r="D2" s="10"/>
      <c r="E2" s="10"/>
      <c r="F2" s="10"/>
      <c r="G2" s="10"/>
      <c r="H2" s="10"/>
      <c r="I2" s="10"/>
      <c r="J2" s="11"/>
      <c r="K2" s="11"/>
      <c r="L2" s="11"/>
      <c r="M2" s="11"/>
      <c r="N2" s="11"/>
      <c r="O2" s="11"/>
      <c r="P2" s="10"/>
      <c r="Q2" s="11"/>
      <c r="R2" s="2"/>
      <c r="S2" s="2"/>
      <c r="T2" s="21"/>
      <c r="U2" s="21"/>
      <c r="V2" s="21"/>
    </row>
    <row x14ac:dyDescent="0.25" r="3" customHeight="1" ht="18.75">
      <c r="A3" s="12"/>
      <c r="B3" s="14"/>
      <c r="C3" s="14"/>
      <c r="D3" s="24" t="s">
        <v>130</v>
      </c>
      <c r="E3" s="24" t="s">
        <v>130</v>
      </c>
      <c r="F3" s="24" t="s">
        <v>130</v>
      </c>
      <c r="G3" s="24" t="s">
        <v>131</v>
      </c>
      <c r="H3" s="24" t="s">
        <v>130</v>
      </c>
      <c r="I3" s="24" t="s">
        <v>131</v>
      </c>
      <c r="J3" s="13"/>
      <c r="K3" s="13"/>
      <c r="L3" s="13"/>
      <c r="M3" s="13"/>
      <c r="N3" s="13"/>
      <c r="O3" s="13"/>
      <c r="P3" s="12"/>
      <c r="Q3" s="14"/>
      <c r="R3" s="2"/>
      <c r="S3" s="2"/>
      <c r="T3" s="24" t="s">
        <v>130</v>
      </c>
      <c r="U3" s="24" t="s">
        <v>131</v>
      </c>
      <c r="V3" s="21"/>
    </row>
    <row x14ac:dyDescent="0.25" r="4" customHeight="1" ht="18.75">
      <c r="A4" s="15" t="s">
        <v>134</v>
      </c>
      <c r="B4" s="16" t="s">
        <v>1</v>
      </c>
      <c r="C4" s="16"/>
      <c r="D4" s="15" t="s">
        <v>135</v>
      </c>
      <c r="E4" s="15" t="s">
        <v>136</v>
      </c>
      <c r="F4" s="15" t="s">
        <v>137</v>
      </c>
      <c r="G4" s="15" t="s">
        <v>138</v>
      </c>
      <c r="H4" s="15" t="s">
        <v>139</v>
      </c>
      <c r="I4" s="15" t="s">
        <v>140</v>
      </c>
      <c r="J4" s="16"/>
      <c r="K4" s="16"/>
      <c r="L4" s="16"/>
      <c r="M4" s="16"/>
      <c r="N4" s="16"/>
      <c r="O4" s="16"/>
      <c r="P4" s="15" t="s">
        <v>146</v>
      </c>
      <c r="Q4" s="16" t="s">
        <v>147</v>
      </c>
      <c r="R4" s="2"/>
      <c r="S4" s="2"/>
      <c r="T4" s="15"/>
      <c r="U4" s="15"/>
      <c r="V4" s="15" t="s">
        <v>146</v>
      </c>
    </row>
    <row x14ac:dyDescent="0.25" r="5" customHeight="1" ht="18.75">
      <c r="A5" s="17"/>
      <c r="B5" s="18" t="s">
        <v>148</v>
      </c>
      <c r="C5" s="18"/>
      <c r="D5" s="19">
        <v>2</v>
      </c>
      <c r="E5" s="19">
        <v>2</v>
      </c>
      <c r="F5" s="19">
        <v>2</v>
      </c>
      <c r="G5" s="19">
        <v>2</v>
      </c>
      <c r="H5" s="19">
        <v>6</v>
      </c>
      <c r="I5" s="19">
        <v>6</v>
      </c>
      <c r="J5" s="18"/>
      <c r="K5" s="18"/>
      <c r="L5" s="18"/>
      <c r="M5" s="18"/>
      <c r="N5" s="18"/>
      <c r="O5" s="18"/>
      <c r="P5" s="19">
        <f>SUM(D5:M5)</f>
      </c>
      <c r="Q5" s="18"/>
      <c r="R5" s="2"/>
      <c r="S5" s="2"/>
      <c r="T5" s="19">
        <f>SUM(D5,E5,F5,H5)</f>
      </c>
      <c r="U5" s="19">
        <f>SUM(G5,I5)</f>
      </c>
      <c r="V5" s="19">
        <f>SUM(T5:U5)</f>
      </c>
    </row>
    <row x14ac:dyDescent="0.25" r="6" customHeight="1" ht="18.75">
      <c r="A6" s="20">
        <f>Marksheet!B5</f>
      </c>
      <c r="B6" s="25">
        <f>Marksheet!A5</f>
      </c>
      <c r="C6" s="37" t="s">
        <v>157</v>
      </c>
      <c r="D6" s="20">
        <v>2</v>
      </c>
      <c r="E6" s="20">
        <v>2</v>
      </c>
      <c r="F6" s="20">
        <v>2</v>
      </c>
      <c r="G6" s="20">
        <v>2</v>
      </c>
      <c r="H6" s="20">
        <v>6</v>
      </c>
      <c r="I6" s="20">
        <v>6</v>
      </c>
      <c r="J6" s="14"/>
      <c r="K6" s="14"/>
      <c r="L6" s="14"/>
      <c r="M6" s="14"/>
      <c r="N6" s="14"/>
      <c r="O6" s="14"/>
      <c r="P6" s="38">
        <f>SUM(D6:M6)</f>
      </c>
      <c r="Q6" s="14"/>
      <c r="R6" s="2"/>
      <c r="S6" s="2"/>
      <c r="T6" s="38">
        <f>SUM(D6,E6,F6,H6)</f>
      </c>
      <c r="U6" s="38">
        <f>SUM(G6,I6)</f>
      </c>
      <c r="V6" s="38">
        <f>SUM(T6:U6)</f>
      </c>
    </row>
    <row x14ac:dyDescent="0.25" r="7" customHeight="1" ht="18.75">
      <c r="A7" s="20">
        <f>Marksheet!B6</f>
      </c>
      <c r="B7" s="25">
        <f>Marksheet!A6</f>
      </c>
      <c r="C7" s="37" t="s">
        <v>157</v>
      </c>
      <c r="D7" s="45">
        <v>0.5</v>
      </c>
      <c r="E7" s="45">
        <v>1.5</v>
      </c>
      <c r="F7" s="20">
        <v>2</v>
      </c>
      <c r="G7" s="20">
        <v>1</v>
      </c>
      <c r="H7" s="20">
        <v>3</v>
      </c>
      <c r="I7" s="20">
        <v>4</v>
      </c>
      <c r="J7" s="14"/>
      <c r="K7" s="14"/>
      <c r="L7" s="14"/>
      <c r="M7" s="14"/>
      <c r="N7" s="14"/>
      <c r="O7" s="14"/>
      <c r="P7" s="38">
        <f>SUM(D7:M7)</f>
      </c>
      <c r="Q7" s="14"/>
      <c r="R7" s="2"/>
      <c r="S7" s="2"/>
      <c r="T7" s="38">
        <f>SUM(D7,E7,F7,H7)</f>
      </c>
      <c r="U7" s="38">
        <f>SUM(G7,I7)</f>
      </c>
      <c r="V7" s="38">
        <f>SUM(T7:U7)</f>
      </c>
    </row>
    <row x14ac:dyDescent="0.25" r="8" customHeight="1" ht="18.75">
      <c r="A8" s="20">
        <f>Marksheet!B7</f>
      </c>
      <c r="B8" s="25">
        <f>Marksheet!A7</f>
      </c>
      <c r="C8" s="37" t="s">
        <v>157</v>
      </c>
      <c r="D8" s="20">
        <v>2</v>
      </c>
      <c r="E8" s="20">
        <v>1</v>
      </c>
      <c r="F8" s="20">
        <v>1</v>
      </c>
      <c r="G8" s="20">
        <v>0</v>
      </c>
      <c r="H8" s="20">
        <v>2</v>
      </c>
      <c r="I8" s="20">
        <v>1</v>
      </c>
      <c r="J8" s="14"/>
      <c r="K8" s="14"/>
      <c r="L8" s="14"/>
      <c r="M8" s="14"/>
      <c r="N8" s="14"/>
      <c r="O8" s="14"/>
      <c r="P8" s="38">
        <f>SUM(D8:M8)</f>
      </c>
      <c r="Q8" s="14"/>
      <c r="R8" s="2"/>
      <c r="S8" s="2"/>
      <c r="T8" s="38">
        <f>SUM(D8,E8,F8,H8)</f>
      </c>
      <c r="U8" s="38">
        <f>SUM(G8,I8)</f>
      </c>
      <c r="V8" s="38">
        <f>SUM(T8:U8)</f>
      </c>
    </row>
    <row x14ac:dyDescent="0.25" r="9" customHeight="1" ht="18.75">
      <c r="A9" s="20">
        <f>Marksheet!B8</f>
      </c>
      <c r="B9" s="25">
        <f>Marksheet!A8</f>
      </c>
      <c r="C9" s="37" t="s">
        <v>157</v>
      </c>
      <c r="D9" s="20">
        <v>1</v>
      </c>
      <c r="E9" s="45">
        <v>1.5</v>
      </c>
      <c r="F9" s="45">
        <v>1.5</v>
      </c>
      <c r="G9" s="20">
        <v>2</v>
      </c>
      <c r="H9" s="20">
        <v>4</v>
      </c>
      <c r="I9" s="20">
        <v>5</v>
      </c>
      <c r="J9" s="14"/>
      <c r="K9" s="14"/>
      <c r="L9" s="14"/>
      <c r="M9" s="14"/>
      <c r="N9" s="14"/>
      <c r="O9" s="14"/>
      <c r="P9" s="38">
        <f>SUM(D9:M9)</f>
      </c>
      <c r="Q9" s="14"/>
      <c r="R9" s="2"/>
      <c r="S9" s="2"/>
      <c r="T9" s="38">
        <f>SUM(D9,E9,F9,H9)</f>
      </c>
      <c r="U9" s="38">
        <f>SUM(G9,I9)</f>
      </c>
      <c r="V9" s="38">
        <f>SUM(T9:U9)</f>
      </c>
    </row>
    <row x14ac:dyDescent="0.25" r="10" customHeight="1" ht="18.75">
      <c r="A10" s="20">
        <f>Marksheet!B9</f>
      </c>
      <c r="B10" s="25">
        <f>Marksheet!A9</f>
      </c>
      <c r="C10" s="37" t="s">
        <v>157</v>
      </c>
      <c r="D10" s="20">
        <v>2</v>
      </c>
      <c r="E10" s="20">
        <v>2</v>
      </c>
      <c r="F10" s="20">
        <v>2</v>
      </c>
      <c r="G10" s="20">
        <v>2</v>
      </c>
      <c r="H10" s="20">
        <v>6</v>
      </c>
      <c r="I10" s="20">
        <v>2</v>
      </c>
      <c r="J10" s="14"/>
      <c r="K10" s="14"/>
      <c r="L10" s="14"/>
      <c r="M10" s="14"/>
      <c r="N10" s="14"/>
      <c r="O10" s="14"/>
      <c r="P10" s="38">
        <f>SUM(D10:M10)</f>
      </c>
      <c r="Q10" s="14"/>
      <c r="R10" s="2"/>
      <c r="S10" s="2"/>
      <c r="T10" s="38">
        <f>SUM(D10,E10,F10,H10)</f>
      </c>
      <c r="U10" s="38">
        <f>SUM(G10,I10)</f>
      </c>
      <c r="V10" s="38">
        <f>SUM(T10:U10)</f>
      </c>
    </row>
    <row x14ac:dyDescent="0.25" r="11" customHeight="1" ht="18.75">
      <c r="A11" s="20">
        <f>Marksheet!B10</f>
      </c>
      <c r="B11" s="25">
        <f>Marksheet!A10</f>
      </c>
      <c r="C11" s="37" t="s">
        <v>157</v>
      </c>
      <c r="D11" s="45">
        <v>1.5</v>
      </c>
      <c r="E11" s="45">
        <v>0.5</v>
      </c>
      <c r="F11" s="20">
        <v>2</v>
      </c>
      <c r="G11" s="20">
        <v>2</v>
      </c>
      <c r="H11" s="20">
        <v>1</v>
      </c>
      <c r="I11" s="20">
        <v>5</v>
      </c>
      <c r="J11" s="14"/>
      <c r="K11" s="14"/>
      <c r="L11" s="14"/>
      <c r="M11" s="14"/>
      <c r="N11" s="14"/>
      <c r="O11" s="14"/>
      <c r="P11" s="38">
        <f>SUM(D11:M11)</f>
      </c>
      <c r="Q11" s="14"/>
      <c r="R11" s="2"/>
      <c r="S11" s="2"/>
      <c r="T11" s="38">
        <f>SUM(D11,E11,F11,H11)</f>
      </c>
      <c r="U11" s="38">
        <f>SUM(G11,I11)</f>
      </c>
      <c r="V11" s="38">
        <f>SUM(T11:U11)</f>
      </c>
    </row>
    <row x14ac:dyDescent="0.25" r="12" customHeight="1" ht="18.75">
      <c r="A12" s="20">
        <f>Marksheet!B11</f>
      </c>
      <c r="B12" s="25">
        <f>Marksheet!A11</f>
      </c>
      <c r="C12" s="37" t="s">
        <v>157</v>
      </c>
      <c r="D12" s="20">
        <v>2</v>
      </c>
      <c r="E12" s="20">
        <v>1</v>
      </c>
      <c r="F12" s="20">
        <v>2</v>
      </c>
      <c r="G12" s="20">
        <v>2</v>
      </c>
      <c r="H12" s="20">
        <v>1</v>
      </c>
      <c r="I12" s="20">
        <v>6</v>
      </c>
      <c r="J12" s="14"/>
      <c r="K12" s="14"/>
      <c r="L12" s="14"/>
      <c r="M12" s="14"/>
      <c r="N12" s="14"/>
      <c r="O12" s="14"/>
      <c r="P12" s="38">
        <f>SUM(D12:M12)</f>
      </c>
      <c r="Q12" s="14"/>
      <c r="R12" s="2"/>
      <c r="S12" s="2"/>
      <c r="T12" s="38">
        <f>SUM(D12,E12,F12,H12)</f>
      </c>
      <c r="U12" s="38">
        <f>SUM(G12,I12)</f>
      </c>
      <c r="V12" s="38">
        <f>SUM(T12:U12)</f>
      </c>
    </row>
    <row x14ac:dyDescent="0.25" r="13" customHeight="1" ht="18.75">
      <c r="A13" s="20">
        <f>Marksheet!B12</f>
      </c>
      <c r="B13" s="25">
        <f>Marksheet!A12</f>
      </c>
      <c r="C13" s="37" t="s">
        <v>157</v>
      </c>
      <c r="D13" s="20">
        <v>2</v>
      </c>
      <c r="E13" s="20">
        <v>2</v>
      </c>
      <c r="F13" s="20">
        <v>2</v>
      </c>
      <c r="G13" s="20">
        <v>2</v>
      </c>
      <c r="H13" s="20">
        <v>6</v>
      </c>
      <c r="I13" s="20">
        <v>5</v>
      </c>
      <c r="J13" s="14"/>
      <c r="K13" s="14"/>
      <c r="L13" s="14"/>
      <c r="M13" s="14"/>
      <c r="N13" s="14"/>
      <c r="O13" s="14"/>
      <c r="P13" s="38">
        <f>SUM(D13:M13)</f>
      </c>
      <c r="Q13" s="14"/>
      <c r="R13" s="2"/>
      <c r="S13" s="2"/>
      <c r="T13" s="38">
        <f>SUM(D13,E13,F13,H13)</f>
      </c>
      <c r="U13" s="38">
        <f>SUM(G13,I13)</f>
      </c>
      <c r="V13" s="38">
        <f>SUM(T13:U13)</f>
      </c>
    </row>
    <row x14ac:dyDescent="0.25" r="14" customHeight="1" ht="18.75">
      <c r="A14" s="20">
        <f>Marksheet!B13</f>
      </c>
      <c r="B14" s="25">
        <f>Marksheet!A13</f>
      </c>
      <c r="C14" s="37" t="s">
        <v>157</v>
      </c>
      <c r="D14" s="20">
        <v>2</v>
      </c>
      <c r="E14" s="20">
        <v>2</v>
      </c>
      <c r="F14" s="20">
        <v>2</v>
      </c>
      <c r="G14" s="20">
        <v>2</v>
      </c>
      <c r="H14" s="20">
        <v>6</v>
      </c>
      <c r="I14" s="20">
        <v>6</v>
      </c>
      <c r="J14" s="14"/>
      <c r="K14" s="14"/>
      <c r="L14" s="14"/>
      <c r="M14" s="14"/>
      <c r="N14" s="14"/>
      <c r="O14" s="14"/>
      <c r="P14" s="38">
        <f>SUM(D14:M14)</f>
      </c>
      <c r="Q14" s="14"/>
      <c r="R14" s="2"/>
      <c r="S14" s="2"/>
      <c r="T14" s="38">
        <f>SUM(D14,E14,F14,H14)</f>
      </c>
      <c r="U14" s="38">
        <f>SUM(G14,I14)</f>
      </c>
      <c r="V14" s="38">
        <f>SUM(T14:U14)</f>
      </c>
    </row>
    <row x14ac:dyDescent="0.25" r="15" customHeight="1" ht="18.75">
      <c r="A15" s="20">
        <f>Marksheet!B14</f>
      </c>
      <c r="B15" s="25">
        <f>Marksheet!A14</f>
      </c>
      <c r="C15" s="37" t="s">
        <v>158</v>
      </c>
      <c r="D15" s="12"/>
      <c r="E15" s="12"/>
      <c r="F15" s="12"/>
      <c r="G15" s="12"/>
      <c r="H15" s="12"/>
      <c r="I15" s="12"/>
      <c r="J15" s="14"/>
      <c r="K15" s="14"/>
      <c r="L15" s="14"/>
      <c r="M15" s="14"/>
      <c r="N15" s="14"/>
      <c r="O15" s="14"/>
      <c r="P15" s="38">
        <f>SUM(D15:M15)</f>
      </c>
      <c r="Q15" s="14"/>
      <c r="R15" s="2"/>
      <c r="S15" s="2"/>
      <c r="T15" s="38">
        <f>SUM(D15,E15,F15,H15)</f>
      </c>
      <c r="U15" s="38">
        <f>SUM(G15,I15)</f>
      </c>
      <c r="V15" s="38">
        <f>SUM(T15:U15)</f>
      </c>
    </row>
    <row x14ac:dyDescent="0.25" r="16" customHeight="1" ht="18.75">
      <c r="A16" s="20">
        <f>Marksheet!B15</f>
      </c>
      <c r="B16" s="25">
        <f>Marksheet!A15</f>
      </c>
      <c r="C16" s="37" t="s">
        <v>157</v>
      </c>
      <c r="D16" s="20">
        <v>2</v>
      </c>
      <c r="E16" s="45">
        <v>1.5</v>
      </c>
      <c r="F16" s="45">
        <v>1.5</v>
      </c>
      <c r="G16" s="20">
        <v>0</v>
      </c>
      <c r="H16" s="20">
        <v>0</v>
      </c>
      <c r="I16" s="20">
        <v>4</v>
      </c>
      <c r="J16" s="14"/>
      <c r="K16" s="14"/>
      <c r="L16" s="14"/>
      <c r="M16" s="14"/>
      <c r="N16" s="14"/>
      <c r="O16" s="14"/>
      <c r="P16" s="38">
        <f>SUM(D16:M16)</f>
      </c>
      <c r="Q16" s="14"/>
      <c r="R16" s="2"/>
      <c r="S16" s="2"/>
      <c r="T16" s="38">
        <f>SUM(D16,E16,F16,H16)</f>
      </c>
      <c r="U16" s="38">
        <f>SUM(G16,I16)</f>
      </c>
      <c r="V16" s="38">
        <f>SUM(T16:U16)</f>
      </c>
    </row>
    <row x14ac:dyDescent="0.25" r="17" customHeight="1" ht="18.75">
      <c r="A17" s="20">
        <f>Marksheet!B16</f>
      </c>
      <c r="B17" s="25">
        <f>Marksheet!A16</f>
      </c>
      <c r="C17" s="37" t="s">
        <v>157</v>
      </c>
      <c r="D17" s="20">
        <v>1</v>
      </c>
      <c r="E17" s="45">
        <v>1.5</v>
      </c>
      <c r="F17" s="20">
        <v>2</v>
      </c>
      <c r="G17" s="45">
        <v>1.5</v>
      </c>
      <c r="H17" s="20">
        <v>4</v>
      </c>
      <c r="I17" s="20">
        <v>5</v>
      </c>
      <c r="J17" s="14"/>
      <c r="K17" s="14"/>
      <c r="L17" s="14"/>
      <c r="M17" s="14"/>
      <c r="N17" s="14"/>
      <c r="O17" s="14"/>
      <c r="P17" s="38">
        <f>SUM(D17:M17)</f>
      </c>
      <c r="Q17" s="14"/>
      <c r="R17" s="2"/>
      <c r="S17" s="2"/>
      <c r="T17" s="39">
        <f>SUM(D17,E17,F17,H17)</f>
      </c>
      <c r="U17" s="39">
        <f>SUM(G17,I17)</f>
      </c>
      <c r="V17" s="38">
        <f>SUM(T17:U17)</f>
      </c>
    </row>
    <row x14ac:dyDescent="0.25" r="18" customHeight="1" ht="18.75">
      <c r="A18" s="20">
        <f>Marksheet!B17</f>
      </c>
      <c r="B18" s="25">
        <f>Marksheet!A17</f>
      </c>
      <c r="C18" s="37" t="s">
        <v>157</v>
      </c>
      <c r="D18" s="20">
        <v>2</v>
      </c>
      <c r="E18" s="20">
        <v>2</v>
      </c>
      <c r="F18" s="20">
        <v>2</v>
      </c>
      <c r="G18" s="20">
        <v>2</v>
      </c>
      <c r="H18" s="20">
        <v>6</v>
      </c>
      <c r="I18" s="20">
        <v>5</v>
      </c>
      <c r="J18" s="14"/>
      <c r="K18" s="14"/>
      <c r="L18" s="14"/>
      <c r="M18" s="14"/>
      <c r="N18" s="14"/>
      <c r="O18" s="14"/>
      <c r="P18" s="38">
        <f>SUM(D18:M18)</f>
      </c>
      <c r="Q18" s="14"/>
      <c r="R18" s="2"/>
      <c r="S18" s="2"/>
      <c r="T18" s="38">
        <f>SUM(D18,E18,F18,H18)</f>
      </c>
      <c r="U18" s="38">
        <f>SUM(G18,I18)</f>
      </c>
      <c r="V18" s="38">
        <f>SUM(T18:U18)</f>
      </c>
    </row>
    <row x14ac:dyDescent="0.25" r="19" customHeight="1" ht="18.75">
      <c r="A19" s="20">
        <f>Marksheet!B18</f>
      </c>
      <c r="B19" s="25">
        <f>Marksheet!A18</f>
      </c>
      <c r="C19" s="37" t="s">
        <v>157</v>
      </c>
      <c r="D19" s="20">
        <v>2</v>
      </c>
      <c r="E19" s="45">
        <v>1.5</v>
      </c>
      <c r="F19" s="20">
        <v>2</v>
      </c>
      <c r="G19" s="20">
        <v>2</v>
      </c>
      <c r="H19" s="20">
        <v>6</v>
      </c>
      <c r="I19" s="20">
        <v>5</v>
      </c>
      <c r="J19" s="14"/>
      <c r="K19" s="14"/>
      <c r="L19" s="14"/>
      <c r="M19" s="14"/>
      <c r="N19" s="14"/>
      <c r="O19" s="14"/>
      <c r="P19" s="39">
        <f>SUM(D19:M19)</f>
      </c>
      <c r="Q19" s="14"/>
      <c r="R19" s="2"/>
      <c r="S19" s="2"/>
      <c r="T19" s="39">
        <f>SUM(D19,E19,F19,H19)</f>
      </c>
      <c r="U19" s="38">
        <f>SUM(G19,I19)</f>
      </c>
      <c r="V19" s="39">
        <f>SUM(T19:U19)</f>
      </c>
    </row>
    <row x14ac:dyDescent="0.25" r="20" customHeight="1" ht="18.75">
      <c r="A20" s="20">
        <f>Marksheet!B19</f>
      </c>
      <c r="B20" s="25">
        <f>Marksheet!A19</f>
      </c>
      <c r="C20" s="37" t="s">
        <v>157</v>
      </c>
      <c r="D20" s="20">
        <v>2</v>
      </c>
      <c r="E20" s="20">
        <v>1</v>
      </c>
      <c r="F20" s="20">
        <v>2</v>
      </c>
      <c r="G20" s="45">
        <v>1.5</v>
      </c>
      <c r="H20" s="20">
        <v>5</v>
      </c>
      <c r="I20" s="20">
        <v>0</v>
      </c>
      <c r="J20" s="14"/>
      <c r="K20" s="14"/>
      <c r="L20" s="14"/>
      <c r="M20" s="14"/>
      <c r="N20" s="14"/>
      <c r="O20" s="14"/>
      <c r="P20" s="39">
        <f>SUM(D20:M20)</f>
      </c>
      <c r="Q20" s="14"/>
      <c r="R20" s="2"/>
      <c r="S20" s="2"/>
      <c r="T20" s="38">
        <f>SUM(D20,E20,F20,H20)</f>
      </c>
      <c r="U20" s="39">
        <f>SUM(G20,I20)</f>
      </c>
      <c r="V20" s="39">
        <f>SUM(T20:U20)</f>
      </c>
    </row>
    <row x14ac:dyDescent="0.25" r="21" customHeight="1" ht="18.75">
      <c r="A21" s="20">
        <f>Marksheet!B20</f>
      </c>
      <c r="B21" s="25">
        <f>Marksheet!A20</f>
      </c>
      <c r="C21" s="37" t="s">
        <v>157</v>
      </c>
      <c r="D21" s="45">
        <v>1.5</v>
      </c>
      <c r="E21" s="20">
        <v>1</v>
      </c>
      <c r="F21" s="20">
        <v>1</v>
      </c>
      <c r="G21" s="20">
        <v>2</v>
      </c>
      <c r="H21" s="20">
        <v>1</v>
      </c>
      <c r="I21" s="20">
        <v>4</v>
      </c>
      <c r="J21" s="14"/>
      <c r="K21" s="14"/>
      <c r="L21" s="14"/>
      <c r="M21" s="14"/>
      <c r="N21" s="14"/>
      <c r="O21" s="14"/>
      <c r="P21" s="39">
        <f>SUM(D21:M21)</f>
      </c>
      <c r="Q21" s="14"/>
      <c r="R21" s="2"/>
      <c r="S21" s="2"/>
      <c r="T21" s="39">
        <f>SUM(D21,E21,F21,H21)</f>
      </c>
      <c r="U21" s="38">
        <f>SUM(G21,I21)</f>
      </c>
      <c r="V21" s="39">
        <f>SUM(T21:U21)</f>
      </c>
    </row>
    <row x14ac:dyDescent="0.25" r="22" customHeight="1" ht="18.75">
      <c r="A22" s="20">
        <f>Marksheet!B21</f>
      </c>
      <c r="B22" s="25">
        <f>Marksheet!A21</f>
      </c>
      <c r="C22" s="37" t="s">
        <v>158</v>
      </c>
      <c r="D22" s="12"/>
      <c r="E22" s="12"/>
      <c r="F22" s="12"/>
      <c r="G22" s="12"/>
      <c r="H22" s="12"/>
      <c r="I22" s="12"/>
      <c r="J22" s="14"/>
      <c r="K22" s="14"/>
      <c r="L22" s="14"/>
      <c r="M22" s="14"/>
      <c r="N22" s="14"/>
      <c r="O22" s="14"/>
      <c r="P22" s="38">
        <f>SUM(D22:M22)</f>
      </c>
      <c r="Q22" s="14"/>
      <c r="R22" s="2"/>
      <c r="S22" s="2"/>
      <c r="T22" s="38">
        <f>SUM(D22,E22,F22,H22)</f>
      </c>
      <c r="U22" s="38">
        <f>SUM(G22,I22)</f>
      </c>
      <c r="V22" s="38">
        <f>SUM(T22:U22)</f>
      </c>
    </row>
    <row x14ac:dyDescent="0.25" r="23" customHeight="1" ht="18.75">
      <c r="A23" s="20">
        <f>Marksheet!B22</f>
      </c>
      <c r="B23" s="25">
        <f>Marksheet!A22</f>
      </c>
      <c r="C23" s="37" t="s">
        <v>157</v>
      </c>
      <c r="D23" s="20">
        <v>2</v>
      </c>
      <c r="E23" s="20">
        <v>2</v>
      </c>
      <c r="F23" s="20">
        <v>2</v>
      </c>
      <c r="G23" s="20">
        <v>2</v>
      </c>
      <c r="H23" s="20">
        <v>5</v>
      </c>
      <c r="I23" s="20">
        <v>6</v>
      </c>
      <c r="J23" s="14"/>
      <c r="K23" s="14"/>
      <c r="L23" s="14"/>
      <c r="M23" s="14"/>
      <c r="N23" s="14"/>
      <c r="O23" s="14"/>
      <c r="P23" s="38">
        <f>SUM(D23:M23)</f>
      </c>
      <c r="Q23" s="14"/>
      <c r="R23" s="2"/>
      <c r="S23" s="2"/>
      <c r="T23" s="38">
        <f>SUM(D23,E23,F23,H23)</f>
      </c>
      <c r="U23" s="38">
        <f>SUM(G23,I23)</f>
      </c>
      <c r="V23" s="38">
        <f>SUM(T23:U23)</f>
      </c>
    </row>
    <row x14ac:dyDescent="0.25" r="24" customHeight="1" ht="18.75">
      <c r="A24" s="20">
        <f>Marksheet!B23</f>
      </c>
      <c r="B24" s="25">
        <f>Marksheet!A23</f>
      </c>
      <c r="C24" s="37" t="s">
        <v>158</v>
      </c>
      <c r="D24" s="12"/>
      <c r="E24" s="12"/>
      <c r="F24" s="12"/>
      <c r="G24" s="12"/>
      <c r="H24" s="12"/>
      <c r="I24" s="12"/>
      <c r="J24" s="14"/>
      <c r="K24" s="14"/>
      <c r="L24" s="14"/>
      <c r="M24" s="14"/>
      <c r="N24" s="14"/>
      <c r="O24" s="14"/>
      <c r="P24" s="38">
        <f>SUM(D24:M24)</f>
      </c>
      <c r="Q24" s="14"/>
      <c r="R24" s="2"/>
      <c r="S24" s="2"/>
      <c r="T24" s="38">
        <f>SUM(D24,E24,F24,H24)</f>
      </c>
      <c r="U24" s="38">
        <f>SUM(G24,I24)</f>
      </c>
      <c r="V24" s="38">
        <f>SUM(T24:U24)</f>
      </c>
    </row>
    <row x14ac:dyDescent="0.25" r="25" customHeight="1" ht="18.75">
      <c r="A25" s="20">
        <f>Marksheet!B24</f>
      </c>
      <c r="B25" s="25">
        <f>Marksheet!A24</f>
      </c>
      <c r="C25" s="37" t="s">
        <v>157</v>
      </c>
      <c r="D25" s="20">
        <v>2</v>
      </c>
      <c r="E25" s="45">
        <v>1.5</v>
      </c>
      <c r="F25" s="20">
        <v>2</v>
      </c>
      <c r="G25" s="20">
        <v>1</v>
      </c>
      <c r="H25" s="20">
        <v>2</v>
      </c>
      <c r="I25" s="20">
        <v>4</v>
      </c>
      <c r="J25" s="14"/>
      <c r="K25" s="14"/>
      <c r="L25" s="14"/>
      <c r="M25" s="14"/>
      <c r="N25" s="14"/>
      <c r="O25" s="14"/>
      <c r="P25" s="39">
        <f>SUM(D25:M25)</f>
      </c>
      <c r="Q25" s="14"/>
      <c r="R25" s="2"/>
      <c r="S25" s="2"/>
      <c r="T25" s="39">
        <f>SUM(D25,E25,F25,H25)</f>
      </c>
      <c r="U25" s="38">
        <f>SUM(G25,I25)</f>
      </c>
      <c r="V25" s="39">
        <f>SUM(T25:U25)</f>
      </c>
    </row>
    <row x14ac:dyDescent="0.25" r="26" customHeight="1" ht="18.75">
      <c r="A26" s="20">
        <f>Marksheet!B25</f>
      </c>
      <c r="B26" s="25">
        <f>Marksheet!A25</f>
      </c>
      <c r="C26" s="37" t="s">
        <v>157</v>
      </c>
      <c r="D26" s="20">
        <v>2</v>
      </c>
      <c r="E26" s="45">
        <v>1.5</v>
      </c>
      <c r="F26" s="20">
        <v>2</v>
      </c>
      <c r="G26" s="20">
        <v>2</v>
      </c>
      <c r="H26" s="20">
        <v>6</v>
      </c>
      <c r="I26" s="20">
        <v>6</v>
      </c>
      <c r="J26" s="14"/>
      <c r="K26" s="14"/>
      <c r="L26" s="14"/>
      <c r="M26" s="14"/>
      <c r="N26" s="14"/>
      <c r="O26" s="14"/>
      <c r="P26" s="39">
        <f>SUM(D26:M26)</f>
      </c>
      <c r="Q26" s="14"/>
      <c r="R26" s="2"/>
      <c r="S26" s="2"/>
      <c r="T26" s="39">
        <f>SUM(D26,E26,F26,H26)</f>
      </c>
      <c r="U26" s="38">
        <f>SUM(G26,I26)</f>
      </c>
      <c r="V26" s="39">
        <f>SUM(T26:U26)</f>
      </c>
    </row>
    <row x14ac:dyDescent="0.25" r="27" customHeight="1" ht="18.75">
      <c r="A27" s="20">
        <f>Marksheet!B26</f>
      </c>
      <c r="B27" s="25">
        <f>Marksheet!A26</f>
      </c>
      <c r="C27" s="37" t="s">
        <v>157</v>
      </c>
      <c r="D27" s="45">
        <v>1.5</v>
      </c>
      <c r="E27" s="45">
        <v>1.5</v>
      </c>
      <c r="F27" s="20">
        <v>2</v>
      </c>
      <c r="G27" s="20">
        <v>2</v>
      </c>
      <c r="H27" s="20">
        <v>2</v>
      </c>
      <c r="I27" s="20">
        <v>2</v>
      </c>
      <c r="J27" s="14"/>
      <c r="K27" s="14"/>
      <c r="L27" s="14"/>
      <c r="M27" s="14"/>
      <c r="N27" s="14"/>
      <c r="O27" s="14"/>
      <c r="P27" s="38">
        <f>SUM(D27:M27)</f>
      </c>
      <c r="Q27" s="14"/>
      <c r="R27" s="2"/>
      <c r="S27" s="2"/>
      <c r="T27" s="38">
        <f>SUM(D27,E27,F27,H27)</f>
      </c>
      <c r="U27" s="38">
        <f>SUM(G27,I27)</f>
      </c>
      <c r="V27" s="38">
        <f>SUM(T27:U27)</f>
      </c>
    </row>
    <row x14ac:dyDescent="0.25" r="28" customHeight="1" ht="18.75">
      <c r="A28" s="20">
        <f>Marksheet!B27</f>
      </c>
      <c r="B28" s="25">
        <f>Marksheet!A27</f>
      </c>
      <c r="C28" s="37" t="s">
        <v>157</v>
      </c>
      <c r="D28" s="45">
        <v>1.5</v>
      </c>
      <c r="E28" s="20">
        <v>1</v>
      </c>
      <c r="F28" s="20">
        <v>2</v>
      </c>
      <c r="G28" s="20">
        <v>2</v>
      </c>
      <c r="H28" s="20">
        <v>3</v>
      </c>
      <c r="I28" s="20">
        <v>2</v>
      </c>
      <c r="J28" s="14"/>
      <c r="K28" s="14"/>
      <c r="L28" s="14"/>
      <c r="M28" s="14"/>
      <c r="N28" s="14"/>
      <c r="O28" s="14"/>
      <c r="P28" s="39">
        <f>SUM(D28:M28)</f>
      </c>
      <c r="Q28" s="14"/>
      <c r="R28" s="2"/>
      <c r="S28" s="2"/>
      <c r="T28" s="39">
        <f>SUM(D28,E28,F28,H28)</f>
      </c>
      <c r="U28" s="38">
        <f>SUM(G28,I28)</f>
      </c>
      <c r="V28" s="39">
        <f>SUM(T28:U28)</f>
      </c>
    </row>
    <row x14ac:dyDescent="0.25" r="29" customHeight="1" ht="18.75">
      <c r="A29" s="20">
        <f>Marksheet!B28</f>
      </c>
      <c r="B29" s="25">
        <f>Marksheet!A28</f>
      </c>
      <c r="C29" s="37" t="s">
        <v>157</v>
      </c>
      <c r="D29" s="20">
        <v>2</v>
      </c>
      <c r="E29" s="45">
        <v>0.5</v>
      </c>
      <c r="F29" s="20">
        <v>2</v>
      </c>
      <c r="G29" s="20">
        <v>0</v>
      </c>
      <c r="H29" s="20">
        <v>2</v>
      </c>
      <c r="I29" s="20">
        <v>0</v>
      </c>
      <c r="J29" s="14"/>
      <c r="K29" s="14"/>
      <c r="L29" s="14"/>
      <c r="M29" s="14"/>
      <c r="N29" s="14"/>
      <c r="O29" s="14"/>
      <c r="P29" s="39">
        <f>SUM(D29:M29)</f>
      </c>
      <c r="Q29" s="14"/>
      <c r="R29" s="2"/>
      <c r="S29" s="2"/>
      <c r="T29" s="39">
        <f>SUM(D29,E29,F29,H29)</f>
      </c>
      <c r="U29" s="38">
        <f>SUM(G29,I29)</f>
      </c>
      <c r="V29" s="39">
        <f>SUM(T29:U29)</f>
      </c>
    </row>
    <row x14ac:dyDescent="0.25" r="30" customHeight="1" ht="18.75">
      <c r="A30" s="20">
        <f>Marksheet!B29</f>
      </c>
      <c r="B30" s="25">
        <f>Marksheet!A29</f>
      </c>
      <c r="C30" s="37" t="s">
        <v>157</v>
      </c>
      <c r="D30" s="20">
        <v>1</v>
      </c>
      <c r="E30" s="20">
        <v>1</v>
      </c>
      <c r="F30" s="20">
        <v>0</v>
      </c>
      <c r="G30" s="20">
        <v>0</v>
      </c>
      <c r="H30" s="20">
        <v>0</v>
      </c>
      <c r="I30" s="20">
        <v>0</v>
      </c>
      <c r="J30" s="14"/>
      <c r="K30" s="14"/>
      <c r="L30" s="14"/>
      <c r="M30" s="14"/>
      <c r="N30" s="14"/>
      <c r="O30" s="14"/>
      <c r="P30" s="38">
        <f>SUM(D30:M30)</f>
      </c>
      <c r="Q30" s="14"/>
      <c r="R30" s="2"/>
      <c r="S30" s="2"/>
      <c r="T30" s="38">
        <f>SUM(D30,E30,F30,H30)</f>
      </c>
      <c r="U30" s="38">
        <f>SUM(G30,I30)</f>
      </c>
      <c r="V30" s="38">
        <f>SUM(T30:U30)</f>
      </c>
    </row>
    <row x14ac:dyDescent="0.25" r="31" customHeight="1" ht="18.75">
      <c r="A31" s="20">
        <f>Marksheet!B30</f>
      </c>
      <c r="B31" s="25">
        <f>Marksheet!A30</f>
      </c>
      <c r="C31" s="37" t="s">
        <v>157</v>
      </c>
      <c r="D31" s="20">
        <v>1</v>
      </c>
      <c r="E31" s="20">
        <v>1</v>
      </c>
      <c r="F31" s="20">
        <v>2</v>
      </c>
      <c r="G31" s="20">
        <v>1</v>
      </c>
      <c r="H31" s="20">
        <v>2</v>
      </c>
      <c r="I31" s="20">
        <v>2</v>
      </c>
      <c r="J31" s="14"/>
      <c r="K31" s="14"/>
      <c r="L31" s="14"/>
      <c r="M31" s="14"/>
      <c r="N31" s="14"/>
      <c r="O31" s="14"/>
      <c r="P31" s="38">
        <f>SUM(D31:M31)</f>
      </c>
      <c r="Q31" s="14"/>
      <c r="R31" s="2"/>
      <c r="S31" s="2"/>
      <c r="T31" s="38">
        <f>SUM(D31,E31,F31,H31)</f>
      </c>
      <c r="U31" s="38">
        <f>SUM(G31,I31)</f>
      </c>
      <c r="V31" s="38">
        <f>SUM(T31:U31)</f>
      </c>
    </row>
    <row x14ac:dyDescent="0.25" r="32" customHeight="1" ht="18.75">
      <c r="A32" s="20">
        <f>Marksheet!B31</f>
      </c>
      <c r="B32" s="25">
        <f>Marksheet!A31</f>
      </c>
      <c r="C32" s="37" t="s">
        <v>157</v>
      </c>
      <c r="D32" s="20">
        <v>2</v>
      </c>
      <c r="E32" s="45">
        <v>1.5</v>
      </c>
      <c r="F32" s="20">
        <v>2</v>
      </c>
      <c r="G32" s="20">
        <v>2</v>
      </c>
      <c r="H32" s="20">
        <v>4</v>
      </c>
      <c r="I32" s="20">
        <v>6</v>
      </c>
      <c r="J32" s="14"/>
      <c r="K32" s="14"/>
      <c r="L32" s="14"/>
      <c r="M32" s="14"/>
      <c r="N32" s="14"/>
      <c r="O32" s="14"/>
      <c r="P32" s="39">
        <f>SUM(D32:M32)</f>
      </c>
      <c r="Q32" s="14"/>
      <c r="R32" s="2"/>
      <c r="S32" s="2"/>
      <c r="T32" s="39">
        <f>SUM(D32,E32,F32,H32)</f>
      </c>
      <c r="U32" s="38">
        <f>SUM(G32,I32)</f>
      </c>
      <c r="V32" s="39">
        <f>SUM(T32:U32)</f>
      </c>
    </row>
    <row x14ac:dyDescent="0.25" r="33" customHeight="1" ht="18.75">
      <c r="A33" s="20">
        <f>Marksheet!B32</f>
      </c>
      <c r="B33" s="25">
        <f>Marksheet!A32</f>
      </c>
      <c r="C33" s="37" t="s">
        <v>157</v>
      </c>
      <c r="D33" s="20">
        <v>2</v>
      </c>
      <c r="E33" s="20">
        <v>2</v>
      </c>
      <c r="F33" s="20">
        <v>2</v>
      </c>
      <c r="G33" s="20">
        <v>2</v>
      </c>
      <c r="H33" s="20">
        <v>6</v>
      </c>
      <c r="I33" s="20">
        <v>6</v>
      </c>
      <c r="J33" s="14"/>
      <c r="K33" s="14"/>
      <c r="L33" s="14"/>
      <c r="M33" s="14"/>
      <c r="N33" s="14"/>
      <c r="O33" s="14"/>
      <c r="P33" s="38">
        <f>SUM(D33:M33)</f>
      </c>
      <c r="Q33" s="14"/>
      <c r="R33" s="2"/>
      <c r="S33" s="2"/>
      <c r="T33" s="38">
        <f>SUM(D33,E33,F33,H33)</f>
      </c>
      <c r="U33" s="38">
        <f>SUM(G33,I33)</f>
      </c>
      <c r="V33" s="38">
        <f>SUM(T33:U33)</f>
      </c>
    </row>
    <row x14ac:dyDescent="0.25" r="34" customHeight="1" ht="18.75">
      <c r="A34" s="20">
        <f>Marksheet!B33</f>
      </c>
      <c r="B34" s="25">
        <f>Marksheet!A33</f>
      </c>
      <c r="C34" s="37" t="s">
        <v>157</v>
      </c>
      <c r="D34" s="20">
        <v>2</v>
      </c>
      <c r="E34" s="20">
        <v>2</v>
      </c>
      <c r="F34" s="45">
        <v>1.5</v>
      </c>
      <c r="G34" s="20">
        <v>2</v>
      </c>
      <c r="H34" s="20">
        <v>6</v>
      </c>
      <c r="I34" s="20">
        <v>6</v>
      </c>
      <c r="J34" s="14"/>
      <c r="K34" s="14"/>
      <c r="L34" s="14"/>
      <c r="M34" s="14"/>
      <c r="N34" s="14"/>
      <c r="O34" s="14"/>
      <c r="P34" s="39">
        <f>SUM(D34:M34)</f>
      </c>
      <c r="Q34" s="14"/>
      <c r="R34" s="2"/>
      <c r="S34" s="2"/>
      <c r="T34" s="39">
        <f>SUM(D34,E34,F34,H34)</f>
      </c>
      <c r="U34" s="38">
        <f>SUM(G34,I34)</f>
      </c>
      <c r="V34" s="39">
        <f>SUM(T34:U34)</f>
      </c>
    </row>
    <row x14ac:dyDescent="0.25" r="35" customHeight="1" ht="18.75">
      <c r="A35" s="20">
        <f>Marksheet!B34</f>
      </c>
      <c r="B35" s="25">
        <f>Marksheet!A34</f>
      </c>
      <c r="C35" s="37" t="s">
        <v>157</v>
      </c>
      <c r="D35" s="45">
        <v>1.5</v>
      </c>
      <c r="E35" s="45">
        <v>1.5</v>
      </c>
      <c r="F35" s="20">
        <v>2</v>
      </c>
      <c r="G35" s="20">
        <v>2</v>
      </c>
      <c r="H35" s="20">
        <v>2</v>
      </c>
      <c r="I35" s="20">
        <v>4</v>
      </c>
      <c r="J35" s="14"/>
      <c r="K35" s="14"/>
      <c r="L35" s="14"/>
      <c r="M35" s="14"/>
      <c r="N35" s="14"/>
      <c r="O35" s="14"/>
      <c r="P35" s="38">
        <f>SUM(D35:M35)</f>
      </c>
      <c r="Q35" s="14"/>
      <c r="R35" s="2"/>
      <c r="S35" s="2"/>
      <c r="T35" s="38">
        <f>SUM(D35,E35,F35,H35)</f>
      </c>
      <c r="U35" s="38">
        <f>SUM(G35,I35)</f>
      </c>
      <c r="V35" s="38">
        <f>SUM(T35:U35)</f>
      </c>
    </row>
    <row x14ac:dyDescent="0.25" r="36" customHeight="1" ht="18.75">
      <c r="A36" s="20">
        <f>Marksheet!B35</f>
      </c>
      <c r="B36" s="25">
        <f>Marksheet!A35</f>
      </c>
      <c r="C36" s="37" t="s">
        <v>157</v>
      </c>
      <c r="D36" s="20">
        <v>2</v>
      </c>
      <c r="E36" s="20">
        <v>2</v>
      </c>
      <c r="F36" s="20">
        <v>2</v>
      </c>
      <c r="G36" s="20">
        <v>2</v>
      </c>
      <c r="H36" s="20">
        <v>3</v>
      </c>
      <c r="I36" s="20">
        <v>6</v>
      </c>
      <c r="J36" s="14"/>
      <c r="K36" s="14"/>
      <c r="L36" s="14"/>
      <c r="M36" s="14"/>
      <c r="N36" s="14"/>
      <c r="O36" s="14"/>
      <c r="P36" s="38">
        <f>SUM(D36:M36)</f>
      </c>
      <c r="Q36" s="14"/>
      <c r="R36" s="2"/>
      <c r="S36" s="2"/>
      <c r="T36" s="38">
        <f>SUM(D36,E36,F36,H36)</f>
      </c>
      <c r="U36" s="38">
        <f>SUM(G36,I36)</f>
      </c>
      <c r="V36" s="38">
        <f>SUM(T36:U36)</f>
      </c>
    </row>
    <row x14ac:dyDescent="0.25" r="37" customHeight="1" ht="18.75">
      <c r="A37" s="20">
        <f>Marksheet!B36</f>
      </c>
      <c r="B37" s="25">
        <f>Marksheet!A36</f>
      </c>
      <c r="C37" s="37" t="s">
        <v>157</v>
      </c>
      <c r="D37" s="20">
        <v>2</v>
      </c>
      <c r="E37" s="20">
        <v>2</v>
      </c>
      <c r="F37" s="20">
        <v>2</v>
      </c>
      <c r="G37" s="20">
        <v>2</v>
      </c>
      <c r="H37" s="20">
        <v>6</v>
      </c>
      <c r="I37" s="20">
        <v>6</v>
      </c>
      <c r="J37" s="14"/>
      <c r="K37" s="14"/>
      <c r="L37" s="14"/>
      <c r="M37" s="14"/>
      <c r="N37" s="14"/>
      <c r="O37" s="14"/>
      <c r="P37" s="38">
        <f>SUM(D37:M37)</f>
      </c>
      <c r="Q37" s="14"/>
      <c r="R37" s="2"/>
      <c r="S37" s="2"/>
      <c r="T37" s="38">
        <f>SUM(D37,E37,F37,H37)</f>
      </c>
      <c r="U37" s="38">
        <f>SUM(G37,I37)</f>
      </c>
      <c r="V37" s="38">
        <f>SUM(T37:U37)</f>
      </c>
    </row>
    <row x14ac:dyDescent="0.25" r="38" customHeight="1" ht="18.75">
      <c r="A38" s="20">
        <f>Marksheet!B37</f>
      </c>
      <c r="B38" s="25">
        <f>Marksheet!A37</f>
      </c>
      <c r="C38" s="37" t="s">
        <v>157</v>
      </c>
      <c r="D38" s="20">
        <v>1</v>
      </c>
      <c r="E38" s="20">
        <v>0</v>
      </c>
      <c r="F38" s="20">
        <v>2</v>
      </c>
      <c r="G38" s="20">
        <v>0</v>
      </c>
      <c r="H38" s="20">
        <v>0</v>
      </c>
      <c r="I38" s="20">
        <v>0</v>
      </c>
      <c r="J38" s="14"/>
      <c r="K38" s="14"/>
      <c r="L38" s="14"/>
      <c r="M38" s="14"/>
      <c r="N38" s="14"/>
      <c r="O38" s="14"/>
      <c r="P38" s="38">
        <f>SUM(D38:M38)</f>
      </c>
      <c r="Q38" s="14"/>
      <c r="R38" s="2"/>
      <c r="S38" s="2"/>
      <c r="T38" s="38">
        <f>SUM(D38,E38,F38,H38)</f>
      </c>
      <c r="U38" s="38">
        <f>SUM(G38,I38)</f>
      </c>
      <c r="V38" s="38">
        <f>SUM(T38:U38)</f>
      </c>
    </row>
    <row x14ac:dyDescent="0.25" r="39" customHeight="1" ht="18.75">
      <c r="A39" s="20">
        <f>Marksheet!B38</f>
      </c>
      <c r="B39" s="25">
        <f>Marksheet!A38</f>
      </c>
      <c r="C39" s="37" t="s">
        <v>157</v>
      </c>
      <c r="D39" s="20">
        <v>0</v>
      </c>
      <c r="E39" s="20">
        <v>0</v>
      </c>
      <c r="F39" s="20">
        <v>2</v>
      </c>
      <c r="G39" s="20">
        <v>0</v>
      </c>
      <c r="H39" s="20">
        <v>1</v>
      </c>
      <c r="I39" s="20">
        <v>2</v>
      </c>
      <c r="J39" s="14"/>
      <c r="K39" s="14"/>
      <c r="L39" s="14"/>
      <c r="M39" s="14"/>
      <c r="N39" s="14"/>
      <c r="O39" s="14"/>
      <c r="P39" s="38">
        <f>SUM(D39:M39)</f>
      </c>
      <c r="Q39" s="14"/>
      <c r="R39" s="2"/>
      <c r="S39" s="2"/>
      <c r="T39" s="38">
        <f>SUM(D39,E39,F39,H39)</f>
      </c>
      <c r="U39" s="38">
        <f>SUM(G39,I39)</f>
      </c>
      <c r="V39" s="38">
        <f>SUM(T39:U39)</f>
      </c>
    </row>
    <row x14ac:dyDescent="0.25" r="40" customHeight="1" ht="18.75">
      <c r="A40" s="20">
        <f>Marksheet!B39</f>
      </c>
      <c r="B40" s="25">
        <f>Marksheet!A39</f>
      </c>
      <c r="C40" s="37" t="s">
        <v>157</v>
      </c>
      <c r="D40" s="45">
        <v>0.5</v>
      </c>
      <c r="E40" s="45">
        <v>0.5</v>
      </c>
      <c r="F40" s="45">
        <v>0.5</v>
      </c>
      <c r="G40" s="20">
        <v>0</v>
      </c>
      <c r="H40" s="20">
        <v>2</v>
      </c>
      <c r="I40" s="20">
        <v>0</v>
      </c>
      <c r="J40" s="14"/>
      <c r="K40" s="14"/>
      <c r="L40" s="14"/>
      <c r="M40" s="14"/>
      <c r="N40" s="14"/>
      <c r="O40" s="14"/>
      <c r="P40" s="39">
        <f>SUM(D40:M40)</f>
      </c>
      <c r="Q40" s="14"/>
      <c r="R40" s="2"/>
      <c r="S40" s="2"/>
      <c r="T40" s="39">
        <f>SUM(D40,E40,F40,H40)</f>
      </c>
      <c r="U40" s="38">
        <f>SUM(G40,I40)</f>
      </c>
      <c r="V40" s="39">
        <f>SUM(T40:U40)</f>
      </c>
    </row>
    <row x14ac:dyDescent="0.25" r="41" customHeight="1" ht="18.75">
      <c r="A41" s="20">
        <f>Marksheet!B40</f>
      </c>
      <c r="B41" s="25">
        <f>Marksheet!A40</f>
      </c>
      <c r="C41" s="37" t="s">
        <v>157</v>
      </c>
      <c r="D41" s="20">
        <v>1</v>
      </c>
      <c r="E41" s="20">
        <v>0</v>
      </c>
      <c r="F41" s="20">
        <v>2</v>
      </c>
      <c r="G41" s="20">
        <v>1</v>
      </c>
      <c r="H41" s="20">
        <v>4</v>
      </c>
      <c r="I41" s="20">
        <v>0</v>
      </c>
      <c r="J41" s="14"/>
      <c r="K41" s="14"/>
      <c r="L41" s="14"/>
      <c r="M41" s="14"/>
      <c r="N41" s="14"/>
      <c r="O41" s="14"/>
      <c r="P41" s="38">
        <f>SUM(D41:M41)</f>
      </c>
      <c r="Q41" s="14"/>
      <c r="R41" s="2"/>
      <c r="S41" s="2"/>
      <c r="T41" s="38">
        <f>SUM(D41,E41,F41,H41)</f>
      </c>
      <c r="U41" s="38">
        <f>SUM(G41,I41)</f>
      </c>
      <c r="V41" s="38">
        <f>SUM(T41:U41)</f>
      </c>
    </row>
    <row x14ac:dyDescent="0.25" r="42" customHeight="1" ht="18.75">
      <c r="A42" s="20">
        <f>Marksheet!B41</f>
      </c>
      <c r="B42" s="25">
        <f>Marksheet!A41</f>
      </c>
      <c r="C42" s="37" t="s">
        <v>157</v>
      </c>
      <c r="D42" s="20">
        <v>1</v>
      </c>
      <c r="E42" s="20">
        <v>1</v>
      </c>
      <c r="F42" s="20">
        <v>2</v>
      </c>
      <c r="G42" s="20">
        <v>2</v>
      </c>
      <c r="H42" s="20">
        <v>3</v>
      </c>
      <c r="I42" s="20">
        <v>6</v>
      </c>
      <c r="J42" s="14"/>
      <c r="K42" s="14"/>
      <c r="L42" s="14"/>
      <c r="M42" s="14"/>
      <c r="N42" s="14"/>
      <c r="O42" s="14"/>
      <c r="P42" s="38">
        <f>SUM(D42:M42)</f>
      </c>
      <c r="Q42" s="14"/>
      <c r="R42" s="2"/>
      <c r="S42" s="2"/>
      <c r="T42" s="38">
        <f>SUM(D42,E42,F42,H42)</f>
      </c>
      <c r="U42" s="38">
        <f>SUM(G42,I42)</f>
      </c>
      <c r="V42" s="38">
        <f>SUM(T42:U42)</f>
      </c>
    </row>
    <row x14ac:dyDescent="0.25" r="43" customHeight="1" ht="18.75">
      <c r="A43" s="20">
        <f>Marksheet!B42</f>
      </c>
      <c r="B43" s="25">
        <f>Marksheet!A42</f>
      </c>
      <c r="C43" s="37" t="s">
        <v>158</v>
      </c>
      <c r="D43" s="12"/>
      <c r="E43" s="12"/>
      <c r="F43" s="12"/>
      <c r="G43" s="12"/>
      <c r="H43" s="12"/>
      <c r="I43" s="12"/>
      <c r="J43" s="14"/>
      <c r="K43" s="14"/>
      <c r="L43" s="14"/>
      <c r="M43" s="14"/>
      <c r="N43" s="14"/>
      <c r="O43" s="14"/>
      <c r="P43" s="38">
        <f>SUM(D43:M43)</f>
      </c>
      <c r="Q43" s="14"/>
      <c r="R43" s="2"/>
      <c r="S43" s="2"/>
      <c r="T43" s="38">
        <f>SUM(D43,E43,F43,H43)</f>
      </c>
      <c r="U43" s="38">
        <f>SUM(G43,I43)</f>
      </c>
      <c r="V43" s="38">
        <f>SUM(T43:U43)</f>
      </c>
    </row>
    <row x14ac:dyDescent="0.25" r="44" customHeight="1" ht="18.75">
      <c r="A44" s="20">
        <f>Marksheet!B43</f>
      </c>
      <c r="B44" s="25">
        <f>Marksheet!A43</f>
      </c>
      <c r="C44" s="37" t="s">
        <v>158</v>
      </c>
      <c r="D44" s="12"/>
      <c r="E44" s="12"/>
      <c r="F44" s="12"/>
      <c r="G44" s="12"/>
      <c r="H44" s="12"/>
      <c r="I44" s="12"/>
      <c r="J44" s="14"/>
      <c r="K44" s="14"/>
      <c r="L44" s="14"/>
      <c r="M44" s="14"/>
      <c r="N44" s="14"/>
      <c r="O44" s="14"/>
      <c r="P44" s="38">
        <f>SUM(D44:M44)</f>
      </c>
      <c r="Q44" s="14"/>
      <c r="R44" s="2"/>
      <c r="S44" s="2"/>
      <c r="T44" s="38">
        <f>SUM(D44,E44,F44,H44)</f>
      </c>
      <c r="U44" s="38">
        <f>SUM(G44,I44)</f>
      </c>
      <c r="V44" s="38">
        <f>SUM(T44:U44)</f>
      </c>
    </row>
    <row x14ac:dyDescent="0.25" r="45" customHeight="1" ht="18.75">
      <c r="A45" s="20">
        <f>Marksheet!B44</f>
      </c>
      <c r="B45" s="25">
        <f>Marksheet!A44</f>
      </c>
      <c r="C45" s="37" t="s">
        <v>157</v>
      </c>
      <c r="D45" s="45">
        <v>1.5</v>
      </c>
      <c r="E45" s="45">
        <v>1.5</v>
      </c>
      <c r="F45" s="20">
        <v>2</v>
      </c>
      <c r="G45" s="20">
        <v>2</v>
      </c>
      <c r="H45" s="20">
        <v>4</v>
      </c>
      <c r="I45" s="20">
        <v>4</v>
      </c>
      <c r="J45" s="14"/>
      <c r="K45" s="14"/>
      <c r="L45" s="14"/>
      <c r="M45" s="14"/>
      <c r="N45" s="14"/>
      <c r="O45" s="14"/>
      <c r="P45" s="38">
        <f>SUM(D45:M45)</f>
      </c>
      <c r="Q45" s="14"/>
      <c r="R45" s="2"/>
      <c r="S45" s="2"/>
      <c r="T45" s="38">
        <f>SUM(D45,E45,F45,H45)</f>
      </c>
      <c r="U45" s="38">
        <f>SUM(G45,I45)</f>
      </c>
      <c r="V45" s="38">
        <f>SUM(T45:U45)</f>
      </c>
    </row>
    <row x14ac:dyDescent="0.25" r="46" customHeight="1" ht="18.75">
      <c r="A46" s="20">
        <f>Marksheet!B45</f>
      </c>
      <c r="B46" s="25">
        <f>Marksheet!A45</f>
      </c>
      <c r="C46" s="37" t="s">
        <v>157</v>
      </c>
      <c r="D46" s="20">
        <v>1</v>
      </c>
      <c r="E46" s="20">
        <v>1</v>
      </c>
      <c r="F46" s="45">
        <v>1.5</v>
      </c>
      <c r="G46" s="20">
        <v>1</v>
      </c>
      <c r="H46" s="20">
        <v>1</v>
      </c>
      <c r="I46" s="20">
        <v>2</v>
      </c>
      <c r="J46" s="14"/>
      <c r="K46" s="14"/>
      <c r="L46" s="14"/>
      <c r="M46" s="14"/>
      <c r="N46" s="14"/>
      <c r="O46" s="14"/>
      <c r="P46" s="39">
        <f>SUM(D46:M46)</f>
      </c>
      <c r="Q46" s="14"/>
      <c r="R46" s="2"/>
      <c r="S46" s="2"/>
      <c r="T46" s="39">
        <f>SUM(D46,E46,F46,H46)</f>
      </c>
      <c r="U46" s="38">
        <f>SUM(G46,I46)</f>
      </c>
      <c r="V46" s="39">
        <f>SUM(T46:U46)</f>
      </c>
    </row>
    <row x14ac:dyDescent="0.25" r="47" customHeight="1" ht="18.75">
      <c r="A47" s="20">
        <f>Marksheet!B46</f>
      </c>
      <c r="B47" s="25">
        <f>Marksheet!A46</f>
      </c>
      <c r="C47" s="37" t="s">
        <v>157</v>
      </c>
      <c r="D47" s="45">
        <v>1.5</v>
      </c>
      <c r="E47" s="20">
        <v>1</v>
      </c>
      <c r="F47" s="20">
        <v>2</v>
      </c>
      <c r="G47" s="45">
        <v>1.5</v>
      </c>
      <c r="H47" s="20">
        <v>2</v>
      </c>
      <c r="I47" s="20">
        <v>0</v>
      </c>
      <c r="J47" s="14"/>
      <c r="K47" s="14"/>
      <c r="L47" s="14"/>
      <c r="M47" s="14"/>
      <c r="N47" s="14"/>
      <c r="O47" s="14"/>
      <c r="P47" s="38">
        <f>SUM(D47:M47)</f>
      </c>
      <c r="Q47" s="14"/>
      <c r="R47" s="2"/>
      <c r="S47" s="2"/>
      <c r="T47" s="39">
        <f>SUM(D47,E47,F47,H47)</f>
      </c>
      <c r="U47" s="39">
        <f>SUM(G47,I47)</f>
      </c>
      <c r="V47" s="38">
        <f>SUM(T47:U47)</f>
      </c>
    </row>
    <row x14ac:dyDescent="0.25" r="48" customHeight="1" ht="18.75">
      <c r="A48" s="20">
        <f>Marksheet!B47</f>
      </c>
      <c r="B48" s="25">
        <f>Marksheet!A47</f>
      </c>
      <c r="C48" s="37" t="s">
        <v>157</v>
      </c>
      <c r="D48" s="20">
        <v>2</v>
      </c>
      <c r="E48" s="20">
        <v>2</v>
      </c>
      <c r="F48" s="45">
        <v>1.5</v>
      </c>
      <c r="G48" s="20">
        <v>1</v>
      </c>
      <c r="H48" s="20">
        <v>4</v>
      </c>
      <c r="I48" s="20">
        <v>4</v>
      </c>
      <c r="J48" s="14"/>
      <c r="K48" s="14"/>
      <c r="L48" s="14"/>
      <c r="M48" s="14"/>
      <c r="N48" s="14"/>
      <c r="O48" s="14"/>
      <c r="P48" s="39">
        <f>SUM(D48:M48)</f>
      </c>
      <c r="Q48" s="14"/>
      <c r="R48" s="2"/>
      <c r="S48" s="2"/>
      <c r="T48" s="39">
        <f>SUM(D48,E48,F48,H48)</f>
      </c>
      <c r="U48" s="38">
        <f>SUM(G48,I48)</f>
      </c>
      <c r="V48" s="39">
        <f>SUM(T48:U48)</f>
      </c>
    </row>
    <row x14ac:dyDescent="0.25" r="49" customHeight="1" ht="18.75">
      <c r="A49" s="20">
        <f>Marksheet!B48</f>
      </c>
      <c r="B49" s="25">
        <f>Marksheet!A48</f>
      </c>
      <c r="C49" s="37" t="s">
        <v>157</v>
      </c>
      <c r="D49" s="45">
        <v>1.5</v>
      </c>
      <c r="E49" s="45">
        <v>1.5</v>
      </c>
      <c r="F49" s="20">
        <v>2</v>
      </c>
      <c r="G49" s="20">
        <v>2</v>
      </c>
      <c r="H49" s="20">
        <v>2</v>
      </c>
      <c r="I49" s="20">
        <v>0</v>
      </c>
      <c r="J49" s="14"/>
      <c r="K49" s="14"/>
      <c r="L49" s="14"/>
      <c r="M49" s="14"/>
      <c r="N49" s="14"/>
      <c r="O49" s="14"/>
      <c r="P49" s="38">
        <f>SUM(D49:M49)</f>
      </c>
      <c r="Q49" s="14"/>
      <c r="R49" s="2"/>
      <c r="S49" s="2"/>
      <c r="T49" s="38">
        <f>SUM(D49,E49,F49,H49)</f>
      </c>
      <c r="U49" s="38">
        <f>SUM(G49,I49)</f>
      </c>
      <c r="V49" s="38">
        <f>SUM(T49:U49)</f>
      </c>
    </row>
    <row x14ac:dyDescent="0.25" r="50" customHeight="1" ht="18.75">
      <c r="A50" s="20">
        <f>Marksheet!B49</f>
      </c>
      <c r="B50" s="25">
        <f>Marksheet!A49</f>
      </c>
      <c r="C50" s="37" t="s">
        <v>158</v>
      </c>
      <c r="D50" s="12"/>
      <c r="E50" s="12"/>
      <c r="F50" s="12"/>
      <c r="G50" s="12"/>
      <c r="H50" s="12"/>
      <c r="I50" s="12"/>
      <c r="J50" s="14"/>
      <c r="K50" s="14"/>
      <c r="L50" s="14"/>
      <c r="M50" s="14"/>
      <c r="N50" s="14"/>
      <c r="O50" s="14"/>
      <c r="P50" s="38">
        <f>SUM(D50:M50)</f>
      </c>
      <c r="Q50" s="14"/>
      <c r="R50" s="2"/>
      <c r="S50" s="2"/>
      <c r="T50" s="38">
        <f>SUM(D50,E50,F50,H50)</f>
      </c>
      <c r="U50" s="38">
        <f>SUM(G50,I50)</f>
      </c>
      <c r="V50" s="38">
        <f>SUM(T50:U50)</f>
      </c>
    </row>
    <row x14ac:dyDescent="0.25" r="51" customHeight="1" ht="18.75">
      <c r="A51" s="20">
        <f>Marksheet!B50</f>
      </c>
      <c r="B51" s="25">
        <f>Marksheet!A50</f>
      </c>
      <c r="C51" s="37" t="s">
        <v>157</v>
      </c>
      <c r="D51" s="20">
        <v>2</v>
      </c>
      <c r="E51" s="45">
        <v>0.5</v>
      </c>
      <c r="F51" s="45">
        <v>1.5</v>
      </c>
      <c r="G51" s="20">
        <v>1</v>
      </c>
      <c r="H51" s="20">
        <v>0</v>
      </c>
      <c r="I51" s="20">
        <v>0</v>
      </c>
      <c r="J51" s="14"/>
      <c r="K51" s="14"/>
      <c r="L51" s="14"/>
      <c r="M51" s="14"/>
      <c r="N51" s="14"/>
      <c r="O51" s="14"/>
      <c r="P51" s="38">
        <f>SUM(D51:M51)</f>
      </c>
      <c r="Q51" s="14"/>
      <c r="R51" s="2"/>
      <c r="S51" s="2"/>
      <c r="T51" s="38">
        <f>SUM(D51,E51,F51,H51)</f>
      </c>
      <c r="U51" s="38">
        <f>SUM(G51,I51)</f>
      </c>
      <c r="V51" s="38">
        <f>SUM(T51:U51)</f>
      </c>
    </row>
    <row x14ac:dyDescent="0.25" r="52" customHeight="1" ht="18.75">
      <c r="A52" s="20">
        <f>Marksheet!B51</f>
      </c>
      <c r="B52" s="25">
        <f>Marksheet!A51</f>
      </c>
      <c r="C52" s="37" t="s">
        <v>157</v>
      </c>
      <c r="D52" s="20">
        <v>2</v>
      </c>
      <c r="E52" s="20">
        <v>1</v>
      </c>
      <c r="F52" s="20">
        <v>2</v>
      </c>
      <c r="G52" s="20">
        <v>2</v>
      </c>
      <c r="H52" s="20">
        <v>4</v>
      </c>
      <c r="I52" s="20">
        <v>6</v>
      </c>
      <c r="J52" s="14"/>
      <c r="K52" s="14"/>
      <c r="L52" s="14"/>
      <c r="M52" s="14"/>
      <c r="N52" s="14"/>
      <c r="O52" s="14"/>
      <c r="P52" s="38">
        <f>SUM(D52:M52)</f>
      </c>
      <c r="Q52" s="14"/>
      <c r="R52" s="2"/>
      <c r="S52" s="2"/>
      <c r="T52" s="38">
        <f>SUM(D52,E52,F52,H52)</f>
      </c>
      <c r="U52" s="38">
        <f>SUM(G52,I52)</f>
      </c>
      <c r="V52" s="38">
        <f>SUM(T52:U52)</f>
      </c>
    </row>
    <row x14ac:dyDescent="0.25" r="53" customHeight="1" ht="18.75">
      <c r="A53" s="20">
        <f>Marksheet!B52</f>
      </c>
      <c r="B53" s="25">
        <f>Marksheet!A52</f>
      </c>
      <c r="C53" s="37" t="s">
        <v>158</v>
      </c>
      <c r="D53" s="12"/>
      <c r="E53" s="12"/>
      <c r="F53" s="12"/>
      <c r="G53" s="12"/>
      <c r="H53" s="12"/>
      <c r="I53" s="12"/>
      <c r="J53" s="14"/>
      <c r="K53" s="14"/>
      <c r="L53" s="14"/>
      <c r="M53" s="14"/>
      <c r="N53" s="14"/>
      <c r="O53" s="14"/>
      <c r="P53" s="38">
        <f>SUM(D53:M53)</f>
      </c>
      <c r="Q53" s="14"/>
      <c r="R53" s="2"/>
      <c r="S53" s="2"/>
      <c r="T53" s="38">
        <f>SUM(D53,E53,F53,H53)</f>
      </c>
      <c r="U53" s="38">
        <f>SUM(G53,I53)</f>
      </c>
      <c r="V53" s="38">
        <f>SUM(T53:U53)</f>
      </c>
    </row>
    <row x14ac:dyDescent="0.25" r="54" customHeight="1" ht="18.75">
      <c r="A54" s="20">
        <f>Marksheet!B53</f>
      </c>
      <c r="B54" s="25">
        <f>Marksheet!A53</f>
      </c>
      <c r="C54" s="37" t="s">
        <v>157</v>
      </c>
      <c r="D54" s="20">
        <v>2</v>
      </c>
      <c r="E54" s="20">
        <v>2</v>
      </c>
      <c r="F54" s="20">
        <v>2</v>
      </c>
      <c r="G54" s="45">
        <v>1.5</v>
      </c>
      <c r="H54" s="20">
        <v>4</v>
      </c>
      <c r="I54" s="20">
        <v>0</v>
      </c>
      <c r="J54" s="14"/>
      <c r="K54" s="14"/>
      <c r="L54" s="14"/>
      <c r="M54" s="14"/>
      <c r="N54" s="14"/>
      <c r="O54" s="14"/>
      <c r="P54" s="39">
        <f>SUM(D54:M54)</f>
      </c>
      <c r="Q54" s="14"/>
      <c r="R54" s="2"/>
      <c r="S54" s="2"/>
      <c r="T54" s="38">
        <f>SUM(D54,E54,F54,H54)</f>
      </c>
      <c r="U54" s="39">
        <f>SUM(G54,I54)</f>
      </c>
      <c r="V54" s="39">
        <f>SUM(T54:U54)</f>
      </c>
    </row>
    <row x14ac:dyDescent="0.25" r="55" customHeight="1" ht="18.75">
      <c r="A55" s="20">
        <f>Marksheet!B54</f>
      </c>
      <c r="B55" s="25">
        <f>Marksheet!A54</f>
      </c>
      <c r="C55" s="37" t="s">
        <v>157</v>
      </c>
      <c r="D55" s="20">
        <v>2</v>
      </c>
      <c r="E55" s="45">
        <v>1.5</v>
      </c>
      <c r="F55" s="45">
        <v>1.5</v>
      </c>
      <c r="G55" s="20">
        <v>1</v>
      </c>
      <c r="H55" s="20">
        <v>6</v>
      </c>
      <c r="I55" s="20">
        <v>6</v>
      </c>
      <c r="J55" s="14"/>
      <c r="K55" s="14"/>
      <c r="L55" s="14"/>
      <c r="M55" s="14"/>
      <c r="N55" s="14"/>
      <c r="O55" s="14"/>
      <c r="P55" s="38">
        <f>SUM(D55:M55)</f>
      </c>
      <c r="Q55" s="14"/>
      <c r="R55" s="2"/>
      <c r="S55" s="2"/>
      <c r="T55" s="38">
        <f>SUM(D55,E55,F55,H55)</f>
      </c>
      <c r="U55" s="38">
        <f>SUM(G55,I55)</f>
      </c>
      <c r="V55" s="38">
        <f>SUM(T55:U55)</f>
      </c>
    </row>
    <row x14ac:dyDescent="0.25" r="56" customHeight="1" ht="18.75">
      <c r="A56" s="20">
        <f>Marksheet!B55</f>
      </c>
      <c r="B56" s="25">
        <f>Marksheet!A55</f>
      </c>
      <c r="C56" s="37" t="s">
        <v>157</v>
      </c>
      <c r="D56" s="45">
        <v>0.5</v>
      </c>
      <c r="E56" s="45">
        <v>0.5</v>
      </c>
      <c r="F56" s="20">
        <v>1</v>
      </c>
      <c r="G56" s="20">
        <v>0</v>
      </c>
      <c r="H56" s="20">
        <v>0</v>
      </c>
      <c r="I56" s="20">
        <v>0</v>
      </c>
      <c r="J56" s="14"/>
      <c r="K56" s="14"/>
      <c r="L56" s="14"/>
      <c r="M56" s="14"/>
      <c r="N56" s="14"/>
      <c r="O56" s="14"/>
      <c r="P56" s="38">
        <f>SUM(D56:M56)</f>
      </c>
      <c r="Q56" s="14"/>
      <c r="R56" s="2"/>
      <c r="S56" s="2"/>
      <c r="T56" s="38">
        <f>SUM(D56,E56,F56,H56)</f>
      </c>
      <c r="U56" s="38">
        <f>SUM(G56,I56)</f>
      </c>
      <c r="V56" s="38">
        <f>SUM(T56:U56)</f>
      </c>
    </row>
    <row x14ac:dyDescent="0.25" r="57" customHeight="1" ht="18.75">
      <c r="A57" s="20">
        <f>Marksheet!B56</f>
      </c>
      <c r="B57" s="25">
        <f>Marksheet!A56</f>
      </c>
      <c r="C57" s="37" t="s">
        <v>157</v>
      </c>
      <c r="D57" s="20">
        <v>1</v>
      </c>
      <c r="E57" s="45">
        <v>1.5</v>
      </c>
      <c r="F57" s="20">
        <v>2</v>
      </c>
      <c r="G57" s="45">
        <v>1.5</v>
      </c>
      <c r="H57" s="20">
        <v>6</v>
      </c>
      <c r="I57" s="20">
        <v>6</v>
      </c>
      <c r="J57" s="14"/>
      <c r="K57" s="14"/>
      <c r="L57" s="14"/>
      <c r="M57" s="14"/>
      <c r="N57" s="14"/>
      <c r="O57" s="14"/>
      <c r="P57" s="38">
        <f>SUM(D57:M57)</f>
      </c>
      <c r="Q57" s="14"/>
      <c r="R57" s="2"/>
      <c r="S57" s="2"/>
      <c r="T57" s="39">
        <f>SUM(D57,E57,F57,H57)</f>
      </c>
      <c r="U57" s="39">
        <f>SUM(G57,I57)</f>
      </c>
      <c r="V57" s="38">
        <f>SUM(T57:U57)</f>
      </c>
    </row>
    <row x14ac:dyDescent="0.25" r="58" customHeight="1" ht="18.75">
      <c r="A58" s="20">
        <f>Marksheet!B57</f>
      </c>
      <c r="B58" s="25">
        <f>Marksheet!A57</f>
      </c>
      <c r="C58" s="37" t="s">
        <v>157</v>
      </c>
      <c r="D58" s="20">
        <v>2</v>
      </c>
      <c r="E58" s="20">
        <v>2</v>
      </c>
      <c r="F58" s="20">
        <v>2</v>
      </c>
      <c r="G58" s="20">
        <v>2</v>
      </c>
      <c r="H58" s="20">
        <v>4</v>
      </c>
      <c r="I58" s="20">
        <v>3</v>
      </c>
      <c r="J58" s="14"/>
      <c r="K58" s="14"/>
      <c r="L58" s="14"/>
      <c r="M58" s="14"/>
      <c r="N58" s="14"/>
      <c r="O58" s="14"/>
      <c r="P58" s="38">
        <f>SUM(D58:M58)</f>
      </c>
      <c r="Q58" s="14"/>
      <c r="R58" s="2"/>
      <c r="S58" s="2"/>
      <c r="T58" s="38">
        <f>SUM(D58,E58,F58,H58)</f>
      </c>
      <c r="U58" s="38">
        <f>SUM(G58,I58)</f>
      </c>
      <c r="V58" s="38">
        <f>SUM(T58:U58)</f>
      </c>
    </row>
    <row x14ac:dyDescent="0.25" r="59" customHeight="1" ht="18.75">
      <c r="A59" s="20">
        <f>Marksheet!B58</f>
      </c>
      <c r="B59" s="25">
        <f>Marksheet!A58</f>
      </c>
      <c r="C59" s="37" t="s">
        <v>157</v>
      </c>
      <c r="D59" s="20">
        <v>2</v>
      </c>
      <c r="E59" s="20">
        <v>2</v>
      </c>
      <c r="F59" s="20">
        <v>2</v>
      </c>
      <c r="G59" s="20">
        <v>0</v>
      </c>
      <c r="H59" s="20">
        <v>6</v>
      </c>
      <c r="I59" s="20">
        <v>6</v>
      </c>
      <c r="J59" s="14"/>
      <c r="K59" s="14"/>
      <c r="L59" s="14"/>
      <c r="M59" s="14"/>
      <c r="N59" s="14"/>
      <c r="O59" s="14"/>
      <c r="P59" s="38">
        <f>SUM(D59:M59)</f>
      </c>
      <c r="Q59" s="14"/>
      <c r="R59" s="2"/>
      <c r="S59" s="2"/>
      <c r="T59" s="38">
        <f>SUM(D59,E59,F59,H59)</f>
      </c>
      <c r="U59" s="38">
        <f>SUM(G59,I59)</f>
      </c>
      <c r="V59" s="38">
        <f>SUM(T59:U59)</f>
      </c>
    </row>
    <row x14ac:dyDescent="0.25" r="60" customHeight="1" ht="18.75">
      <c r="A60" s="20">
        <f>Marksheet!B59</f>
      </c>
      <c r="B60" s="25">
        <f>Marksheet!A59</f>
      </c>
      <c r="C60" s="37" t="s">
        <v>157</v>
      </c>
      <c r="D60" s="45">
        <v>1.5</v>
      </c>
      <c r="E60" s="20">
        <v>1</v>
      </c>
      <c r="F60" s="20">
        <v>2</v>
      </c>
      <c r="G60" s="20">
        <v>2</v>
      </c>
      <c r="H60" s="20">
        <v>2</v>
      </c>
      <c r="I60" s="20">
        <v>4</v>
      </c>
      <c r="J60" s="14"/>
      <c r="K60" s="14"/>
      <c r="L60" s="14"/>
      <c r="M60" s="14"/>
      <c r="N60" s="14"/>
      <c r="O60" s="14"/>
      <c r="P60" s="39">
        <f>SUM(D60:M60)</f>
      </c>
      <c r="Q60" s="14"/>
      <c r="R60" s="2"/>
      <c r="S60" s="2"/>
      <c r="T60" s="39">
        <f>SUM(D60,E60,F60,H60)</f>
      </c>
      <c r="U60" s="38">
        <f>SUM(G60,I60)</f>
      </c>
      <c r="V60" s="39">
        <f>SUM(T60:U60)</f>
      </c>
    </row>
    <row x14ac:dyDescent="0.25" r="61" customHeight="1" ht="18.75">
      <c r="A61" s="20">
        <f>Marksheet!B60</f>
      </c>
      <c r="B61" s="25">
        <f>Marksheet!A60</f>
      </c>
      <c r="C61" s="37" t="s">
        <v>157</v>
      </c>
      <c r="D61" s="20">
        <v>2</v>
      </c>
      <c r="E61" s="45">
        <v>1.5</v>
      </c>
      <c r="F61" s="45">
        <v>1.5</v>
      </c>
      <c r="G61" s="20">
        <v>2</v>
      </c>
      <c r="H61" s="20">
        <v>5</v>
      </c>
      <c r="I61" s="20">
        <v>3</v>
      </c>
      <c r="J61" s="14"/>
      <c r="K61" s="14"/>
      <c r="L61" s="14"/>
      <c r="M61" s="14"/>
      <c r="N61" s="14"/>
      <c r="O61" s="14"/>
      <c r="P61" s="38">
        <f>SUM(D61:M61)</f>
      </c>
      <c r="Q61" s="14"/>
      <c r="R61" s="2"/>
      <c r="S61" s="2"/>
      <c r="T61" s="38">
        <f>SUM(D61,E61,F61,H61)</f>
      </c>
      <c r="U61" s="38">
        <f>SUM(G61,I61)</f>
      </c>
      <c r="V61" s="38">
        <f>SUM(T61:U61)</f>
      </c>
    </row>
    <row x14ac:dyDescent="0.25" r="62" customHeight="1" ht="18.75">
      <c r="A62" s="20">
        <f>Marksheet!B61</f>
      </c>
      <c r="B62" s="25">
        <f>Marksheet!A61</f>
      </c>
      <c r="C62" s="37" t="s">
        <v>157</v>
      </c>
      <c r="D62" s="20">
        <v>2</v>
      </c>
      <c r="E62" s="20">
        <v>2</v>
      </c>
      <c r="F62" s="20">
        <v>2</v>
      </c>
      <c r="G62" s="20">
        <v>2</v>
      </c>
      <c r="H62" s="20">
        <v>6</v>
      </c>
      <c r="I62" s="20">
        <v>5</v>
      </c>
      <c r="J62" s="14"/>
      <c r="K62" s="14"/>
      <c r="L62" s="14"/>
      <c r="M62" s="14"/>
      <c r="N62" s="14"/>
      <c r="O62" s="14"/>
      <c r="P62" s="38">
        <f>SUM(D62:M62)</f>
      </c>
      <c r="Q62" s="14"/>
      <c r="R62" s="2"/>
      <c r="S62" s="2"/>
      <c r="T62" s="38">
        <f>SUM(D62,E62,F62,H62)</f>
      </c>
      <c r="U62" s="38">
        <f>SUM(G62,I62)</f>
      </c>
      <c r="V62" s="38">
        <f>SUM(T62:U62)</f>
      </c>
    </row>
    <row x14ac:dyDescent="0.25" r="63" customHeight="1" ht="18.75">
      <c r="A63" s="20">
        <f>Marksheet!B62</f>
      </c>
      <c r="B63" s="25">
        <f>Marksheet!A62</f>
      </c>
      <c r="C63" s="37" t="s">
        <v>157</v>
      </c>
      <c r="D63" s="45">
        <v>1.5</v>
      </c>
      <c r="E63" s="45">
        <v>1.5</v>
      </c>
      <c r="F63" s="20">
        <v>2</v>
      </c>
      <c r="G63" s="20">
        <v>1</v>
      </c>
      <c r="H63" s="20">
        <v>4</v>
      </c>
      <c r="I63" s="20">
        <v>3</v>
      </c>
      <c r="J63" s="14"/>
      <c r="K63" s="14"/>
      <c r="L63" s="14"/>
      <c r="M63" s="14"/>
      <c r="N63" s="14"/>
      <c r="O63" s="14"/>
      <c r="P63" s="38">
        <f>SUM(D63:M63)</f>
      </c>
      <c r="Q63" s="14"/>
      <c r="R63" s="2"/>
      <c r="S63" s="2"/>
      <c r="T63" s="38">
        <f>SUM(D63,E63,F63,H63)</f>
      </c>
      <c r="U63" s="38">
        <f>SUM(G63,I63)</f>
      </c>
      <c r="V63" s="38">
        <f>SUM(T63:U63)</f>
      </c>
    </row>
    <row x14ac:dyDescent="0.25" r="64" customHeight="1" ht="18.75">
      <c r="A64" s="20">
        <f>Marksheet!B63</f>
      </c>
      <c r="B64" s="25">
        <f>Marksheet!A63</f>
      </c>
      <c r="C64" s="37" t="s">
        <v>157</v>
      </c>
      <c r="D64" s="20">
        <v>2</v>
      </c>
      <c r="E64" s="20">
        <v>2</v>
      </c>
      <c r="F64" s="20">
        <v>2</v>
      </c>
      <c r="G64" s="20">
        <v>0</v>
      </c>
      <c r="H64" s="20">
        <v>6</v>
      </c>
      <c r="I64" s="20">
        <v>5</v>
      </c>
      <c r="J64" s="14"/>
      <c r="K64" s="14"/>
      <c r="L64" s="14"/>
      <c r="M64" s="14"/>
      <c r="N64" s="14"/>
      <c r="O64" s="14"/>
      <c r="P64" s="38">
        <f>SUM(D64:M64)</f>
      </c>
      <c r="Q64" s="14"/>
      <c r="R64" s="2"/>
      <c r="S64" s="2"/>
      <c r="T64" s="38">
        <f>SUM(D64,E64,F64,H64)</f>
      </c>
      <c r="U64" s="38">
        <f>SUM(G64,I64)</f>
      </c>
      <c r="V64" s="38">
        <f>SUM(T64:U64)</f>
      </c>
    </row>
    <row x14ac:dyDescent="0.25" r="65" customHeight="1" ht="18.75">
      <c r="A65" s="12"/>
      <c r="B65" s="14"/>
      <c r="C65" s="2"/>
      <c r="D65" s="12"/>
      <c r="E65" s="12"/>
      <c r="F65" s="12"/>
      <c r="G65" s="12"/>
      <c r="H65" s="12"/>
      <c r="I65" s="12"/>
      <c r="J65" s="14"/>
      <c r="K65" s="14"/>
      <c r="L65" s="14"/>
      <c r="M65" s="14"/>
      <c r="N65" s="14"/>
      <c r="O65" s="14"/>
      <c r="P65" s="46"/>
      <c r="Q65" s="14"/>
      <c r="R65" s="2"/>
      <c r="S65" s="2"/>
      <c r="T65" s="46"/>
      <c r="U65" s="46"/>
      <c r="V65" s="46"/>
    </row>
  </sheetData>
  <mergeCells count="2">
    <mergeCell ref="A1:Q1"/>
    <mergeCell ref="A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65"/>
  <sheetViews>
    <sheetView workbookViewId="0"/>
  </sheetViews>
  <sheetFormatPr defaultRowHeight="15" x14ac:dyDescent="0.25"/>
  <cols>
    <col min="1" max="1" style="5" width="25.005" customWidth="1" bestFit="1"/>
    <col min="2" max="2" style="22" width="15.147857142857141" customWidth="1" bestFit="1"/>
    <col min="3" max="3" style="43" width="10.147857142857141" customWidth="1" bestFit="1"/>
    <col min="4" max="4" style="43" width="13.576428571428572" customWidth="1" bestFit="1"/>
    <col min="5" max="5" style="43" width="13.576428571428572" customWidth="1" bestFit="1"/>
    <col min="6" max="6" style="43" width="13.576428571428572" customWidth="1" bestFit="1"/>
    <col min="7" max="7" style="43" width="13.576428571428572" customWidth="1" bestFit="1"/>
    <col min="8" max="8" style="43" width="13.576428571428572" customWidth="1" bestFit="1"/>
    <col min="9" max="9" style="43" width="13.576428571428572" customWidth="1" bestFit="1"/>
    <col min="10" max="10" style="43" width="13.576428571428572" customWidth="1" bestFit="1"/>
    <col min="11" max="11" style="43" width="13.576428571428572" customWidth="1" bestFit="1"/>
    <col min="12" max="12" style="43" width="13.576428571428572" customWidth="1" bestFit="1"/>
    <col min="13" max="13" style="44" width="13.576428571428572" customWidth="1" bestFit="1"/>
    <col min="14" max="14" style="44" width="13.576428571428572" customWidth="1" bestFit="1"/>
    <col min="15" max="15" style="43" width="13.576428571428572" customWidth="1" bestFit="1"/>
    <col min="16" max="16" style="5" width="13.147857142857141" customWidth="1" bestFit="1"/>
    <col min="17" max="17" style="5" width="13.576428571428572" customWidth="1" bestFit="1"/>
    <col min="18" max="18" style="5" width="13.576428571428572" customWidth="1" bestFit="1"/>
    <col min="19" max="19" style="4" width="13.576428571428572" customWidth="1" bestFit="1"/>
    <col min="20" max="20" style="4" width="13.576428571428572" customWidth="1" bestFit="1"/>
    <col min="21" max="21" style="4" width="13.576428571428572" customWidth="1" bestFit="1"/>
  </cols>
  <sheetData>
    <row x14ac:dyDescent="0.25" r="1" customHeight="1" ht="18.75">
      <c r="A1" s="9" t="s">
        <v>153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9"/>
      <c r="O1" s="8"/>
      <c r="P1" s="9"/>
      <c r="Q1" s="2"/>
      <c r="R1" s="2"/>
      <c r="S1" s="1"/>
      <c r="T1" s="1"/>
      <c r="U1" s="1"/>
    </row>
    <row x14ac:dyDescent="0.25" r="2" customHeight="1" ht="18.75">
      <c r="A2" s="27">
        <f>Marksheet!A2</f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1"/>
      <c r="N2" s="11"/>
      <c r="O2" s="10"/>
      <c r="P2" s="11"/>
      <c r="Q2" s="2"/>
      <c r="R2" s="2"/>
      <c r="S2" s="1"/>
      <c r="T2" s="1"/>
      <c r="U2" s="1"/>
    </row>
    <row x14ac:dyDescent="0.25" r="3" customHeight="1" ht="18.75">
      <c r="A3" s="14"/>
      <c r="B3" s="28"/>
      <c r="C3" s="28"/>
      <c r="D3" s="24" t="s">
        <v>130</v>
      </c>
      <c r="E3" s="24" t="s">
        <v>130</v>
      </c>
      <c r="F3" s="24" t="s">
        <v>130</v>
      </c>
      <c r="G3" s="24" t="s">
        <v>131</v>
      </c>
      <c r="H3" s="24" t="s">
        <v>130</v>
      </c>
      <c r="I3" s="24" t="s">
        <v>130</v>
      </c>
      <c r="J3" s="24" t="s">
        <v>130</v>
      </c>
      <c r="K3" s="24" t="s">
        <v>131</v>
      </c>
      <c r="L3" s="24" t="s">
        <v>154</v>
      </c>
      <c r="M3" s="13"/>
      <c r="N3" s="13"/>
      <c r="O3" s="12"/>
      <c r="P3" s="14"/>
      <c r="Q3" s="2"/>
      <c r="R3" s="2"/>
      <c r="S3" s="24" t="s">
        <v>130</v>
      </c>
      <c r="T3" s="24" t="s">
        <v>131</v>
      </c>
      <c r="U3" s="1"/>
    </row>
    <row x14ac:dyDescent="0.25" r="4" customHeight="1" ht="18.75">
      <c r="A4" s="29" t="s">
        <v>1</v>
      </c>
      <c r="B4" s="30" t="s">
        <v>155</v>
      </c>
      <c r="C4" s="30" t="s">
        <v>5</v>
      </c>
      <c r="D4" s="31" t="s">
        <v>135</v>
      </c>
      <c r="E4" s="31" t="s">
        <v>136</v>
      </c>
      <c r="F4" s="31" t="s">
        <v>137</v>
      </c>
      <c r="G4" s="31" t="s">
        <v>138</v>
      </c>
      <c r="H4" s="31" t="s">
        <v>139</v>
      </c>
      <c r="I4" s="31" t="s">
        <v>140</v>
      </c>
      <c r="J4" s="31" t="s">
        <v>141</v>
      </c>
      <c r="K4" s="31" t="s">
        <v>142</v>
      </c>
      <c r="L4" s="31" t="s">
        <v>143</v>
      </c>
      <c r="M4" s="32" t="s">
        <v>144</v>
      </c>
      <c r="N4" s="32" t="s">
        <v>145</v>
      </c>
      <c r="O4" s="31" t="s">
        <v>146</v>
      </c>
      <c r="P4" s="23" t="s">
        <v>147</v>
      </c>
      <c r="Q4" s="2"/>
      <c r="R4" s="2"/>
      <c r="S4" s="15"/>
      <c r="T4" s="15"/>
      <c r="U4" s="15" t="s">
        <v>146</v>
      </c>
    </row>
    <row x14ac:dyDescent="0.25" r="5" customHeight="1" ht="18.75" hidden="1">
      <c r="A5" s="33"/>
      <c r="B5" s="34" t="s">
        <v>148</v>
      </c>
      <c r="C5" s="34"/>
      <c r="D5" s="34">
        <v>6</v>
      </c>
      <c r="E5" s="34">
        <v>6</v>
      </c>
      <c r="F5" s="34">
        <v>6</v>
      </c>
      <c r="G5" s="34">
        <v>6</v>
      </c>
      <c r="H5" s="34">
        <v>6</v>
      </c>
      <c r="I5" s="34">
        <v>15</v>
      </c>
      <c r="J5" s="34">
        <v>15</v>
      </c>
      <c r="K5" s="34">
        <v>15</v>
      </c>
      <c r="L5" s="34">
        <v>25</v>
      </c>
      <c r="M5" s="35"/>
      <c r="N5" s="35"/>
      <c r="O5" s="34">
        <f>SUM(D5:L5)</f>
      </c>
      <c r="P5" s="35"/>
      <c r="Q5" s="2"/>
      <c r="R5" s="2"/>
      <c r="S5" s="19">
        <f>SUM(D5:F5,H5,I5,J5,L5/5)</f>
      </c>
      <c r="T5" s="19">
        <f>SUM(G5,K5,L5*4/5)</f>
      </c>
      <c r="U5" s="19">
        <f>SUM(S5:T5)</f>
      </c>
    </row>
    <row x14ac:dyDescent="0.25" r="6" customHeight="1" ht="18.75" hidden="1">
      <c r="A6" s="36">
        <f>Marksheet!A5</f>
      </c>
      <c r="B6" s="28">
        <f>Marksheet!B5</f>
      </c>
      <c r="C6" s="28">
        <v>77</v>
      </c>
      <c r="D6" s="28">
        <v>6</v>
      </c>
      <c r="E6" s="28">
        <v>6</v>
      </c>
      <c r="F6" s="28">
        <v>5</v>
      </c>
      <c r="G6" s="28">
        <v>6</v>
      </c>
      <c r="H6" s="28">
        <v>6</v>
      </c>
      <c r="I6" s="28">
        <v>15</v>
      </c>
      <c r="J6" s="28">
        <v>12</v>
      </c>
      <c r="K6" s="28">
        <v>5</v>
      </c>
      <c r="L6" s="28">
        <v>25</v>
      </c>
      <c r="M6" s="37"/>
      <c r="N6" s="37"/>
      <c r="O6" s="34">
        <f>SUM(D6:L6)</f>
      </c>
      <c r="P6" s="14"/>
      <c r="Q6" s="2"/>
      <c r="R6" s="2"/>
      <c r="S6" s="38">
        <f>SUM(D6:F6,H6,I6,J6,L6/5)</f>
      </c>
      <c r="T6" s="38">
        <f>SUM(G6,K6,L6*4/5)</f>
      </c>
      <c r="U6" s="38">
        <f>SUM(S6:T6)</f>
      </c>
    </row>
    <row x14ac:dyDescent="0.25" r="7" customHeight="1" ht="18.75" hidden="1">
      <c r="A7" s="36">
        <f>Marksheet!A6</f>
      </c>
      <c r="B7" s="28">
        <f>Marksheet!B6</f>
      </c>
      <c r="C7" s="28">
        <v>77</v>
      </c>
      <c r="D7" s="28">
        <v>2</v>
      </c>
      <c r="E7" s="28">
        <v>1</v>
      </c>
      <c r="F7" s="28">
        <v>4</v>
      </c>
      <c r="G7" s="28"/>
      <c r="H7" s="28"/>
      <c r="I7" s="28"/>
      <c r="J7" s="28">
        <v>10</v>
      </c>
      <c r="K7" s="28">
        <v>5</v>
      </c>
      <c r="L7" s="28">
        <v>10</v>
      </c>
      <c r="M7" s="37"/>
      <c r="N7" s="37"/>
      <c r="O7" s="34">
        <f>SUM(D7:L7)</f>
      </c>
      <c r="P7" s="14"/>
      <c r="Q7" s="2"/>
      <c r="R7" s="2"/>
      <c r="S7" s="38">
        <f>SUM(D7:F7,H7,I7,J7,L7/5)</f>
      </c>
      <c r="T7" s="38">
        <f>SUM(G7,K7,L7*4/5)</f>
      </c>
      <c r="U7" s="38">
        <f>SUM(S7:T7)</f>
      </c>
    </row>
    <row x14ac:dyDescent="0.25" r="8" customHeight="1" ht="18.75" hidden="1">
      <c r="A8" s="36">
        <f>Marksheet!A7</f>
      </c>
      <c r="B8" s="28">
        <f>Marksheet!B7</f>
      </c>
      <c r="C8" s="28">
        <v>77</v>
      </c>
      <c r="D8" s="28">
        <v>2</v>
      </c>
      <c r="E8" s="28">
        <v>4</v>
      </c>
      <c r="F8" s="28">
        <v>6</v>
      </c>
      <c r="G8" s="28">
        <v>1</v>
      </c>
      <c r="H8" s="28"/>
      <c r="I8" s="28">
        <v>8</v>
      </c>
      <c r="J8" s="28"/>
      <c r="K8" s="28"/>
      <c r="L8" s="28">
        <v>8</v>
      </c>
      <c r="M8" s="37"/>
      <c r="N8" s="37"/>
      <c r="O8" s="34">
        <f>SUM(D8:L8)</f>
      </c>
      <c r="P8" s="14"/>
      <c r="Q8" s="2"/>
      <c r="R8" s="2"/>
      <c r="S8" s="39">
        <f>SUM(D8:F8,H8,I8,J8,L8/5)</f>
      </c>
      <c r="T8" s="39">
        <f>SUM(G8,K8,L8*4/5)</f>
      </c>
      <c r="U8" s="38">
        <f>SUM(S8:T8)</f>
      </c>
    </row>
    <row x14ac:dyDescent="0.25" r="9" customHeight="1" ht="18.75" hidden="1">
      <c r="A9" s="36">
        <f>Marksheet!A8</f>
      </c>
      <c r="B9" s="28">
        <f>Marksheet!B8</f>
      </c>
      <c r="C9" s="28">
        <v>77</v>
      </c>
      <c r="D9" s="28">
        <v>6</v>
      </c>
      <c r="E9" s="28">
        <v>3</v>
      </c>
      <c r="F9" s="28">
        <v>2</v>
      </c>
      <c r="G9" s="28"/>
      <c r="H9" s="28">
        <v>3</v>
      </c>
      <c r="I9" s="28">
        <v>6</v>
      </c>
      <c r="J9" s="28">
        <v>11</v>
      </c>
      <c r="K9" s="28">
        <v>5</v>
      </c>
      <c r="L9" s="28">
        <v>2</v>
      </c>
      <c r="M9" s="37"/>
      <c r="N9" s="37"/>
      <c r="O9" s="34">
        <f>SUM(D9:L9)</f>
      </c>
      <c r="P9" s="14"/>
      <c r="Q9" s="2"/>
      <c r="R9" s="2"/>
      <c r="S9" s="39">
        <f>SUM(D9:F9,H9,I9,J9,L9/5)</f>
      </c>
      <c r="T9" s="39">
        <f>SUM(G9,K9,L9*4/5)</f>
      </c>
      <c r="U9" s="38">
        <f>SUM(S9:T9)</f>
      </c>
    </row>
    <row x14ac:dyDescent="0.25" r="10" customHeight="1" ht="18.75" hidden="1">
      <c r="A10" s="36">
        <f>Marksheet!A9</f>
      </c>
      <c r="B10" s="28">
        <f>Marksheet!B9</f>
      </c>
      <c r="C10" s="28">
        <v>77</v>
      </c>
      <c r="D10" s="28">
        <v>6</v>
      </c>
      <c r="E10" s="28">
        <v>4</v>
      </c>
      <c r="F10" s="28">
        <v>3</v>
      </c>
      <c r="G10" s="28">
        <v>6</v>
      </c>
      <c r="H10" s="28">
        <v>4</v>
      </c>
      <c r="I10" s="28">
        <v>10</v>
      </c>
      <c r="J10" s="28">
        <v>15</v>
      </c>
      <c r="K10" s="28">
        <v>5</v>
      </c>
      <c r="L10" s="28">
        <v>25</v>
      </c>
      <c r="M10" s="37"/>
      <c r="N10" s="37"/>
      <c r="O10" s="34">
        <f>SUM(D10:L10)</f>
      </c>
      <c r="P10" s="14"/>
      <c r="Q10" s="2"/>
      <c r="R10" s="2"/>
      <c r="S10" s="38">
        <f>SUM(D10:F10,H10,I10,J10,L10/5)</f>
      </c>
      <c r="T10" s="38">
        <f>SUM(G10,K10,L10*4/5)</f>
      </c>
      <c r="U10" s="38">
        <f>SUM(S10:T10)</f>
      </c>
    </row>
    <row x14ac:dyDescent="0.25" r="11" customHeight="1" ht="18.75" hidden="1">
      <c r="A11" s="36">
        <f>Marksheet!A10</f>
      </c>
      <c r="B11" s="28">
        <f>Marksheet!B10</f>
      </c>
      <c r="C11" s="28">
        <v>77</v>
      </c>
      <c r="D11" s="31">
        <v>3</v>
      </c>
      <c r="E11" s="31">
        <v>4</v>
      </c>
      <c r="F11" s="31">
        <v>1</v>
      </c>
      <c r="G11" s="31"/>
      <c r="H11" s="31"/>
      <c r="I11" s="31"/>
      <c r="J11" s="28">
        <v>6</v>
      </c>
      <c r="K11" s="28"/>
      <c r="L11" s="28"/>
      <c r="M11" s="37"/>
      <c r="N11" s="37"/>
      <c r="O11" s="34">
        <f>SUM(D11:L11)</f>
      </c>
      <c r="P11" s="14"/>
      <c r="Q11" s="2"/>
      <c r="R11" s="2"/>
      <c r="S11" s="38">
        <f>SUM(D11:F11,H11,I11,J11,L11/5)</f>
      </c>
      <c r="T11" s="38">
        <f>SUM(G11,K11,L11*4/5)</f>
      </c>
      <c r="U11" s="38">
        <f>SUM(S11:T11)</f>
      </c>
    </row>
    <row x14ac:dyDescent="0.25" r="12" customHeight="1" ht="18.75" hidden="1">
      <c r="A12" s="36">
        <f>Marksheet!A11</f>
      </c>
      <c r="B12" s="28">
        <f>Marksheet!B11</f>
      </c>
      <c r="C12" s="28">
        <v>77</v>
      </c>
      <c r="D12" s="28">
        <v>5</v>
      </c>
      <c r="E12" s="28">
        <v>6</v>
      </c>
      <c r="F12" s="28">
        <v>3</v>
      </c>
      <c r="G12" s="28">
        <v>1</v>
      </c>
      <c r="H12" s="28">
        <v>2</v>
      </c>
      <c r="I12" s="28">
        <v>6</v>
      </c>
      <c r="J12" s="28">
        <v>12</v>
      </c>
      <c r="K12" s="28">
        <v>8</v>
      </c>
      <c r="L12" s="28">
        <v>7</v>
      </c>
      <c r="M12" s="37"/>
      <c r="N12" s="37"/>
      <c r="O12" s="34">
        <f>SUM(D12:L12)</f>
      </c>
      <c r="P12" s="14"/>
      <c r="Q12" s="2"/>
      <c r="R12" s="2"/>
      <c r="S12" s="39">
        <f>SUM(D12:F12,H12,I12,J12,L12/5)</f>
      </c>
      <c r="T12" s="39">
        <f>SUM(G12,K12,L12*4/5)</f>
      </c>
      <c r="U12" s="38">
        <f>SUM(S12:T12)</f>
      </c>
    </row>
    <row x14ac:dyDescent="0.25" r="13" customHeight="1" ht="18.75" hidden="1">
      <c r="A13" s="36">
        <f>Marksheet!A12</f>
      </c>
      <c r="B13" s="28">
        <f>Marksheet!B12</f>
      </c>
      <c r="C13" s="28">
        <v>77</v>
      </c>
      <c r="D13" s="28">
        <v>4</v>
      </c>
      <c r="E13" s="28"/>
      <c r="F13" s="28"/>
      <c r="G13" s="28"/>
      <c r="H13" s="28"/>
      <c r="I13" s="28">
        <v>4</v>
      </c>
      <c r="J13" s="28"/>
      <c r="K13" s="28"/>
      <c r="L13" s="28"/>
      <c r="M13" s="37"/>
      <c r="N13" s="37"/>
      <c r="O13" s="34">
        <f>SUM(D13:L13)</f>
      </c>
      <c r="P13" s="14"/>
      <c r="Q13" s="2"/>
      <c r="R13" s="2"/>
      <c r="S13" s="38">
        <f>SUM(D13:F13,H13,I13,J13,L13/5)</f>
      </c>
      <c r="T13" s="38">
        <f>SUM(G13,K13,L13*4/5)</f>
      </c>
      <c r="U13" s="38">
        <f>SUM(S13:T13)</f>
      </c>
    </row>
    <row x14ac:dyDescent="0.25" r="14" customHeight="1" ht="18.75" hidden="1">
      <c r="A14" s="36">
        <f>Marksheet!A13</f>
      </c>
      <c r="B14" s="28">
        <f>Marksheet!B13</f>
      </c>
      <c r="C14" s="28">
        <v>77</v>
      </c>
      <c r="D14" s="28">
        <v>6</v>
      </c>
      <c r="E14" s="28">
        <v>6</v>
      </c>
      <c r="F14" s="28">
        <v>6</v>
      </c>
      <c r="G14" s="28">
        <v>1</v>
      </c>
      <c r="H14" s="28">
        <v>0</v>
      </c>
      <c r="I14" s="28">
        <v>7</v>
      </c>
      <c r="J14" s="28">
        <v>15</v>
      </c>
      <c r="K14" s="28">
        <v>8</v>
      </c>
      <c r="L14" s="28">
        <v>5</v>
      </c>
      <c r="M14" s="37"/>
      <c r="N14" s="37"/>
      <c r="O14" s="34">
        <f>SUM(D14:L14)</f>
      </c>
      <c r="P14" s="14"/>
      <c r="Q14" s="2"/>
      <c r="R14" s="2"/>
      <c r="S14" s="38">
        <f>SUM(D14:F14,H14,I14,J14,L14/5)</f>
      </c>
      <c r="T14" s="38">
        <f>SUM(G14,K14,L14*4/5)</f>
      </c>
      <c r="U14" s="38">
        <f>SUM(S14:T14)</f>
      </c>
    </row>
    <row x14ac:dyDescent="0.25" r="15" customHeight="1" ht="18.75" hidden="1">
      <c r="A15" s="36">
        <f>Marksheet!A14</f>
      </c>
      <c r="B15" s="28">
        <f>Marksheet!B14</f>
      </c>
      <c r="C15" s="28">
        <v>77</v>
      </c>
      <c r="D15" s="28"/>
      <c r="E15" s="28"/>
      <c r="F15" s="28"/>
      <c r="G15" s="28"/>
      <c r="H15" s="28"/>
      <c r="I15" s="28"/>
      <c r="J15" s="28"/>
      <c r="K15" s="28"/>
      <c r="L15" s="28"/>
      <c r="M15" s="37"/>
      <c r="N15" s="37"/>
      <c r="O15" s="34">
        <f>SUM(D15:L15)</f>
      </c>
      <c r="P15" s="14"/>
      <c r="Q15" s="2"/>
      <c r="R15" s="2"/>
      <c r="S15" s="38">
        <f>SUM(D15:F15,H15,I15,J15,L15/5)</f>
      </c>
      <c r="T15" s="38">
        <f>SUM(G15,K15,L15*4/5)</f>
      </c>
      <c r="U15" s="38">
        <f>SUM(S15:T15)</f>
      </c>
    </row>
    <row x14ac:dyDescent="0.25" r="16" customHeight="1" ht="18.75" hidden="1">
      <c r="A16" s="36">
        <f>Marksheet!A15</f>
      </c>
      <c r="B16" s="28">
        <f>Marksheet!B15</f>
      </c>
      <c r="C16" s="28">
        <v>77</v>
      </c>
      <c r="D16" s="28">
        <v>1</v>
      </c>
      <c r="E16" s="28"/>
      <c r="F16" s="28"/>
      <c r="G16" s="28"/>
      <c r="H16" s="28"/>
      <c r="I16" s="28"/>
      <c r="J16" s="28"/>
      <c r="K16" s="28"/>
      <c r="L16" s="28"/>
      <c r="M16" s="37"/>
      <c r="N16" s="37"/>
      <c r="O16" s="34">
        <f>SUM(D16:L16)</f>
      </c>
      <c r="P16" s="14"/>
      <c r="Q16" s="2"/>
      <c r="R16" s="2"/>
      <c r="S16" s="38">
        <f>SUM(D16:F16,H16,I16,J16,L16/5)</f>
      </c>
      <c r="T16" s="38">
        <f>SUM(G16,K16,L16*4/5)</f>
      </c>
      <c r="U16" s="38">
        <f>SUM(S16:T16)</f>
      </c>
    </row>
    <row x14ac:dyDescent="0.25" r="17" customHeight="1" ht="18.75" hidden="1">
      <c r="A17" s="36">
        <f>Marksheet!A16</f>
      </c>
      <c r="B17" s="28">
        <f>Marksheet!B16</f>
      </c>
      <c r="C17" s="28">
        <v>77</v>
      </c>
      <c r="D17" s="28">
        <v>6</v>
      </c>
      <c r="E17" s="28">
        <v>3</v>
      </c>
      <c r="F17" s="28">
        <v>4</v>
      </c>
      <c r="G17" s="28"/>
      <c r="H17" s="28">
        <v>2</v>
      </c>
      <c r="I17" s="28">
        <v>5</v>
      </c>
      <c r="J17" s="28">
        <v>8</v>
      </c>
      <c r="K17" s="28"/>
      <c r="L17" s="28">
        <v>7</v>
      </c>
      <c r="M17" s="37"/>
      <c r="N17" s="37"/>
      <c r="O17" s="34">
        <f>SUM(D17:L17)</f>
      </c>
      <c r="P17" s="14"/>
      <c r="Q17" s="2"/>
      <c r="R17" s="2"/>
      <c r="S17" s="39">
        <f>SUM(D17:F17,H17,I17,J17,L17/5)</f>
      </c>
      <c r="T17" s="39">
        <f>SUM(G17,K17,L17*4/5)</f>
      </c>
      <c r="U17" s="38">
        <f>SUM(S17:T17)</f>
      </c>
    </row>
    <row x14ac:dyDescent="0.25" r="18" customHeight="1" ht="18.75" hidden="1">
      <c r="A18" s="36">
        <f>Marksheet!A17</f>
      </c>
      <c r="B18" s="28">
        <f>Marksheet!B17</f>
      </c>
      <c r="C18" s="28">
        <v>77</v>
      </c>
      <c r="D18" s="28">
        <v>4</v>
      </c>
      <c r="E18" s="28">
        <v>6</v>
      </c>
      <c r="F18" s="28">
        <v>3</v>
      </c>
      <c r="G18" s="28">
        <v>2</v>
      </c>
      <c r="H18" s="28">
        <v>3</v>
      </c>
      <c r="I18" s="28">
        <v>8</v>
      </c>
      <c r="J18" s="28">
        <v>3</v>
      </c>
      <c r="K18" s="28">
        <v>15</v>
      </c>
      <c r="L18" s="28">
        <v>13</v>
      </c>
      <c r="M18" s="37"/>
      <c r="N18" s="37"/>
      <c r="O18" s="34">
        <f>SUM(D18:L18)</f>
      </c>
      <c r="P18" s="14"/>
      <c r="Q18" s="2"/>
      <c r="R18" s="2"/>
      <c r="S18" s="39">
        <f>SUM(D18:F18,H18,I18,J18,L18/5)</f>
      </c>
      <c r="T18" s="39">
        <f>SUM(G18,K18,L18*4/5)</f>
      </c>
      <c r="U18" s="38">
        <f>SUM(S18:T18)</f>
      </c>
    </row>
    <row x14ac:dyDescent="0.25" r="19" customHeight="1" ht="18.75" hidden="1">
      <c r="A19" s="36">
        <f>Marksheet!A18</f>
      </c>
      <c r="B19" s="28">
        <f>Marksheet!B18</f>
      </c>
      <c r="C19" s="28">
        <v>77</v>
      </c>
      <c r="D19" s="28">
        <v>6</v>
      </c>
      <c r="E19" s="28">
        <v>6</v>
      </c>
      <c r="F19" s="28">
        <v>6</v>
      </c>
      <c r="G19" s="28">
        <v>6</v>
      </c>
      <c r="H19" s="28">
        <v>6</v>
      </c>
      <c r="I19" s="28">
        <v>15</v>
      </c>
      <c r="J19" s="28">
        <v>14</v>
      </c>
      <c r="K19" s="28">
        <v>15</v>
      </c>
      <c r="L19" s="28">
        <v>24</v>
      </c>
      <c r="M19" s="37"/>
      <c r="N19" s="37"/>
      <c r="O19" s="34">
        <f>SUM(D19:L19)</f>
      </c>
      <c r="P19" s="14"/>
      <c r="Q19" s="2"/>
      <c r="R19" s="2"/>
      <c r="S19" s="39">
        <f>SUM(D19:F19,H19,I19,J19,L19/5)</f>
      </c>
      <c r="T19" s="39">
        <f>SUM(G19,K19,L19*4/5)</f>
      </c>
      <c r="U19" s="38">
        <f>SUM(S19:T19)</f>
      </c>
    </row>
    <row x14ac:dyDescent="0.25" r="20" customHeight="1" ht="18.75" hidden="1">
      <c r="A20" s="36">
        <f>Marksheet!A19</f>
      </c>
      <c r="B20" s="28">
        <f>Marksheet!B19</f>
      </c>
      <c r="C20" s="28">
        <v>77</v>
      </c>
      <c r="D20" s="28">
        <v>4</v>
      </c>
      <c r="E20" s="28">
        <v>6</v>
      </c>
      <c r="F20" s="28">
        <v>4</v>
      </c>
      <c r="G20" s="28">
        <v>5</v>
      </c>
      <c r="H20" s="28">
        <v>4</v>
      </c>
      <c r="I20" s="28">
        <v>15</v>
      </c>
      <c r="J20" s="28">
        <v>5</v>
      </c>
      <c r="K20" s="28">
        <v>0</v>
      </c>
      <c r="L20" s="28">
        <v>8</v>
      </c>
      <c r="M20" s="37"/>
      <c r="N20" s="37"/>
      <c r="O20" s="34">
        <f>SUM(D20:L20)</f>
      </c>
      <c r="P20" s="14"/>
      <c r="Q20" s="2"/>
      <c r="R20" s="2"/>
      <c r="S20" s="39">
        <f>SUM(D20:F20,H20,I20,J20,L20/5)</f>
      </c>
      <c r="T20" s="39">
        <f>SUM(G20,K20,L20*4/5)</f>
      </c>
      <c r="U20" s="38">
        <f>SUM(S20:T20)</f>
      </c>
    </row>
    <row x14ac:dyDescent="0.25" r="21" customHeight="1" ht="18.75" hidden="1">
      <c r="A21" s="36">
        <f>Marksheet!A20</f>
      </c>
      <c r="B21" s="28">
        <f>Marksheet!B20</f>
      </c>
      <c r="C21" s="28">
        <v>77</v>
      </c>
      <c r="D21" s="28">
        <v>2</v>
      </c>
      <c r="E21" s="28">
        <v>4</v>
      </c>
      <c r="F21" s="28">
        <v>3</v>
      </c>
      <c r="G21" s="28"/>
      <c r="H21" s="28"/>
      <c r="I21" s="28">
        <v>3</v>
      </c>
      <c r="J21" s="28">
        <v>12</v>
      </c>
      <c r="K21" s="28"/>
      <c r="L21" s="28">
        <v>5</v>
      </c>
      <c r="M21" s="37"/>
      <c r="N21" s="37"/>
      <c r="O21" s="34">
        <f>SUM(D21:L21)</f>
      </c>
      <c r="P21" s="40"/>
      <c r="Q21" s="2"/>
      <c r="R21" s="2"/>
      <c r="S21" s="38">
        <f>SUM(D21:F21,H21,I21,J21,L21/5)</f>
      </c>
      <c r="T21" s="38">
        <f>SUM(G21,K21,L21*4/5)</f>
      </c>
      <c r="U21" s="38">
        <f>SUM(S21:T21)</f>
      </c>
    </row>
    <row x14ac:dyDescent="0.25" r="22" customHeight="1" ht="18.75" hidden="1">
      <c r="A22" s="36">
        <f>Marksheet!A21</f>
      </c>
      <c r="B22" s="28">
        <f>Marksheet!B21</f>
      </c>
      <c r="C22" s="28">
        <v>77</v>
      </c>
      <c r="D22" s="28">
        <v>1</v>
      </c>
      <c r="E22" s="28">
        <v>0</v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37"/>
      <c r="N22" s="37"/>
      <c r="O22" s="34">
        <f>SUM(D22:L22)</f>
      </c>
      <c r="P22" s="40"/>
      <c r="Q22" s="2"/>
      <c r="R22" s="2"/>
      <c r="S22" s="38">
        <f>SUM(D22:F22,H22,I22,J22,L22/5)</f>
      </c>
      <c r="T22" s="38">
        <f>SUM(G22,K22,L22*4/5)</f>
      </c>
      <c r="U22" s="38">
        <f>SUM(S22:T22)</f>
      </c>
    </row>
    <row x14ac:dyDescent="0.25" r="23" customHeight="1" ht="18.75" hidden="1">
      <c r="A23" s="36">
        <f>Marksheet!A22</f>
      </c>
      <c r="B23" s="28">
        <f>Marksheet!B22</f>
      </c>
      <c r="C23" s="28">
        <v>77</v>
      </c>
      <c r="D23" s="28">
        <v>4</v>
      </c>
      <c r="E23" s="28">
        <v>2</v>
      </c>
      <c r="F23" s="28">
        <v>5</v>
      </c>
      <c r="G23" s="28">
        <v>4</v>
      </c>
      <c r="H23" s="28">
        <v>4</v>
      </c>
      <c r="I23" s="28">
        <v>2</v>
      </c>
      <c r="J23" s="28">
        <v>2</v>
      </c>
      <c r="K23" s="28"/>
      <c r="L23" s="28"/>
      <c r="M23" s="37"/>
      <c r="N23" s="37"/>
      <c r="O23" s="34">
        <f>SUM(D23:L23)</f>
      </c>
      <c r="P23" s="40"/>
      <c r="Q23" s="2"/>
      <c r="R23" s="2"/>
      <c r="S23" s="38">
        <f>SUM(D23:F23,H23,I23,J23,L23/5)</f>
      </c>
      <c r="T23" s="38">
        <f>SUM(G23,K23,L23*4/5)</f>
      </c>
      <c r="U23" s="38">
        <f>SUM(S23:T23)</f>
      </c>
    </row>
    <row x14ac:dyDescent="0.25" r="24" customHeight="1" ht="18.75" hidden="1">
      <c r="A24" s="36">
        <f>Marksheet!A23</f>
      </c>
      <c r="B24" s="28">
        <f>Marksheet!B23</f>
      </c>
      <c r="C24" s="28">
        <v>77</v>
      </c>
      <c r="D24" s="28">
        <v>4</v>
      </c>
      <c r="E24" s="28"/>
      <c r="F24" s="28">
        <v>2</v>
      </c>
      <c r="G24" s="28"/>
      <c r="H24" s="28"/>
      <c r="I24" s="28"/>
      <c r="J24" s="28"/>
      <c r="K24" s="28">
        <v>3</v>
      </c>
      <c r="L24" s="28">
        <v>8</v>
      </c>
      <c r="M24" s="37"/>
      <c r="N24" s="37"/>
      <c r="O24" s="34">
        <f>SUM(D24:L24)</f>
      </c>
      <c r="P24" s="40"/>
      <c r="Q24" s="2"/>
      <c r="R24" s="2"/>
      <c r="S24" s="39">
        <f>SUM(D24:F24,H24,I24,J24,L24/5)</f>
      </c>
      <c r="T24" s="39">
        <f>SUM(G24,K24,L24*4/5)</f>
      </c>
      <c r="U24" s="38">
        <f>SUM(S24:T24)</f>
      </c>
    </row>
    <row x14ac:dyDescent="0.25" r="25" customHeight="1" ht="18.75" hidden="1">
      <c r="A25" s="36">
        <f>Marksheet!A24</f>
      </c>
      <c r="B25" s="28">
        <f>Marksheet!B24</f>
      </c>
      <c r="C25" s="28">
        <v>77</v>
      </c>
      <c r="D25" s="28">
        <v>6</v>
      </c>
      <c r="E25" s="28">
        <v>1</v>
      </c>
      <c r="F25" s="28"/>
      <c r="G25" s="28"/>
      <c r="H25" s="28"/>
      <c r="I25" s="28"/>
      <c r="J25" s="28"/>
      <c r="K25" s="28">
        <v>1</v>
      </c>
      <c r="L25" s="28"/>
      <c r="M25" s="37"/>
      <c r="N25" s="37"/>
      <c r="O25" s="34">
        <f>SUM(D25:L25)</f>
      </c>
      <c r="P25" s="40"/>
      <c r="Q25" s="2"/>
      <c r="R25" s="2"/>
      <c r="S25" s="38">
        <f>SUM(D25:F25,H25,I25,J25,L25/5)</f>
      </c>
      <c r="T25" s="38">
        <f>SUM(G25,K25,L25*4/5)</f>
      </c>
      <c r="U25" s="38">
        <f>SUM(S25:T25)</f>
      </c>
    </row>
    <row x14ac:dyDescent="0.25" r="26" customHeight="1" ht="18.75" hidden="1">
      <c r="A26" s="36">
        <f>Marksheet!A25</f>
      </c>
      <c r="B26" s="28">
        <f>Marksheet!B25</f>
      </c>
      <c r="C26" s="28">
        <v>77</v>
      </c>
      <c r="D26" s="28">
        <v>6</v>
      </c>
      <c r="E26" s="28">
        <v>6</v>
      </c>
      <c r="F26" s="28">
        <v>6</v>
      </c>
      <c r="G26" s="28">
        <v>6</v>
      </c>
      <c r="H26" s="28">
        <v>6</v>
      </c>
      <c r="I26" s="28">
        <v>15</v>
      </c>
      <c r="J26" s="28">
        <v>15</v>
      </c>
      <c r="K26" s="28">
        <v>7</v>
      </c>
      <c r="L26" s="28">
        <v>18</v>
      </c>
      <c r="M26" s="37"/>
      <c r="N26" s="37"/>
      <c r="O26" s="34">
        <f>SUM(D26:L26)</f>
      </c>
      <c r="P26" s="40"/>
      <c r="Q26" s="2"/>
      <c r="R26" s="2"/>
      <c r="S26" s="39">
        <f>SUM(D26:F26,H26,I26,J26,L26/5)</f>
      </c>
      <c r="T26" s="39">
        <f>SUM(G26,K26,L26*4/5)</f>
      </c>
      <c r="U26" s="38">
        <f>SUM(S26:T26)</f>
      </c>
    </row>
    <row x14ac:dyDescent="0.25" r="27" customHeight="1" ht="18.75" hidden="1">
      <c r="A27" s="36">
        <f>Marksheet!A26</f>
      </c>
      <c r="B27" s="28">
        <f>Marksheet!B26</f>
      </c>
      <c r="C27" s="28">
        <v>77</v>
      </c>
      <c r="D27" s="28">
        <v>2</v>
      </c>
      <c r="E27" s="28">
        <v>4</v>
      </c>
      <c r="F27" s="28">
        <v>6</v>
      </c>
      <c r="G27" s="28"/>
      <c r="H27" s="28"/>
      <c r="I27" s="28">
        <v>15</v>
      </c>
      <c r="J27" s="28">
        <v>14</v>
      </c>
      <c r="K27" s="28">
        <v>2</v>
      </c>
      <c r="L27" s="28"/>
      <c r="M27" s="37"/>
      <c r="N27" s="37"/>
      <c r="O27" s="34">
        <f>SUM(D27:L27)</f>
      </c>
      <c r="P27" s="40"/>
      <c r="Q27" s="2"/>
      <c r="R27" s="2"/>
      <c r="S27" s="38">
        <f>SUM(D27:F27,H27,I27,J27,L27/5)</f>
      </c>
      <c r="T27" s="38">
        <f>SUM(G27,K27,L27*4/5)</f>
      </c>
      <c r="U27" s="38">
        <f>SUM(S27:T27)</f>
      </c>
    </row>
    <row x14ac:dyDescent="0.25" r="28" customHeight="1" ht="18.75" hidden="1">
      <c r="A28" s="36">
        <f>Marksheet!A27</f>
      </c>
      <c r="B28" s="28">
        <f>Marksheet!B27</f>
      </c>
      <c r="C28" s="28">
        <v>77</v>
      </c>
      <c r="D28" s="28">
        <v>4</v>
      </c>
      <c r="E28" s="28"/>
      <c r="F28" s="28"/>
      <c r="G28" s="28"/>
      <c r="H28" s="28"/>
      <c r="I28" s="28">
        <v>5</v>
      </c>
      <c r="J28" s="28">
        <v>11</v>
      </c>
      <c r="K28" s="28"/>
      <c r="L28" s="28">
        <v>9</v>
      </c>
      <c r="M28" s="37"/>
      <c r="N28" s="37"/>
      <c r="O28" s="34">
        <f>SUM(D28:L28)</f>
      </c>
      <c r="P28" s="40"/>
      <c r="Q28" s="2"/>
      <c r="R28" s="2"/>
      <c r="S28" s="39">
        <f>SUM(D28:F28,H28,I28,J28,L28/5)</f>
      </c>
      <c r="T28" s="39">
        <f>SUM(G28,K28,L28*4/5)</f>
      </c>
      <c r="U28" s="38">
        <f>SUM(S28:T28)</f>
      </c>
    </row>
    <row x14ac:dyDescent="0.25" r="29" customHeight="1" ht="18.75" hidden="1">
      <c r="A29" s="36">
        <f>Marksheet!A28</f>
      </c>
      <c r="B29" s="28">
        <f>Marksheet!B28</f>
      </c>
      <c r="C29" s="28">
        <v>77</v>
      </c>
      <c r="D29" s="28">
        <v>6</v>
      </c>
      <c r="E29" s="28">
        <v>5</v>
      </c>
      <c r="F29" s="28">
        <v>3</v>
      </c>
      <c r="G29" s="28"/>
      <c r="H29" s="28"/>
      <c r="I29" s="28">
        <v>7</v>
      </c>
      <c r="J29" s="28"/>
      <c r="K29" s="28"/>
      <c r="L29" s="28"/>
      <c r="M29" s="37"/>
      <c r="N29" s="37"/>
      <c r="O29" s="34">
        <f>SUM(D29:L29)</f>
      </c>
      <c r="P29" s="40"/>
      <c r="Q29" s="2"/>
      <c r="R29" s="2"/>
      <c r="S29" s="38">
        <f>SUM(D29:F29,H29,I29,J29,L29/5)</f>
      </c>
      <c r="T29" s="38">
        <f>SUM(G29,K29,L29*4/5)</f>
      </c>
      <c r="U29" s="38">
        <f>SUM(S29:T29)</f>
      </c>
    </row>
    <row x14ac:dyDescent="0.25" r="30" customHeight="1" ht="18.75" hidden="1">
      <c r="A30" s="36">
        <f>Marksheet!A29</f>
      </c>
      <c r="B30" s="28">
        <f>Marksheet!B29</f>
      </c>
      <c r="C30" s="28">
        <v>77</v>
      </c>
      <c r="D30" s="28">
        <v>2</v>
      </c>
      <c r="E30" s="28"/>
      <c r="F30" s="28">
        <v>1</v>
      </c>
      <c r="G30" s="28"/>
      <c r="H30" s="28"/>
      <c r="I30" s="28"/>
      <c r="J30" s="28"/>
      <c r="K30" s="28"/>
      <c r="L30" s="28"/>
      <c r="M30" s="37"/>
      <c r="N30" s="37"/>
      <c r="O30" s="34">
        <f>SUM(D30:L30)</f>
      </c>
      <c r="P30" s="40"/>
      <c r="Q30" s="2"/>
      <c r="R30" s="2"/>
      <c r="S30" s="38">
        <f>SUM(D30:F30,H30,I30,J30,L30/5)</f>
      </c>
      <c r="T30" s="38">
        <f>SUM(G30,K30,L30*4/5)</f>
      </c>
      <c r="U30" s="38">
        <f>SUM(S30:T30)</f>
      </c>
    </row>
    <row x14ac:dyDescent="0.25" r="31" customHeight="1" ht="18.75" hidden="1">
      <c r="A31" s="36">
        <f>Marksheet!A30</f>
      </c>
      <c r="B31" s="28">
        <f>Marksheet!B30</f>
      </c>
      <c r="C31" s="28">
        <v>77</v>
      </c>
      <c r="D31" s="28">
        <v>6</v>
      </c>
      <c r="E31" s="28">
        <v>3</v>
      </c>
      <c r="F31" s="28">
        <v>3</v>
      </c>
      <c r="G31" s="28">
        <v>2</v>
      </c>
      <c r="H31" s="28"/>
      <c r="I31" s="28">
        <v>5</v>
      </c>
      <c r="J31" s="28">
        <v>4</v>
      </c>
      <c r="K31" s="28"/>
      <c r="L31" s="28"/>
      <c r="M31" s="37"/>
      <c r="N31" s="37"/>
      <c r="O31" s="34">
        <f>SUM(D31:L31)</f>
      </c>
      <c r="P31" s="40"/>
      <c r="Q31" s="2"/>
      <c r="R31" s="2"/>
      <c r="S31" s="38">
        <f>SUM(D31:F31,H31,I31,J31,L31/5)</f>
      </c>
      <c r="T31" s="38">
        <f>SUM(G31,K31,L31*4/5)</f>
      </c>
      <c r="U31" s="38">
        <f>SUM(S31:T31)</f>
      </c>
    </row>
    <row x14ac:dyDescent="0.25" r="32" customHeight="1" ht="18.75" hidden="1">
      <c r="A32" s="36">
        <f>Marksheet!A31</f>
      </c>
      <c r="B32" s="28">
        <f>Marksheet!B31</f>
      </c>
      <c r="C32" s="28">
        <v>77</v>
      </c>
      <c r="D32" s="28">
        <v>6</v>
      </c>
      <c r="E32" s="28">
        <v>6</v>
      </c>
      <c r="F32" s="28">
        <v>6</v>
      </c>
      <c r="G32" s="28">
        <v>4</v>
      </c>
      <c r="H32" s="28">
        <v>5</v>
      </c>
      <c r="I32" s="28">
        <v>15</v>
      </c>
      <c r="J32" s="28">
        <v>8</v>
      </c>
      <c r="K32" s="28">
        <v>5</v>
      </c>
      <c r="L32" s="28">
        <v>24</v>
      </c>
      <c r="M32" s="37"/>
      <c r="N32" s="37"/>
      <c r="O32" s="34">
        <f>SUM(D32:L32)</f>
      </c>
      <c r="P32" s="40"/>
      <c r="Q32" s="2"/>
      <c r="R32" s="2"/>
      <c r="S32" s="39">
        <f>SUM(D32:F32,H32,I32,J32,L32/5)</f>
      </c>
      <c r="T32" s="39">
        <f>SUM(G32,K32,L32*4/5)</f>
      </c>
      <c r="U32" s="38">
        <f>SUM(S32:T32)</f>
      </c>
    </row>
    <row x14ac:dyDescent="0.25" r="33" customHeight="1" ht="18.75" hidden="1">
      <c r="A33" s="36">
        <f>Marksheet!A32</f>
      </c>
      <c r="B33" s="28">
        <f>Marksheet!B32</f>
      </c>
      <c r="C33" s="28">
        <v>77</v>
      </c>
      <c r="D33" s="28">
        <v>6</v>
      </c>
      <c r="E33" s="28">
        <v>5</v>
      </c>
      <c r="F33" s="28">
        <v>5</v>
      </c>
      <c r="G33" s="28"/>
      <c r="H33" s="28">
        <v>2</v>
      </c>
      <c r="I33" s="28">
        <v>8</v>
      </c>
      <c r="J33" s="28"/>
      <c r="K33" s="28"/>
      <c r="L33" s="28"/>
      <c r="M33" s="37"/>
      <c r="N33" s="37"/>
      <c r="O33" s="34">
        <f>SUM(D33:L33)</f>
      </c>
      <c r="P33" s="40"/>
      <c r="Q33" s="2"/>
      <c r="R33" s="2"/>
      <c r="S33" s="38">
        <f>SUM(D33:F33,H33,I33,J33,L33/5)</f>
      </c>
      <c r="T33" s="38">
        <f>SUM(G33,K33,L33*4/5)</f>
      </c>
      <c r="U33" s="38">
        <f>SUM(S33:T33)</f>
      </c>
    </row>
    <row x14ac:dyDescent="0.25" r="34" customHeight="1" ht="18.75" hidden="1">
      <c r="A34" s="36">
        <f>Marksheet!A33</f>
      </c>
      <c r="B34" s="28">
        <f>Marksheet!B33</f>
      </c>
      <c r="C34" s="28">
        <v>77</v>
      </c>
      <c r="D34" s="28">
        <v>6</v>
      </c>
      <c r="E34" s="28">
        <v>6</v>
      </c>
      <c r="F34" s="28">
        <v>3</v>
      </c>
      <c r="G34" s="28">
        <v>1</v>
      </c>
      <c r="H34" s="28">
        <v>2</v>
      </c>
      <c r="I34" s="28">
        <v>12</v>
      </c>
      <c r="J34" s="28">
        <v>15</v>
      </c>
      <c r="K34" s="28">
        <v>15</v>
      </c>
      <c r="L34" s="28">
        <v>5</v>
      </c>
      <c r="M34" s="37"/>
      <c r="N34" s="37"/>
      <c r="O34" s="34">
        <f>SUM(D34:L34)</f>
      </c>
      <c r="P34" s="40"/>
      <c r="Q34" s="2"/>
      <c r="R34" s="2"/>
      <c r="S34" s="38">
        <f>SUM(D34:F34,H34,I34,J34,L34/5)</f>
      </c>
      <c r="T34" s="38">
        <f>SUM(G34,K34,L34*4/5)</f>
      </c>
      <c r="U34" s="38">
        <f>SUM(S34:T34)</f>
      </c>
    </row>
    <row x14ac:dyDescent="0.25" r="35" customHeight="1" ht="18.75">
      <c r="A35" s="36">
        <f>Marksheet!A34</f>
      </c>
      <c r="B35" s="28">
        <f>Marksheet!B34</f>
      </c>
      <c r="C35" s="28">
        <v>78</v>
      </c>
      <c r="D35" s="28">
        <v>3</v>
      </c>
      <c r="E35" s="28">
        <v>6</v>
      </c>
      <c r="F35" s="28">
        <v>5</v>
      </c>
      <c r="G35" s="28">
        <v>0</v>
      </c>
      <c r="H35" s="28">
        <v>4</v>
      </c>
      <c r="I35" s="28">
        <v>5</v>
      </c>
      <c r="J35" s="28">
        <v>13</v>
      </c>
      <c r="K35" s="28">
        <v>0</v>
      </c>
      <c r="L35" s="28">
        <v>2</v>
      </c>
      <c r="M35" s="37"/>
      <c r="N35" s="37"/>
      <c r="O35" s="34">
        <f>SUM(D35:L35)</f>
      </c>
      <c r="P35" s="40"/>
      <c r="Q35" s="2"/>
      <c r="R35" s="2"/>
      <c r="S35" s="39">
        <f>SUM(D35:F35,H35,I35,J35,L35/5)</f>
      </c>
      <c r="T35" s="39">
        <f>SUM(G35,K35,L35*4/5)</f>
      </c>
      <c r="U35" s="38">
        <f>SUM(S35:T35)</f>
      </c>
    </row>
    <row x14ac:dyDescent="0.25" r="36" customHeight="1" ht="18.75">
      <c r="A36" s="36">
        <f>Marksheet!A35</f>
      </c>
      <c r="B36" s="28">
        <f>Marksheet!B35</f>
      </c>
      <c r="C36" s="28">
        <v>78</v>
      </c>
      <c r="D36" s="28">
        <v>0</v>
      </c>
      <c r="E36" s="28">
        <v>0</v>
      </c>
      <c r="F36" s="28">
        <v>0</v>
      </c>
      <c r="G36" s="28">
        <v>0</v>
      </c>
      <c r="H36" s="28">
        <v>0</v>
      </c>
      <c r="I36" s="28">
        <v>0</v>
      </c>
      <c r="J36" s="28">
        <v>0</v>
      </c>
      <c r="K36" s="28">
        <v>0</v>
      </c>
      <c r="L36" s="28">
        <v>0</v>
      </c>
      <c r="M36" s="37"/>
      <c r="N36" s="37"/>
      <c r="O36" s="34">
        <f>SUM(D36:L36)</f>
      </c>
      <c r="P36" s="40"/>
      <c r="Q36" s="2"/>
      <c r="R36" s="2"/>
      <c r="S36" s="38">
        <f>SUM(D36:F36,H36,I36,J36,L36/5)</f>
      </c>
      <c r="T36" s="38">
        <f>SUM(G36,K36,L36*4/5)</f>
      </c>
      <c r="U36" s="38">
        <f>SUM(S36:T36)</f>
      </c>
    </row>
    <row x14ac:dyDescent="0.25" r="37" customHeight="1" ht="18.75">
      <c r="A37" s="36">
        <f>Marksheet!A36</f>
      </c>
      <c r="B37" s="28">
        <f>Marksheet!B36</f>
      </c>
      <c r="C37" s="28">
        <v>78</v>
      </c>
      <c r="D37" s="28">
        <v>6</v>
      </c>
      <c r="E37" s="28">
        <v>4</v>
      </c>
      <c r="F37" s="28">
        <v>5</v>
      </c>
      <c r="G37" s="28">
        <v>0</v>
      </c>
      <c r="H37" s="28">
        <v>0</v>
      </c>
      <c r="I37" s="28">
        <v>13</v>
      </c>
      <c r="J37" s="28">
        <v>3</v>
      </c>
      <c r="K37" s="28">
        <v>0</v>
      </c>
      <c r="L37" s="28">
        <v>0</v>
      </c>
      <c r="M37" s="37"/>
      <c r="N37" s="37"/>
      <c r="O37" s="34">
        <f>SUM(D37:L37)</f>
      </c>
      <c r="P37" s="40"/>
      <c r="Q37" s="2"/>
      <c r="R37" s="2"/>
      <c r="S37" s="38">
        <f>SUM(D37:F37,H37,I37,J37,L37/5)</f>
      </c>
      <c r="T37" s="38">
        <f>SUM(G37,K37,L37*4/5)</f>
      </c>
      <c r="U37" s="38">
        <f>SUM(S37:T37)</f>
      </c>
    </row>
    <row x14ac:dyDescent="0.25" r="38" customHeight="1" ht="18.75">
      <c r="A38" s="36">
        <f>Marksheet!A37</f>
      </c>
      <c r="B38" s="28">
        <f>Marksheet!B37</f>
      </c>
      <c r="C38" s="28">
        <v>78</v>
      </c>
      <c r="D38" s="28">
        <v>4</v>
      </c>
      <c r="E38" s="28">
        <v>6</v>
      </c>
      <c r="F38" s="28">
        <v>5</v>
      </c>
      <c r="G38" s="28">
        <v>2</v>
      </c>
      <c r="H38" s="28">
        <v>5</v>
      </c>
      <c r="I38" s="28">
        <v>15</v>
      </c>
      <c r="J38" s="28">
        <v>12</v>
      </c>
      <c r="K38" s="28">
        <v>2</v>
      </c>
      <c r="L38" s="28">
        <v>5</v>
      </c>
      <c r="M38" s="37"/>
      <c r="N38" s="37"/>
      <c r="O38" s="34">
        <f>SUM(D38:L38)</f>
      </c>
      <c r="P38" s="40"/>
      <c r="Q38" s="2"/>
      <c r="R38" s="2"/>
      <c r="S38" s="38">
        <f>SUM(D38:F38,H38,I38,J38,L38/5)</f>
      </c>
      <c r="T38" s="38">
        <f>SUM(G38,K38,L38*4/5)</f>
      </c>
      <c r="U38" s="38">
        <f>SUM(S38:T38)</f>
      </c>
    </row>
    <row x14ac:dyDescent="0.25" r="39" customHeight="1" ht="18.75">
      <c r="A39" s="36">
        <f>Marksheet!A38</f>
      </c>
      <c r="B39" s="28">
        <f>Marksheet!B38</f>
      </c>
      <c r="C39" s="28">
        <v>78</v>
      </c>
      <c r="D39" s="28">
        <v>2</v>
      </c>
      <c r="E39" s="28">
        <v>0</v>
      </c>
      <c r="F39" s="28">
        <v>0</v>
      </c>
      <c r="G39" s="28">
        <v>0</v>
      </c>
      <c r="H39" s="28">
        <v>0</v>
      </c>
      <c r="I39" s="28">
        <v>0</v>
      </c>
      <c r="J39" s="28">
        <v>0</v>
      </c>
      <c r="K39" s="28">
        <v>0</v>
      </c>
      <c r="L39" s="28">
        <v>0</v>
      </c>
      <c r="M39" s="37"/>
      <c r="N39" s="37"/>
      <c r="O39" s="34">
        <f>SUM(D39:L39)</f>
      </c>
      <c r="P39" s="40"/>
      <c r="Q39" s="2"/>
      <c r="R39" s="2"/>
      <c r="S39" s="38">
        <f>SUM(D39:F39,H39,I39,J39,L39/5)</f>
      </c>
      <c r="T39" s="38">
        <f>SUM(G39,K39,L39*4/5)</f>
      </c>
      <c r="U39" s="38">
        <f>SUM(S39:T39)</f>
      </c>
    </row>
    <row x14ac:dyDescent="0.25" r="40" customHeight="1" ht="18.75">
      <c r="A40" s="36">
        <f>Marksheet!A39</f>
      </c>
      <c r="B40" s="28">
        <f>Marksheet!B39</f>
      </c>
      <c r="C40" s="28">
        <v>78</v>
      </c>
      <c r="D40" s="28">
        <v>6</v>
      </c>
      <c r="E40" s="28">
        <v>6</v>
      </c>
      <c r="F40" s="28">
        <v>5</v>
      </c>
      <c r="G40" s="28">
        <v>6</v>
      </c>
      <c r="H40" s="28">
        <v>6</v>
      </c>
      <c r="I40" s="28">
        <v>13</v>
      </c>
      <c r="J40" s="28">
        <v>5</v>
      </c>
      <c r="K40" s="28">
        <v>5</v>
      </c>
      <c r="L40" s="28">
        <v>2</v>
      </c>
      <c r="M40" s="37"/>
      <c r="N40" s="37"/>
      <c r="O40" s="34">
        <f>SUM(D40:L40)</f>
      </c>
      <c r="P40" s="40"/>
      <c r="Q40" s="2"/>
      <c r="R40" s="2"/>
      <c r="S40" s="39">
        <f>SUM(D40:F40,H40,I40,J40,L40/5)</f>
      </c>
      <c r="T40" s="39">
        <f>SUM(G40,K40,L40*4/5)</f>
      </c>
      <c r="U40" s="38">
        <f>SUM(S40:T40)</f>
      </c>
    </row>
    <row x14ac:dyDescent="0.25" r="41" customHeight="1" ht="18.75">
      <c r="A41" s="36">
        <f>Marksheet!A40</f>
      </c>
      <c r="B41" s="28">
        <f>Marksheet!B40</f>
      </c>
      <c r="C41" s="28">
        <v>78</v>
      </c>
      <c r="D41" s="28">
        <v>4</v>
      </c>
      <c r="E41" s="28">
        <v>0</v>
      </c>
      <c r="F41" s="28">
        <v>0</v>
      </c>
      <c r="G41" s="28">
        <v>0</v>
      </c>
      <c r="H41" s="28">
        <v>0</v>
      </c>
      <c r="I41" s="28">
        <v>0</v>
      </c>
      <c r="J41" s="28">
        <v>0</v>
      </c>
      <c r="K41" s="28">
        <v>0</v>
      </c>
      <c r="L41" s="28">
        <v>0</v>
      </c>
      <c r="M41" s="37"/>
      <c r="N41" s="37"/>
      <c r="O41" s="34">
        <f>SUM(D41:L41)</f>
      </c>
      <c r="P41" s="40"/>
      <c r="Q41" s="2"/>
      <c r="R41" s="2"/>
      <c r="S41" s="38">
        <f>SUM(D41:F41,H41,I41,J41,L41/5)</f>
      </c>
      <c r="T41" s="38">
        <f>SUM(G41,K41,L41*4/5)</f>
      </c>
      <c r="U41" s="38">
        <f>SUM(S41:T41)</f>
      </c>
    </row>
    <row x14ac:dyDescent="0.25" r="42" customHeight="1" ht="18.75">
      <c r="A42" s="36">
        <f>Marksheet!A41</f>
      </c>
      <c r="B42" s="28">
        <f>Marksheet!B41</f>
      </c>
      <c r="C42" s="28">
        <v>78</v>
      </c>
      <c r="D42" s="28">
        <v>4</v>
      </c>
      <c r="E42" s="28">
        <v>4</v>
      </c>
      <c r="F42" s="28">
        <v>4</v>
      </c>
      <c r="G42" s="28">
        <v>1</v>
      </c>
      <c r="H42" s="28">
        <v>2</v>
      </c>
      <c r="I42" s="28">
        <v>12</v>
      </c>
      <c r="J42" s="28">
        <v>3</v>
      </c>
      <c r="K42" s="28">
        <v>0</v>
      </c>
      <c r="L42" s="28">
        <v>0</v>
      </c>
      <c r="M42" s="37"/>
      <c r="N42" s="37"/>
      <c r="O42" s="34">
        <f>SUM(D42:L42)</f>
      </c>
      <c r="P42" s="40"/>
      <c r="Q42" s="2"/>
      <c r="R42" s="2"/>
      <c r="S42" s="38">
        <f>SUM(D42:F42,H42,I42,J42,L42/5)</f>
      </c>
      <c r="T42" s="38">
        <f>SUM(G42,K42,L42*4/5)</f>
      </c>
      <c r="U42" s="38">
        <f>SUM(S42:T42)</f>
      </c>
    </row>
    <row x14ac:dyDescent="0.25" r="43" customHeight="1" ht="18.75">
      <c r="A43" s="36">
        <f>Marksheet!A42</f>
      </c>
      <c r="B43" s="28">
        <f>Marksheet!B42</f>
      </c>
      <c r="C43" s="28">
        <v>78</v>
      </c>
      <c r="D43" s="28">
        <v>6</v>
      </c>
      <c r="E43" s="28">
        <v>4</v>
      </c>
      <c r="F43" s="28">
        <v>0</v>
      </c>
      <c r="G43" s="28">
        <v>0</v>
      </c>
      <c r="H43" s="28">
        <v>0</v>
      </c>
      <c r="I43" s="28">
        <v>2</v>
      </c>
      <c r="J43" s="28">
        <v>0</v>
      </c>
      <c r="K43" s="28">
        <v>0</v>
      </c>
      <c r="L43" s="28">
        <v>0</v>
      </c>
      <c r="M43" s="37"/>
      <c r="N43" s="37"/>
      <c r="O43" s="34">
        <f>SUM(D43:L43)</f>
      </c>
      <c r="P43" s="40"/>
      <c r="Q43" s="2"/>
      <c r="R43" s="2"/>
      <c r="S43" s="38">
        <f>SUM(D43:F43,H43,I43,J43,L43/5)</f>
      </c>
      <c r="T43" s="38">
        <f>SUM(G43,K43,L43*4/5)</f>
      </c>
      <c r="U43" s="38">
        <f>SUM(S43:T43)</f>
      </c>
    </row>
    <row x14ac:dyDescent="0.25" r="44" customHeight="1" ht="18.75">
      <c r="A44" s="36">
        <f>Marksheet!A43</f>
      </c>
      <c r="B44" s="28">
        <f>Marksheet!B43</f>
      </c>
      <c r="C44" s="28">
        <v>78</v>
      </c>
      <c r="D44" s="28">
        <v>0</v>
      </c>
      <c r="E44" s="28">
        <v>0</v>
      </c>
      <c r="F44" s="28">
        <v>0</v>
      </c>
      <c r="G44" s="28">
        <v>0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37"/>
      <c r="N44" s="37"/>
      <c r="O44" s="34">
        <f>SUM(D44:L44)</f>
      </c>
      <c r="P44" s="40"/>
      <c r="Q44" s="2"/>
      <c r="R44" s="2"/>
      <c r="S44" s="38">
        <f>SUM(D44:F44,H44,I44,J44,L44/5)</f>
      </c>
      <c r="T44" s="38">
        <f>SUM(G44,K44,L44*4/5)</f>
      </c>
      <c r="U44" s="38">
        <f>SUM(S44:T44)</f>
      </c>
    </row>
    <row x14ac:dyDescent="0.25" r="45" customHeight="1" ht="18.75">
      <c r="A45" s="36">
        <f>Marksheet!A44</f>
      </c>
      <c r="B45" s="28">
        <f>Marksheet!B44</f>
      </c>
      <c r="C45" s="28">
        <v>78</v>
      </c>
      <c r="D45" s="28">
        <v>4</v>
      </c>
      <c r="E45" s="28">
        <v>3</v>
      </c>
      <c r="F45" s="28">
        <v>1</v>
      </c>
      <c r="G45" s="28">
        <v>0</v>
      </c>
      <c r="H45" s="28">
        <v>1</v>
      </c>
      <c r="I45" s="28">
        <v>2</v>
      </c>
      <c r="J45" s="28">
        <v>0</v>
      </c>
      <c r="K45" s="28">
        <v>0</v>
      </c>
      <c r="L45" s="28">
        <v>0</v>
      </c>
      <c r="M45" s="37"/>
      <c r="N45" s="37"/>
      <c r="O45" s="34">
        <f>SUM(D45:L45)</f>
      </c>
      <c r="P45" s="40"/>
      <c r="Q45" s="2"/>
      <c r="R45" s="2"/>
      <c r="S45" s="38">
        <f>SUM(D45:F45,H45,I45,J45,L45/5)</f>
      </c>
      <c r="T45" s="38">
        <f>SUM(G45,K45,L45*4/5)</f>
      </c>
      <c r="U45" s="38">
        <f>SUM(S45:T45)</f>
      </c>
    </row>
    <row x14ac:dyDescent="0.25" r="46" customHeight="1" ht="18.75">
      <c r="A46" s="36">
        <f>Marksheet!A45</f>
      </c>
      <c r="B46" s="28">
        <f>Marksheet!B45</f>
      </c>
      <c r="C46" s="28">
        <v>78</v>
      </c>
      <c r="D46" s="28">
        <v>0</v>
      </c>
      <c r="E46" s="28">
        <v>0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37"/>
      <c r="N46" s="37"/>
      <c r="O46" s="34">
        <f>SUM(D46:L46)</f>
      </c>
      <c r="P46" s="40"/>
      <c r="Q46" s="2"/>
      <c r="R46" s="2"/>
      <c r="S46" s="38">
        <f>SUM(D46:F46,H46,I46,J46,L46/5)</f>
      </c>
      <c r="T46" s="38">
        <f>SUM(G46,K46,L46*4/5)</f>
      </c>
      <c r="U46" s="38">
        <f>SUM(S46:T46)</f>
      </c>
    </row>
    <row x14ac:dyDescent="0.25" r="47" customHeight="1" ht="18.75">
      <c r="A47" s="36">
        <f>Marksheet!A46</f>
      </c>
      <c r="B47" s="28">
        <f>Marksheet!B46</f>
      </c>
      <c r="C47" s="28">
        <v>78</v>
      </c>
      <c r="D47" s="28">
        <v>4</v>
      </c>
      <c r="E47" s="28">
        <v>2</v>
      </c>
      <c r="F47" s="28">
        <v>0</v>
      </c>
      <c r="G47" s="28">
        <v>2</v>
      </c>
      <c r="H47" s="28">
        <v>1</v>
      </c>
      <c r="I47" s="28">
        <v>0</v>
      </c>
      <c r="J47" s="28">
        <v>1</v>
      </c>
      <c r="K47" s="28">
        <v>0</v>
      </c>
      <c r="L47" s="28">
        <v>0</v>
      </c>
      <c r="M47" s="37"/>
      <c r="N47" s="37"/>
      <c r="O47" s="34">
        <f>SUM(D47:L47)</f>
      </c>
      <c r="P47" s="40"/>
      <c r="Q47" s="2"/>
      <c r="R47" s="2"/>
      <c r="S47" s="38">
        <f>SUM(D47:F47,H47,I47,J47,L47/5)</f>
      </c>
      <c r="T47" s="38">
        <f>SUM(G47,K47,L47*4/5)</f>
      </c>
      <c r="U47" s="38">
        <f>SUM(S47:T47)</f>
      </c>
    </row>
    <row x14ac:dyDescent="0.25" r="48" customHeight="1" ht="18.75">
      <c r="A48" s="36">
        <f>Marksheet!A47</f>
      </c>
      <c r="B48" s="28">
        <f>Marksheet!B47</f>
      </c>
      <c r="C48" s="28">
        <v>78</v>
      </c>
      <c r="D48" s="28">
        <v>0</v>
      </c>
      <c r="E48" s="28">
        <v>4</v>
      </c>
      <c r="F48" s="28">
        <v>0</v>
      </c>
      <c r="G48" s="28">
        <v>0</v>
      </c>
      <c r="H48" s="28">
        <v>0</v>
      </c>
      <c r="I48" s="28">
        <v>0</v>
      </c>
      <c r="J48" s="28">
        <v>0</v>
      </c>
      <c r="K48" s="28">
        <v>0</v>
      </c>
      <c r="L48" s="28">
        <v>0</v>
      </c>
      <c r="M48" s="37"/>
      <c r="N48" s="37"/>
      <c r="O48" s="34">
        <f>SUM(D48:L48)</f>
      </c>
      <c r="P48" s="40"/>
      <c r="Q48" s="2"/>
      <c r="R48" s="2"/>
      <c r="S48" s="38">
        <f>SUM(D48:F48,H48,I48,J48,L48/5)</f>
      </c>
      <c r="T48" s="38">
        <f>SUM(G48,K48,L48*4/5)</f>
      </c>
      <c r="U48" s="38">
        <f>SUM(S48:T48)</f>
      </c>
    </row>
    <row x14ac:dyDescent="0.25" r="49" customHeight="1" ht="18.75">
      <c r="A49" s="36">
        <f>Marksheet!A48</f>
      </c>
      <c r="B49" s="28">
        <f>Marksheet!B48</f>
      </c>
      <c r="C49" s="28">
        <v>78</v>
      </c>
      <c r="D49" s="28">
        <v>0</v>
      </c>
      <c r="E49" s="28">
        <v>0</v>
      </c>
      <c r="F49" s="28">
        <v>0</v>
      </c>
      <c r="G49" s="28">
        <v>0</v>
      </c>
      <c r="H49" s="28">
        <v>0</v>
      </c>
      <c r="I49" s="28">
        <v>0</v>
      </c>
      <c r="J49" s="28">
        <v>0</v>
      </c>
      <c r="K49" s="28">
        <v>0</v>
      </c>
      <c r="L49" s="28">
        <v>0</v>
      </c>
      <c r="M49" s="37"/>
      <c r="N49" s="37"/>
      <c r="O49" s="34">
        <f>SUM(D49:L49)</f>
      </c>
      <c r="P49" s="40"/>
      <c r="Q49" s="2"/>
      <c r="R49" s="2"/>
      <c r="S49" s="38">
        <f>SUM(D49:F49,H49,I49,J49,L49/5)</f>
      </c>
      <c r="T49" s="38">
        <f>SUM(G49,K49,L49*4/5)</f>
      </c>
      <c r="U49" s="38">
        <f>SUM(S49:T49)</f>
      </c>
    </row>
    <row x14ac:dyDescent="0.25" r="50" customHeight="1" ht="18.75">
      <c r="A50" s="36">
        <f>Marksheet!A49</f>
      </c>
      <c r="B50" s="28">
        <f>Marksheet!B49</f>
      </c>
      <c r="C50" s="28">
        <v>78</v>
      </c>
      <c r="D50" s="28">
        <v>0</v>
      </c>
      <c r="E50" s="28">
        <v>0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  <c r="K50" s="28">
        <v>0</v>
      </c>
      <c r="L50" s="28">
        <v>0</v>
      </c>
      <c r="M50" s="37"/>
      <c r="N50" s="37"/>
      <c r="O50" s="34">
        <f>SUM(D50:L50)</f>
      </c>
      <c r="P50" s="40"/>
      <c r="Q50" s="2"/>
      <c r="R50" s="2"/>
      <c r="S50" s="38">
        <f>SUM(D50:F50,H50,I50,J50,L50/5)</f>
      </c>
      <c r="T50" s="38">
        <f>SUM(G50,K50,L50*4/5)</f>
      </c>
      <c r="U50" s="38">
        <f>SUM(S50:T50)</f>
      </c>
    </row>
    <row x14ac:dyDescent="0.25" r="51" customHeight="1" ht="18.75">
      <c r="A51" s="36">
        <f>Marksheet!A50</f>
      </c>
      <c r="B51" s="28">
        <f>Marksheet!B50</f>
      </c>
      <c r="C51" s="28">
        <v>78</v>
      </c>
      <c r="D51" s="28">
        <v>4</v>
      </c>
      <c r="E51" s="28">
        <v>4</v>
      </c>
      <c r="F51" s="28">
        <v>6</v>
      </c>
      <c r="G51" s="28">
        <v>4</v>
      </c>
      <c r="H51" s="28">
        <v>2</v>
      </c>
      <c r="I51" s="28">
        <v>12</v>
      </c>
      <c r="J51" s="28">
        <v>12</v>
      </c>
      <c r="K51" s="28">
        <v>0</v>
      </c>
      <c r="L51" s="28">
        <v>2</v>
      </c>
      <c r="M51" s="37"/>
      <c r="N51" s="37"/>
      <c r="O51" s="34">
        <f>SUM(D51:L51)</f>
      </c>
      <c r="P51" s="40"/>
      <c r="Q51" s="2"/>
      <c r="R51" s="2"/>
      <c r="S51" s="39">
        <f>SUM(D51:F51,H51,I51,J51,L51/5)</f>
      </c>
      <c r="T51" s="39">
        <f>SUM(G51,K51,L51*4/5)</f>
      </c>
      <c r="U51" s="38">
        <f>SUM(S51:T51)</f>
      </c>
    </row>
    <row x14ac:dyDescent="0.25" r="52" customHeight="1" ht="18.75">
      <c r="A52" s="36">
        <f>Marksheet!A51</f>
      </c>
      <c r="B52" s="28">
        <f>Marksheet!B51</f>
      </c>
      <c r="C52" s="28">
        <v>78</v>
      </c>
      <c r="D52" s="28">
        <v>1</v>
      </c>
      <c r="E52" s="28">
        <v>0</v>
      </c>
      <c r="F52" s="28">
        <v>0</v>
      </c>
      <c r="G52" s="28">
        <v>0</v>
      </c>
      <c r="H52" s="28">
        <v>0</v>
      </c>
      <c r="I52" s="28">
        <v>0</v>
      </c>
      <c r="J52" s="28">
        <v>0</v>
      </c>
      <c r="K52" s="28">
        <v>0</v>
      </c>
      <c r="L52" s="28">
        <v>0</v>
      </c>
      <c r="M52" s="37"/>
      <c r="N52" s="37"/>
      <c r="O52" s="34">
        <f>SUM(D52:L52)</f>
      </c>
      <c r="P52" s="40"/>
      <c r="Q52" s="2"/>
      <c r="R52" s="2"/>
      <c r="S52" s="38">
        <f>SUM(D52:F52,H52,I52,J52,L52/5)</f>
      </c>
      <c r="T52" s="38">
        <f>SUM(G52,K52,L52*4/5)</f>
      </c>
      <c r="U52" s="38">
        <f>SUM(S52:T52)</f>
      </c>
    </row>
    <row x14ac:dyDescent="0.25" r="53" customHeight="1" ht="18.75">
      <c r="A53" s="36">
        <f>Marksheet!A52</f>
      </c>
      <c r="B53" s="28">
        <f>Marksheet!B52</f>
      </c>
      <c r="C53" s="28">
        <v>78</v>
      </c>
      <c r="D53" s="28">
        <v>0</v>
      </c>
      <c r="E53" s="28">
        <v>0</v>
      </c>
      <c r="F53" s="28">
        <v>0</v>
      </c>
      <c r="G53" s="28">
        <v>0</v>
      </c>
      <c r="H53" s="28">
        <v>0</v>
      </c>
      <c r="I53" s="28">
        <v>0</v>
      </c>
      <c r="J53" s="28">
        <v>1</v>
      </c>
      <c r="K53" s="28">
        <v>0</v>
      </c>
      <c r="L53" s="28">
        <v>0</v>
      </c>
      <c r="M53" s="37"/>
      <c r="N53" s="37"/>
      <c r="O53" s="34">
        <f>SUM(D53:L53)</f>
      </c>
      <c r="P53" s="40"/>
      <c r="Q53" s="2"/>
      <c r="R53" s="2"/>
      <c r="S53" s="38">
        <f>SUM(D53:F53,H53,I53,J53,L53/5)</f>
      </c>
      <c r="T53" s="38">
        <f>SUM(G53,K53,L53*4/5)</f>
      </c>
      <c r="U53" s="38">
        <f>SUM(S53:T53)</f>
      </c>
    </row>
    <row x14ac:dyDescent="0.25" r="54" customHeight="1" ht="18.75">
      <c r="A54" s="36">
        <f>Marksheet!A53</f>
      </c>
      <c r="B54" s="28">
        <f>Marksheet!B53</f>
      </c>
      <c r="C54" s="28">
        <v>78</v>
      </c>
      <c r="D54" s="28">
        <v>6</v>
      </c>
      <c r="E54" s="28">
        <v>5</v>
      </c>
      <c r="F54" s="28">
        <v>0</v>
      </c>
      <c r="G54" s="28">
        <v>0</v>
      </c>
      <c r="H54" s="28">
        <v>0</v>
      </c>
      <c r="I54" s="28">
        <v>6</v>
      </c>
      <c r="J54" s="28">
        <v>0</v>
      </c>
      <c r="K54" s="28">
        <v>0</v>
      </c>
      <c r="L54" s="28">
        <v>0</v>
      </c>
      <c r="M54" s="37"/>
      <c r="N54" s="37"/>
      <c r="O54" s="34">
        <f>SUM(D54:L54)</f>
      </c>
      <c r="P54" s="40"/>
      <c r="Q54" s="2"/>
      <c r="R54" s="2"/>
      <c r="S54" s="38">
        <f>SUM(D54:F54,H54,I54,J54,L54/5)</f>
      </c>
      <c r="T54" s="38">
        <f>SUM(G54,K54,L54*4/5)</f>
      </c>
      <c r="U54" s="38">
        <f>SUM(S54:T54)</f>
      </c>
    </row>
    <row x14ac:dyDescent="0.25" r="55" customHeight="1" ht="18.75">
      <c r="A55" s="36">
        <f>Marksheet!A54</f>
      </c>
      <c r="B55" s="28">
        <f>Marksheet!B54</f>
      </c>
      <c r="C55" s="28">
        <v>78</v>
      </c>
      <c r="D55" s="28">
        <v>2</v>
      </c>
      <c r="E55" s="28">
        <v>2</v>
      </c>
      <c r="F55" s="28">
        <v>4</v>
      </c>
      <c r="G55" s="28">
        <v>0</v>
      </c>
      <c r="H55" s="28">
        <v>2</v>
      </c>
      <c r="I55" s="28">
        <v>2</v>
      </c>
      <c r="J55" s="28">
        <v>4</v>
      </c>
      <c r="K55" s="28">
        <v>0</v>
      </c>
      <c r="L55" s="28">
        <v>1</v>
      </c>
      <c r="M55" s="37"/>
      <c r="N55" s="37"/>
      <c r="O55" s="34">
        <f>SUM(D55:L55)</f>
      </c>
      <c r="P55" s="40"/>
      <c r="Q55" s="2"/>
      <c r="R55" s="2"/>
      <c r="S55" s="39">
        <f>SUM(D55:F55,H55,I55,J55,L55/5)</f>
      </c>
      <c r="T55" s="39">
        <f>SUM(G55,K55,L55*4/5)</f>
      </c>
      <c r="U55" s="38">
        <f>SUM(S55:T55)</f>
      </c>
    </row>
    <row x14ac:dyDescent="0.25" r="56" customHeight="1" ht="18.75">
      <c r="A56" s="36">
        <f>Marksheet!A55</f>
      </c>
      <c r="B56" s="28">
        <f>Marksheet!B55</f>
      </c>
      <c r="C56" s="28">
        <v>78</v>
      </c>
      <c r="D56" s="28">
        <v>0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37"/>
      <c r="N56" s="37"/>
      <c r="O56" s="34">
        <f>SUM(D56:L56)</f>
      </c>
      <c r="P56" s="40"/>
      <c r="Q56" s="2"/>
      <c r="R56" s="2"/>
      <c r="S56" s="38">
        <f>SUM(D56:F56,H56,I56,J56,L56/5)</f>
      </c>
      <c r="T56" s="38">
        <f>SUM(G56,K56,L56*4/5)</f>
      </c>
      <c r="U56" s="38">
        <f>SUM(S56:T56)</f>
      </c>
    </row>
    <row x14ac:dyDescent="0.25" r="57" customHeight="1" ht="18.75">
      <c r="A57" s="36">
        <f>Marksheet!A56</f>
      </c>
      <c r="B57" s="28">
        <f>Marksheet!B56</f>
      </c>
      <c r="C57" s="28">
        <v>78</v>
      </c>
      <c r="D57" s="28">
        <v>4</v>
      </c>
      <c r="E57" s="28">
        <v>1</v>
      </c>
      <c r="F57" s="28">
        <v>4</v>
      </c>
      <c r="G57" s="28">
        <v>0</v>
      </c>
      <c r="H57" s="28">
        <v>0</v>
      </c>
      <c r="I57" s="28">
        <v>3</v>
      </c>
      <c r="J57" s="28">
        <v>0</v>
      </c>
      <c r="K57" s="28">
        <v>0</v>
      </c>
      <c r="L57" s="28">
        <v>10</v>
      </c>
      <c r="M57" s="37"/>
      <c r="N57" s="37"/>
      <c r="O57" s="34">
        <f>SUM(D57:L57)</f>
      </c>
      <c r="P57" s="40"/>
      <c r="Q57" s="2"/>
      <c r="R57" s="2"/>
      <c r="S57" s="38">
        <f>SUM(D57:F57,H57,I57,J57,L57/5)</f>
      </c>
      <c r="T57" s="38">
        <f>SUM(G57,K57,L57*4/5)</f>
      </c>
      <c r="U57" s="38">
        <f>SUM(S57:T57)</f>
      </c>
    </row>
    <row x14ac:dyDescent="0.25" r="58" customHeight="1" ht="18.75">
      <c r="A58" s="36">
        <f>Marksheet!A57</f>
      </c>
      <c r="B58" s="28">
        <f>Marksheet!B57</f>
      </c>
      <c r="C58" s="28">
        <v>78</v>
      </c>
      <c r="D58" s="28">
        <v>4</v>
      </c>
      <c r="E58" s="28">
        <v>0</v>
      </c>
      <c r="F58" s="28">
        <v>0</v>
      </c>
      <c r="G58" s="28">
        <v>0</v>
      </c>
      <c r="H58" s="28">
        <v>0</v>
      </c>
      <c r="I58" s="28">
        <v>5</v>
      </c>
      <c r="J58" s="28">
        <v>0</v>
      </c>
      <c r="K58" s="28">
        <v>0</v>
      </c>
      <c r="L58" s="28">
        <v>0</v>
      </c>
      <c r="M58" s="37"/>
      <c r="N58" s="37"/>
      <c r="O58" s="34">
        <f>SUM(D58:L58)</f>
      </c>
      <c r="P58" s="40"/>
      <c r="Q58" s="2"/>
      <c r="R58" s="2"/>
      <c r="S58" s="38">
        <f>SUM(D58:F58,H58,I58,J58,L58/5)</f>
      </c>
      <c r="T58" s="38">
        <f>SUM(G58,K58,L58*4/5)</f>
      </c>
      <c r="U58" s="38">
        <f>SUM(S58:T58)</f>
      </c>
    </row>
    <row x14ac:dyDescent="0.25" r="59" customHeight="1" ht="18.75">
      <c r="A59" s="36">
        <f>Marksheet!A58</f>
      </c>
      <c r="B59" s="28">
        <f>Marksheet!B58</f>
      </c>
      <c r="C59" s="28">
        <v>78</v>
      </c>
      <c r="D59" s="28">
        <v>6</v>
      </c>
      <c r="E59" s="28">
        <v>6</v>
      </c>
      <c r="F59" s="28">
        <v>5</v>
      </c>
      <c r="G59" s="28">
        <v>4</v>
      </c>
      <c r="H59" s="28">
        <v>6</v>
      </c>
      <c r="I59" s="28">
        <v>15</v>
      </c>
      <c r="J59" s="28">
        <v>15</v>
      </c>
      <c r="K59" s="28">
        <v>10</v>
      </c>
      <c r="L59" s="28">
        <v>15</v>
      </c>
      <c r="M59" s="37"/>
      <c r="N59" s="37"/>
      <c r="O59" s="34">
        <f>SUM(D59:L59)</f>
      </c>
      <c r="P59" s="40"/>
      <c r="Q59" s="2"/>
      <c r="R59" s="2"/>
      <c r="S59" s="38">
        <f>SUM(D59:F59,H59,I59,J59,L59/5)</f>
      </c>
      <c r="T59" s="38">
        <f>SUM(G59,K59,L59*4/5)</f>
      </c>
      <c r="U59" s="38">
        <f>SUM(S59:T59)</f>
      </c>
    </row>
    <row x14ac:dyDescent="0.25" r="60" customHeight="1" ht="18.75">
      <c r="A60" s="36">
        <f>Marksheet!A59</f>
      </c>
      <c r="B60" s="28">
        <f>Marksheet!B59</f>
      </c>
      <c r="C60" s="28">
        <v>78</v>
      </c>
      <c r="D60" s="28">
        <v>4</v>
      </c>
      <c r="E60" s="28">
        <v>0</v>
      </c>
      <c r="F60" s="28">
        <v>0</v>
      </c>
      <c r="G60" s="28">
        <v>0</v>
      </c>
      <c r="H60" s="28">
        <v>2</v>
      </c>
      <c r="I60" s="28">
        <v>7</v>
      </c>
      <c r="J60" s="28">
        <v>3</v>
      </c>
      <c r="K60" s="28">
        <v>0</v>
      </c>
      <c r="L60" s="28">
        <v>15</v>
      </c>
      <c r="M60" s="37"/>
      <c r="N60" s="37"/>
      <c r="O60" s="34">
        <f>SUM(D60:L60)</f>
      </c>
      <c r="P60" s="40"/>
      <c r="Q60" s="2"/>
      <c r="R60" s="2"/>
      <c r="S60" s="38">
        <f>SUM(D60:F60,H60,I60,J60,L60/5)</f>
      </c>
      <c r="T60" s="38">
        <f>SUM(G60,K60,L60*4/5)</f>
      </c>
      <c r="U60" s="38">
        <f>SUM(S60:T60)</f>
      </c>
    </row>
    <row x14ac:dyDescent="0.25" r="61" customHeight="1" ht="18.75">
      <c r="A61" s="36">
        <f>Marksheet!A60</f>
      </c>
      <c r="B61" s="28">
        <f>Marksheet!B60</f>
      </c>
      <c r="C61" s="28">
        <v>78</v>
      </c>
      <c r="D61" s="28">
        <v>6</v>
      </c>
      <c r="E61" s="41">
        <v>5.5</v>
      </c>
      <c r="F61" s="28">
        <v>6</v>
      </c>
      <c r="G61" s="41">
        <v>5.5</v>
      </c>
      <c r="H61" s="28">
        <v>3</v>
      </c>
      <c r="I61" s="28">
        <v>15</v>
      </c>
      <c r="J61" s="28">
        <v>15</v>
      </c>
      <c r="K61" s="28">
        <v>3</v>
      </c>
      <c r="L61" s="28">
        <v>9</v>
      </c>
      <c r="M61" s="37"/>
      <c r="N61" s="37"/>
      <c r="O61" s="34">
        <f>SUM(D61:L61)</f>
      </c>
      <c r="P61" s="40"/>
      <c r="Q61" s="2"/>
      <c r="R61" s="2"/>
      <c r="S61" s="39">
        <f>SUM(D61:F61,H61,I61,J61,L61/5)</f>
      </c>
      <c r="T61" s="39">
        <f>SUM(G61,K61,L61*4/5)</f>
      </c>
      <c r="U61" s="38">
        <f>SUM(S61:T61)</f>
      </c>
    </row>
    <row x14ac:dyDescent="0.25" r="62" customHeight="1" ht="18.75">
      <c r="A62" s="36">
        <f>Marksheet!A61</f>
      </c>
      <c r="B62" s="28">
        <f>Marksheet!B61</f>
      </c>
      <c r="C62" s="28">
        <v>78</v>
      </c>
      <c r="D62" s="28">
        <v>6</v>
      </c>
      <c r="E62" s="28">
        <v>6</v>
      </c>
      <c r="F62" s="28">
        <v>6</v>
      </c>
      <c r="G62" s="28">
        <v>4</v>
      </c>
      <c r="H62" s="28">
        <v>4</v>
      </c>
      <c r="I62" s="28">
        <v>14</v>
      </c>
      <c r="J62" s="28">
        <v>5</v>
      </c>
      <c r="K62" s="28">
        <v>5</v>
      </c>
      <c r="L62" s="28">
        <v>10</v>
      </c>
      <c r="M62" s="37"/>
      <c r="N62" s="37"/>
      <c r="O62" s="34">
        <f>SUM(D62:L62)</f>
      </c>
      <c r="P62" s="40"/>
      <c r="Q62" s="2"/>
      <c r="R62" s="2"/>
      <c r="S62" s="38">
        <f>SUM(D62:F62,H62,I62,J62,L62/5)</f>
      </c>
      <c r="T62" s="38">
        <f>SUM(G62,K62,L62*4/5)</f>
      </c>
      <c r="U62" s="38">
        <f>SUM(S62:T62)</f>
      </c>
    </row>
    <row x14ac:dyDescent="0.25" r="63" customHeight="1" ht="18.75">
      <c r="A63" s="36">
        <f>Marksheet!A62</f>
      </c>
      <c r="B63" s="28">
        <f>Marksheet!B62</f>
      </c>
      <c r="C63" s="28">
        <v>78</v>
      </c>
      <c r="D63" s="28">
        <v>4</v>
      </c>
      <c r="E63" s="28">
        <v>6</v>
      </c>
      <c r="F63" s="28">
        <v>6</v>
      </c>
      <c r="G63" s="28">
        <v>2</v>
      </c>
      <c r="H63" s="28">
        <v>5</v>
      </c>
      <c r="I63" s="28">
        <v>10</v>
      </c>
      <c r="J63" s="28">
        <v>15</v>
      </c>
      <c r="K63" s="28">
        <v>5</v>
      </c>
      <c r="L63" s="28">
        <v>10</v>
      </c>
      <c r="M63" s="37"/>
      <c r="N63" s="37"/>
      <c r="O63" s="34">
        <f>SUM(D63:L63)</f>
      </c>
      <c r="P63" s="40"/>
      <c r="Q63" s="2"/>
      <c r="R63" s="2"/>
      <c r="S63" s="38">
        <f>SUM(D63:F63,H63,I63,J63,L63/5)</f>
      </c>
      <c r="T63" s="38">
        <f>SUM(G63,K63,L63*4/5)</f>
      </c>
      <c r="U63" s="38">
        <f>SUM(S63:T63)</f>
      </c>
    </row>
    <row x14ac:dyDescent="0.25" r="64" customHeight="1" ht="18.75">
      <c r="A64" s="36">
        <f>Marksheet!A63</f>
      </c>
      <c r="B64" s="28">
        <f>Marksheet!B63</f>
      </c>
      <c r="C64" s="28">
        <v>78</v>
      </c>
      <c r="D64" s="28">
        <v>1</v>
      </c>
      <c r="E64" s="28">
        <v>2</v>
      </c>
      <c r="F64" s="28">
        <v>3</v>
      </c>
      <c r="G64" s="28">
        <v>0</v>
      </c>
      <c r="H64" s="28">
        <v>0</v>
      </c>
      <c r="I64" s="28">
        <v>2</v>
      </c>
      <c r="J64" s="28">
        <v>0</v>
      </c>
      <c r="K64" s="28">
        <v>0</v>
      </c>
      <c r="L64" s="28">
        <v>5</v>
      </c>
      <c r="M64" s="37"/>
      <c r="N64" s="37"/>
      <c r="O64" s="34">
        <f>SUM(D64:L64)</f>
      </c>
      <c r="P64" s="40"/>
      <c r="Q64" s="2"/>
      <c r="R64" s="2"/>
      <c r="S64" s="38">
        <f>SUM(D64:F64,H64,I64,J64,L64/5)</f>
      </c>
      <c r="T64" s="38">
        <f>SUM(G64,K64,L64*4/5)</f>
      </c>
      <c r="U64" s="38">
        <f>SUM(S64:T64)</f>
      </c>
    </row>
    <row x14ac:dyDescent="0.25" r="65" customHeight="1" ht="18.75" hidden="1">
      <c r="A65" s="42"/>
      <c r="B65" s="21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37"/>
      <c r="N65" s="37"/>
      <c r="O65" s="34">
        <f>SUM(D65:L65)</f>
      </c>
      <c r="P65" s="40"/>
      <c r="Q65" s="2"/>
      <c r="R65" s="2"/>
      <c r="S65" s="38">
        <f>SUM(D65:F65,H65,I65,J65,L65/5)</f>
      </c>
      <c r="T65" s="38">
        <f>SUM(G65,K65,L65*4/5)</f>
      </c>
      <c r="U65" s="38">
        <f>SUM(S65:T65)</f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6"/>
  <sheetViews>
    <sheetView workbookViewId="0"/>
  </sheetViews>
  <sheetFormatPr defaultRowHeight="15" x14ac:dyDescent="0.25"/>
  <cols>
    <col min="1" max="1" style="4" width="20.719285714285714" customWidth="1" bestFit="1"/>
    <col min="2" max="2" style="4" width="24.576428571428572" customWidth="1" bestFit="1"/>
    <col min="3" max="3" style="22" width="13.576428571428572" customWidth="1" bestFit="1"/>
    <col min="4" max="4" style="22" width="13.576428571428572" customWidth="1" bestFit="1"/>
    <col min="5" max="5" style="22" width="13.576428571428572" customWidth="1" bestFit="1"/>
    <col min="6" max="6" style="22" width="13.576428571428572" customWidth="1" bestFit="1"/>
    <col min="7" max="7" style="22" width="13.576428571428572" customWidth="1" bestFit="1"/>
    <col min="8" max="8" style="22" width="13.576428571428572" customWidth="1" bestFit="1"/>
    <col min="9" max="9" style="22" width="13.576428571428572" customWidth="1" bestFit="1"/>
    <col min="10" max="10" style="22" width="13.576428571428572" customWidth="1" bestFit="1"/>
    <col min="11" max="11" style="22" width="13.576428571428572" customWidth="1" bestFit="1"/>
    <col min="12" max="12" style="22" width="13.576428571428572" customWidth="1" bestFit="1"/>
    <col min="13" max="13" style="22" width="13.576428571428572" customWidth="1" bestFit="1"/>
    <col min="14" max="14" style="22" width="13.576428571428572" customWidth="1" bestFit="1"/>
    <col min="15" max="15" style="5" width="13.147857142857141" customWidth="1" bestFit="1"/>
  </cols>
  <sheetData>
    <row x14ac:dyDescent="0.25" r="1" customHeight="1" ht="18.75">
      <c r="A1" s="8" t="s">
        <v>152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9"/>
    </row>
    <row x14ac:dyDescent="0.25" r="2" customHeight="1" ht="18.75">
      <c r="A2" s="8">
        <f>Marksheet!A2</f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1"/>
    </row>
    <row x14ac:dyDescent="0.25" r="3" customHeight="1" ht="18.75">
      <c r="A3" s="20"/>
      <c r="B3" s="12"/>
      <c r="C3" s="24" t="s">
        <v>130</v>
      </c>
      <c r="D3" s="24" t="s">
        <v>131</v>
      </c>
      <c r="E3" s="24" t="s">
        <v>132</v>
      </c>
      <c r="F3" s="24" t="s">
        <v>130</v>
      </c>
      <c r="G3" s="24" t="s">
        <v>131</v>
      </c>
      <c r="H3" s="24" t="s">
        <v>130</v>
      </c>
      <c r="I3" s="24" t="s">
        <v>132</v>
      </c>
      <c r="J3" s="24" t="s">
        <v>132</v>
      </c>
      <c r="K3" s="24" t="s">
        <v>133</v>
      </c>
      <c r="L3" s="24" t="s">
        <v>132</v>
      </c>
      <c r="M3" s="24" t="s">
        <v>133</v>
      </c>
      <c r="N3" s="12"/>
      <c r="O3" s="14"/>
    </row>
    <row x14ac:dyDescent="0.25" r="4" customHeight="1" ht="18.75">
      <c r="A4" s="26" t="s">
        <v>134</v>
      </c>
      <c r="B4" s="15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5" t="s">
        <v>141</v>
      </c>
      <c r="J4" s="15" t="s">
        <v>142</v>
      </c>
      <c r="K4" s="15" t="s">
        <v>143</v>
      </c>
      <c r="L4" s="15" t="s">
        <v>144</v>
      </c>
      <c r="M4" s="15" t="s">
        <v>145</v>
      </c>
      <c r="N4" s="15" t="s">
        <v>146</v>
      </c>
      <c r="O4" s="16" t="s">
        <v>147</v>
      </c>
    </row>
    <row x14ac:dyDescent="0.25" r="5" customHeight="1" ht="18.75">
      <c r="A5" s="19"/>
      <c r="B5" s="17" t="s">
        <v>148</v>
      </c>
      <c r="C5" s="19">
        <v>4</v>
      </c>
      <c r="D5" s="19">
        <v>4</v>
      </c>
      <c r="E5" s="19">
        <v>4</v>
      </c>
      <c r="F5" s="19">
        <v>4</v>
      </c>
      <c r="G5" s="19">
        <v>4</v>
      </c>
      <c r="H5" s="19">
        <v>10</v>
      </c>
      <c r="I5" s="19">
        <v>10</v>
      </c>
      <c r="J5" s="19">
        <v>10</v>
      </c>
      <c r="K5" s="19">
        <v>10</v>
      </c>
      <c r="L5" s="19">
        <v>20</v>
      </c>
      <c r="M5" s="19">
        <v>20</v>
      </c>
      <c r="N5" s="19">
        <f>SUM(C5:M5)</f>
      </c>
      <c r="O5" s="18"/>
    </row>
    <row x14ac:dyDescent="0.25" r="6" customHeight="1" ht="18.75">
      <c r="A6" s="20">
        <f>'Mid Sem'!B6</f>
      </c>
      <c r="B6" s="12">
        <f>'Mid Sem'!A6</f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7"/>
      <c r="O6" s="14"/>
    </row>
    <row x14ac:dyDescent="0.25" r="7" customHeight="1" ht="18.75">
      <c r="A7" s="20">
        <f>'Mid Sem'!B7</f>
      </c>
      <c r="B7" s="12">
        <f>'Mid Sem'!A7</f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7"/>
      <c r="O7" s="14"/>
    </row>
    <row x14ac:dyDescent="0.25" r="8" customHeight="1" ht="18.75">
      <c r="A8" s="20">
        <f>'Mid Sem'!B8</f>
      </c>
      <c r="B8" s="12">
        <f>'Mid Sem'!A8</f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7"/>
      <c r="O8" s="14"/>
    </row>
    <row x14ac:dyDescent="0.25" r="9" customHeight="1" ht="18.75">
      <c r="A9" s="20">
        <f>'Mid Sem'!B9</f>
      </c>
      <c r="B9" s="12">
        <f>'Mid Sem'!A9</f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7"/>
      <c r="O9" s="14"/>
    </row>
    <row x14ac:dyDescent="0.25" r="10" customHeight="1" ht="18.75">
      <c r="A10" s="20">
        <f>'Mid Sem'!B10</f>
      </c>
      <c r="B10" s="12">
        <f>'Mid Sem'!A10</f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7"/>
      <c r="O10" s="14"/>
    </row>
    <row x14ac:dyDescent="0.25" r="11" customHeight="1" ht="18.75">
      <c r="A11" s="20">
        <f>'Mid Sem'!B11</f>
      </c>
      <c r="B11" s="12">
        <f>'Mid Sem'!A11</f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7"/>
      <c r="O11" s="14"/>
    </row>
    <row x14ac:dyDescent="0.25" r="12" customHeight="1" ht="18.75">
      <c r="A12" s="20">
        <f>'Mid Sem'!B12</f>
      </c>
      <c r="B12" s="12">
        <f>'Mid Sem'!A12</f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7"/>
      <c r="O12" s="14"/>
    </row>
    <row x14ac:dyDescent="0.25" r="13" customHeight="1" ht="18.75">
      <c r="A13" s="20">
        <f>'Mid Sem'!B13</f>
      </c>
      <c r="B13" s="12">
        <f>'Mid Sem'!A13</f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7"/>
      <c r="O13" s="14"/>
    </row>
    <row x14ac:dyDescent="0.25" r="14" customHeight="1" ht="18.75">
      <c r="A14" s="20">
        <f>'Mid Sem'!B14</f>
      </c>
      <c r="B14" s="12">
        <f>'Mid Sem'!A14</f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7"/>
      <c r="O14" s="14"/>
    </row>
    <row x14ac:dyDescent="0.25" r="15" customHeight="1" ht="18.75">
      <c r="A15" s="20">
        <f>'Mid Sem'!B15</f>
      </c>
      <c r="B15" s="12">
        <f>'Mid Sem'!A15</f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7"/>
      <c r="O15" s="14"/>
    </row>
    <row x14ac:dyDescent="0.25" r="16" customHeight="1" ht="18.75">
      <c r="A16" s="20">
        <f>'Mid Sem'!B16</f>
      </c>
      <c r="B16" s="12">
        <f>'Mid Sem'!A16</f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7"/>
      <c r="O16" s="14"/>
    </row>
    <row x14ac:dyDescent="0.25" r="17" customHeight="1" ht="18.75">
      <c r="A17" s="20">
        <f>'Mid Sem'!B17</f>
      </c>
      <c r="B17" s="12">
        <f>'Mid Sem'!A17</f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7"/>
      <c r="O17" s="14"/>
    </row>
    <row x14ac:dyDescent="0.25" r="18" customHeight="1" ht="18.75">
      <c r="A18" s="20">
        <f>'Mid Sem'!B18</f>
      </c>
      <c r="B18" s="12">
        <f>'Mid Sem'!A18</f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7"/>
      <c r="O18" s="14"/>
    </row>
    <row x14ac:dyDescent="0.25" r="19" customHeight="1" ht="18.75">
      <c r="A19" s="20">
        <f>'Mid Sem'!B19</f>
      </c>
      <c r="B19" s="12">
        <f>'Mid Sem'!A19</f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7"/>
      <c r="O19" s="14"/>
    </row>
    <row x14ac:dyDescent="0.25" r="20" customHeight="1" ht="18.75">
      <c r="A20" s="20">
        <f>'Mid Sem'!B20</f>
      </c>
      <c r="B20" s="12">
        <f>'Mid Sem'!A20</f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7"/>
      <c r="O20" s="14"/>
    </row>
    <row x14ac:dyDescent="0.25" r="21" customHeight="1" ht="18.75">
      <c r="A21" s="20">
        <f>'Mid Sem'!B21</f>
      </c>
      <c r="B21" s="12">
        <f>'Mid Sem'!A21</f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7"/>
      <c r="O21" s="14"/>
    </row>
    <row x14ac:dyDescent="0.25" r="22" customHeight="1" ht="18.75">
      <c r="A22" s="20">
        <f>'Mid Sem'!B22</f>
      </c>
      <c r="B22" s="12">
        <f>'Mid Sem'!A22</f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4"/>
    </row>
    <row x14ac:dyDescent="0.25" r="23" customHeight="1" ht="18.75">
      <c r="A23" s="20">
        <f>'Mid Sem'!B23</f>
      </c>
      <c r="B23" s="12">
        <f>'Mid Sem'!A23</f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"/>
    </row>
    <row x14ac:dyDescent="0.25" r="24" customHeight="1" ht="18.75">
      <c r="A24" s="20">
        <f>'Mid Sem'!B24</f>
      </c>
      <c r="B24" s="12">
        <f>'Mid Sem'!A24</f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"/>
    </row>
    <row x14ac:dyDescent="0.25" r="25" customHeight="1" ht="18.75">
      <c r="A25" s="20">
        <f>'Mid Sem'!B25</f>
      </c>
      <c r="B25" s="12">
        <f>'Mid Sem'!A25</f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"/>
    </row>
    <row x14ac:dyDescent="0.25" r="26" customHeight="1" ht="18.75">
      <c r="A26" s="20">
        <f>'Mid Sem'!B26</f>
      </c>
      <c r="B26" s="12">
        <f>'Mid Sem'!A26</f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"/>
    </row>
    <row x14ac:dyDescent="0.25" r="27" customHeight="1" ht="18.75">
      <c r="A27" s="20">
        <f>'Mid Sem'!B27</f>
      </c>
      <c r="B27" s="12">
        <f>'Mid Sem'!A27</f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"/>
    </row>
    <row x14ac:dyDescent="0.25" r="28" customHeight="1" ht="18.75">
      <c r="A28" s="20">
        <f>'Mid Sem'!B28</f>
      </c>
      <c r="B28" s="12">
        <f>'Mid Sem'!A28</f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"/>
    </row>
    <row x14ac:dyDescent="0.25" r="29" customHeight="1" ht="18.75">
      <c r="A29" s="20">
        <f>'Mid Sem'!B29</f>
      </c>
      <c r="B29" s="12">
        <f>'Mid Sem'!A29</f>
      </c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"/>
    </row>
    <row x14ac:dyDescent="0.25" r="30" customHeight="1" ht="18.75">
      <c r="A30" s="20">
        <f>'Mid Sem'!B30</f>
      </c>
      <c r="B30" s="12">
        <f>'Mid Sem'!A30</f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"/>
    </row>
    <row x14ac:dyDescent="0.25" r="31" customHeight="1" ht="18.75">
      <c r="A31" s="20">
        <f>'Mid Sem'!B31</f>
      </c>
      <c r="B31" s="12">
        <f>'Mid Sem'!A31</f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"/>
    </row>
    <row x14ac:dyDescent="0.25" r="32" customHeight="1" ht="18.75">
      <c r="A32" s="20">
        <f>'Mid Sem'!B32</f>
      </c>
      <c r="B32" s="12">
        <f>'Mid Sem'!A32</f>
      </c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"/>
    </row>
    <row x14ac:dyDescent="0.25" r="33" customHeight="1" ht="18.75">
      <c r="A33" s="20">
        <f>'Mid Sem'!B33</f>
      </c>
      <c r="B33" s="12">
        <f>'Mid Sem'!A33</f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"/>
    </row>
    <row x14ac:dyDescent="0.25" r="34" customHeight="1" ht="18.75">
      <c r="A34" s="20">
        <f>'Mid Sem'!B34</f>
      </c>
      <c r="B34" s="12">
        <f>'Mid Sem'!A34</f>
      </c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"/>
    </row>
    <row x14ac:dyDescent="0.25" r="35" customHeight="1" ht="18.75">
      <c r="A35" s="20">
        <f>'Mid Sem'!B35</f>
      </c>
      <c r="B35" s="12">
        <f>'Mid Sem'!A35</f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"/>
    </row>
    <row x14ac:dyDescent="0.25" r="36" customHeight="1" ht="18.75">
      <c r="A36" s="20">
        <f>'Mid Sem'!B36</f>
      </c>
      <c r="B36" s="12">
        <f>'Mid Sem'!A36</f>
      </c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"/>
    </row>
    <row x14ac:dyDescent="0.25" r="37" customHeight="1" ht="18.75">
      <c r="A37" s="20">
        <f>'Mid Sem'!B37</f>
      </c>
      <c r="B37" s="12">
        <f>'Mid Sem'!A37</f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"/>
    </row>
    <row x14ac:dyDescent="0.25" r="38" customHeight="1" ht="18.75">
      <c r="A38" s="20">
        <f>'Mid Sem'!B38</f>
      </c>
      <c r="B38" s="12">
        <f>'Mid Sem'!A38</f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"/>
    </row>
    <row x14ac:dyDescent="0.25" r="39" customHeight="1" ht="18.75">
      <c r="A39" s="20">
        <f>'Mid Sem'!B39</f>
      </c>
      <c r="B39" s="12">
        <f>'Mid Sem'!A39</f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"/>
    </row>
    <row x14ac:dyDescent="0.25" r="40" customHeight="1" ht="18.75">
      <c r="A40" s="20">
        <f>'Mid Sem'!B40</f>
      </c>
      <c r="B40" s="12">
        <f>'Mid Sem'!A40</f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"/>
    </row>
    <row x14ac:dyDescent="0.25" r="41" customHeight="1" ht="18.75">
      <c r="A41" s="20">
        <f>'Mid Sem'!B41</f>
      </c>
      <c r="B41" s="12">
        <f>'Mid Sem'!A41</f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"/>
    </row>
    <row x14ac:dyDescent="0.25" r="42" customHeight="1" ht="18.75">
      <c r="A42" s="20">
        <f>'Mid Sem'!B42</f>
      </c>
      <c r="B42" s="12">
        <f>'Mid Sem'!A42</f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"/>
    </row>
    <row x14ac:dyDescent="0.25" r="43" customHeight="1" ht="18.75">
      <c r="A43" s="20">
        <f>'Mid Sem'!B43</f>
      </c>
      <c r="B43" s="12">
        <f>'Mid Sem'!A43</f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"/>
    </row>
    <row x14ac:dyDescent="0.25" r="44" customHeight="1" ht="18.75">
      <c r="A44" s="20">
        <f>'Mid Sem'!B44</f>
      </c>
      <c r="B44" s="12">
        <f>'Mid Sem'!A44</f>
      </c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"/>
    </row>
    <row x14ac:dyDescent="0.25" r="45" customHeight="1" ht="18.75">
      <c r="A45" s="20">
        <f>'Mid Sem'!B45</f>
      </c>
      <c r="B45" s="12">
        <f>'Mid Sem'!A45</f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"/>
    </row>
    <row x14ac:dyDescent="0.25" r="46" customHeight="1" ht="18.75">
      <c r="A46" s="20">
        <f>'Mid Sem'!B46</f>
      </c>
      <c r="B46" s="12">
        <f>'Mid Sem'!A46</f>
      </c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"/>
    </row>
    <row x14ac:dyDescent="0.25" r="47" customHeight="1" ht="18.75">
      <c r="A47" s="20">
        <f>'Mid Sem'!B47</f>
      </c>
      <c r="B47" s="12">
        <f>'Mid Sem'!A47</f>
      </c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"/>
    </row>
    <row x14ac:dyDescent="0.25" r="48" customHeight="1" ht="18.75">
      <c r="A48" s="20">
        <f>'Mid Sem'!B48</f>
      </c>
      <c r="B48" s="12">
        <f>'Mid Sem'!A48</f>
      </c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"/>
    </row>
    <row x14ac:dyDescent="0.25" r="49" customHeight="1" ht="18.75">
      <c r="A49" s="20">
        <f>'Mid Sem'!B49</f>
      </c>
      <c r="B49" s="12">
        <f>'Mid Sem'!A49</f>
      </c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"/>
    </row>
    <row x14ac:dyDescent="0.25" r="50" customHeight="1" ht="18.75">
      <c r="A50" s="20">
        <f>'Mid Sem'!B50</f>
      </c>
      <c r="B50" s="12">
        <f>'Mid Sem'!A50</f>
      </c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"/>
    </row>
    <row x14ac:dyDescent="0.25" r="51" customHeight="1" ht="18.75">
      <c r="A51" s="20">
        <f>'Mid Sem'!B51</f>
      </c>
      <c r="B51" s="12">
        <f>'Mid Sem'!A51</f>
      </c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"/>
    </row>
    <row x14ac:dyDescent="0.25" r="52" customHeight="1" ht="18.75">
      <c r="A52" s="20">
        <f>'Mid Sem'!B52</f>
      </c>
      <c r="B52" s="12">
        <f>'Mid Sem'!A52</f>
      </c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"/>
    </row>
    <row x14ac:dyDescent="0.25" r="53" customHeight="1" ht="18.75">
      <c r="A53" s="20">
        <f>'Mid Sem'!B53</f>
      </c>
      <c r="B53" s="12">
        <f>'Mid Sem'!A53</f>
      </c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"/>
    </row>
    <row x14ac:dyDescent="0.25" r="54" customHeight="1" ht="18.75">
      <c r="A54" s="20">
        <f>'Mid Sem'!B54</f>
      </c>
      <c r="B54" s="12">
        <f>'Mid Sem'!A54</f>
      </c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"/>
    </row>
    <row x14ac:dyDescent="0.25" r="55" customHeight="1" ht="18.75">
      <c r="A55" s="20">
        <f>'Mid Sem'!B55</f>
      </c>
      <c r="B55" s="12">
        <f>'Mid Sem'!A55</f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"/>
    </row>
    <row x14ac:dyDescent="0.25" r="56" customHeight="1" ht="18.75">
      <c r="A56" s="20">
        <f>'Mid Sem'!B56</f>
      </c>
      <c r="B56" s="12">
        <f>'Mid Sem'!A56</f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"/>
    </row>
    <row x14ac:dyDescent="0.25" r="57" customHeight="1" ht="18.75">
      <c r="A57" s="20">
        <f>'Mid Sem'!B57</f>
      </c>
      <c r="B57" s="12">
        <f>'Mid Sem'!A57</f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"/>
    </row>
    <row x14ac:dyDescent="0.25" r="58" customHeight="1" ht="18.75">
      <c r="A58" s="20">
        <f>'Mid Sem'!B58</f>
      </c>
      <c r="B58" s="12">
        <f>'Mid Sem'!A58</f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"/>
    </row>
    <row x14ac:dyDescent="0.25" r="59" customHeight="1" ht="18.75">
      <c r="A59" s="20">
        <f>'Mid Sem'!B59</f>
      </c>
      <c r="B59" s="12">
        <f>'Mid Sem'!A59</f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"/>
    </row>
    <row x14ac:dyDescent="0.25" r="60" customHeight="1" ht="18.75">
      <c r="A60" s="20">
        <f>'Mid Sem'!B60</f>
      </c>
      <c r="B60" s="12">
        <f>'Mid Sem'!A60</f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"/>
    </row>
    <row x14ac:dyDescent="0.25" r="61" customHeight="1" ht="18.75">
      <c r="A61" s="20">
        <f>'Mid Sem'!B61</f>
      </c>
      <c r="B61" s="12">
        <f>'Mid Sem'!A61</f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"/>
    </row>
    <row x14ac:dyDescent="0.25" r="62" customHeight="1" ht="18.75">
      <c r="A62" s="20">
        <f>'Mid Sem'!B62</f>
      </c>
      <c r="B62" s="12">
        <f>'Mid Sem'!A62</f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"/>
    </row>
    <row x14ac:dyDescent="0.25" r="63" customHeight="1" ht="18.75">
      <c r="A63" s="20">
        <f>'Mid Sem'!B63</f>
      </c>
      <c r="B63" s="12">
        <f>'Mid Sem'!A63</f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"/>
    </row>
    <row x14ac:dyDescent="0.25" r="64" customHeight="1" ht="18.75">
      <c r="A64" s="20">
        <f>'Mid Sem'!B64</f>
      </c>
      <c r="B64" s="12">
        <f>'Mid Sem'!A64</f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"/>
    </row>
    <row x14ac:dyDescent="0.25" r="65" customHeight="1" ht="18.75">
      <c r="A65" s="20">
        <f>'Mid Sem'!B65</f>
      </c>
      <c r="B65" s="20">
        <f>'Mid Sem'!A65</f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"/>
    </row>
    <row x14ac:dyDescent="0.25" r="66" customHeight="1" ht="18.75">
      <c r="A66" s="20">
        <f>'Mid Sem'!B66</f>
      </c>
      <c r="B66" s="20">
        <f>'Mid Sem'!A66</f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5"/>
  <sheetViews>
    <sheetView workbookViewId="0"/>
  </sheetViews>
  <sheetFormatPr defaultRowHeight="15" x14ac:dyDescent="0.25"/>
  <cols>
    <col min="1" max="1" style="4" width="19.005" customWidth="1" bestFit="1"/>
    <col min="2" max="2" style="4" width="24.290714285714284" customWidth="1" bestFit="1"/>
    <col min="3" max="3" style="22" width="4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4.719285714285714" customWidth="1" bestFit="1"/>
  </cols>
  <sheetData>
    <row x14ac:dyDescent="0.25" r="1" customHeight="1" ht="18.75">
      <c r="A1" s="8" t="s">
        <v>151</v>
      </c>
      <c r="B1" s="8"/>
      <c r="C1" s="8"/>
      <c r="D1" s="8"/>
      <c r="E1" s="8"/>
      <c r="F1" s="8"/>
      <c r="G1" s="8"/>
      <c r="H1" s="8"/>
      <c r="I1" s="9"/>
      <c r="J1" s="9"/>
      <c r="K1" s="9"/>
      <c r="L1" s="9"/>
      <c r="M1" s="9"/>
      <c r="N1" s="8"/>
      <c r="O1" s="9"/>
    </row>
    <row x14ac:dyDescent="0.25" r="2" customHeight="1" ht="18.75">
      <c r="A2" s="8">
        <f>Marksheet!A2</f>
      </c>
      <c r="B2" s="10"/>
      <c r="C2" s="10"/>
      <c r="D2" s="10"/>
      <c r="E2" s="10"/>
      <c r="F2" s="10"/>
      <c r="G2" s="10"/>
      <c r="H2" s="10"/>
      <c r="I2" s="11"/>
      <c r="J2" s="11"/>
      <c r="K2" s="11"/>
      <c r="L2" s="11"/>
      <c r="M2" s="11"/>
      <c r="N2" s="10"/>
      <c r="O2" s="11"/>
    </row>
    <row x14ac:dyDescent="0.25" r="3" customHeight="1" ht="18.75">
      <c r="A3" s="12"/>
      <c r="B3" s="12"/>
      <c r="C3" s="24" t="s">
        <v>130</v>
      </c>
      <c r="D3" s="24" t="s">
        <v>131</v>
      </c>
      <c r="E3" s="24" t="s">
        <v>132</v>
      </c>
      <c r="F3" s="24" t="s">
        <v>130</v>
      </c>
      <c r="G3" s="24" t="s">
        <v>131</v>
      </c>
      <c r="H3" s="24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2"/>
      <c r="O3" s="14"/>
    </row>
    <row x14ac:dyDescent="0.25" r="4" customHeight="1" ht="18.75">
      <c r="A4" s="15" t="s">
        <v>134</v>
      </c>
      <c r="B4" s="15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15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9">
        <v>5</v>
      </c>
      <c r="D5" s="19">
        <v>5</v>
      </c>
      <c r="E5" s="19">
        <v>5</v>
      </c>
      <c r="F5" s="19">
        <v>5</v>
      </c>
      <c r="G5" s="19">
        <v>15</v>
      </c>
      <c r="H5" s="19">
        <v>15</v>
      </c>
      <c r="I5" s="18"/>
      <c r="J5" s="18"/>
      <c r="K5" s="18"/>
      <c r="L5" s="18"/>
      <c r="M5" s="18"/>
      <c r="N5" s="19">
        <v>10</v>
      </c>
      <c r="O5" s="18"/>
    </row>
    <row x14ac:dyDescent="0.25" r="6" customHeight="1" ht="18.75">
      <c r="A6" s="20">
        <f>'Mid Sem'!B6</f>
      </c>
      <c r="B6" s="12">
        <f>'Mid Sem'!A6</f>
      </c>
      <c r="C6" s="12"/>
      <c r="D6" s="12"/>
      <c r="E6" s="12"/>
      <c r="F6" s="12"/>
      <c r="G6" s="12"/>
      <c r="H6" s="12"/>
      <c r="I6" s="14"/>
      <c r="J6" s="14"/>
      <c r="K6" s="14"/>
      <c r="L6" s="14"/>
      <c r="M6" s="14"/>
      <c r="N6" s="12"/>
      <c r="O6" s="14"/>
    </row>
    <row x14ac:dyDescent="0.25" r="7" customHeight="1" ht="18.75">
      <c r="A7" s="20">
        <f>'Mid Sem'!B7</f>
      </c>
      <c r="B7" s="12">
        <f>'Mid Sem'!A7</f>
      </c>
      <c r="C7" s="12"/>
      <c r="D7" s="12"/>
      <c r="E7" s="12"/>
      <c r="F7" s="12"/>
      <c r="G7" s="12"/>
      <c r="H7" s="12"/>
      <c r="I7" s="14"/>
      <c r="J7" s="14"/>
      <c r="K7" s="14"/>
      <c r="L7" s="14"/>
      <c r="M7" s="14"/>
      <c r="N7" s="12"/>
      <c r="O7" s="14"/>
    </row>
    <row x14ac:dyDescent="0.25" r="8" customHeight="1" ht="18.75">
      <c r="A8" s="20">
        <f>'Mid Sem'!B8</f>
      </c>
      <c r="B8" s="12">
        <f>'Mid Sem'!A8</f>
      </c>
      <c r="C8" s="12"/>
      <c r="D8" s="12"/>
      <c r="E8" s="12"/>
      <c r="F8" s="12"/>
      <c r="G8" s="12"/>
      <c r="H8" s="12"/>
      <c r="I8" s="14"/>
      <c r="J8" s="14"/>
      <c r="K8" s="14"/>
      <c r="L8" s="14"/>
      <c r="M8" s="14"/>
      <c r="N8" s="12"/>
      <c r="O8" s="14"/>
    </row>
    <row x14ac:dyDescent="0.25" r="9" customHeight="1" ht="18.75">
      <c r="A9" s="20">
        <f>'Mid Sem'!B9</f>
      </c>
      <c r="B9" s="12">
        <f>'Mid Sem'!A9</f>
      </c>
      <c r="C9" s="12"/>
      <c r="D9" s="12"/>
      <c r="E9" s="12"/>
      <c r="F9" s="12"/>
      <c r="G9" s="12"/>
      <c r="H9" s="12"/>
      <c r="I9" s="14"/>
      <c r="J9" s="14"/>
      <c r="K9" s="14"/>
      <c r="L9" s="14"/>
      <c r="M9" s="14"/>
      <c r="N9" s="12"/>
      <c r="O9" s="14"/>
    </row>
    <row x14ac:dyDescent="0.25" r="10" customHeight="1" ht="18.75">
      <c r="A10" s="20">
        <f>'Mid Sem'!B10</f>
      </c>
      <c r="B10" s="12">
        <f>'Mid Sem'!A10</f>
      </c>
      <c r="C10" s="12"/>
      <c r="D10" s="12"/>
      <c r="E10" s="12"/>
      <c r="F10" s="12"/>
      <c r="G10" s="12"/>
      <c r="H10" s="12"/>
      <c r="I10" s="14"/>
      <c r="J10" s="14"/>
      <c r="K10" s="14"/>
      <c r="L10" s="14"/>
      <c r="M10" s="14"/>
      <c r="N10" s="12"/>
      <c r="O10" s="14"/>
    </row>
    <row x14ac:dyDescent="0.25" r="11" customHeight="1" ht="18.75">
      <c r="A11" s="20">
        <f>'Mid Sem'!B11</f>
      </c>
      <c r="B11" s="12">
        <f>'Mid Sem'!A11</f>
      </c>
      <c r="C11" s="12"/>
      <c r="D11" s="12"/>
      <c r="E11" s="12"/>
      <c r="F11" s="12"/>
      <c r="G11" s="12"/>
      <c r="H11" s="12"/>
      <c r="I11" s="14"/>
      <c r="J11" s="14"/>
      <c r="K11" s="14"/>
      <c r="L11" s="14"/>
      <c r="M11" s="14"/>
      <c r="N11" s="12"/>
      <c r="O11" s="14"/>
    </row>
    <row x14ac:dyDescent="0.25" r="12" customHeight="1" ht="18.75">
      <c r="A12" s="20">
        <f>'Mid Sem'!B12</f>
      </c>
      <c r="B12" s="12">
        <f>'Mid Sem'!A12</f>
      </c>
      <c r="C12" s="12"/>
      <c r="D12" s="12"/>
      <c r="E12" s="12"/>
      <c r="F12" s="12"/>
      <c r="G12" s="12"/>
      <c r="H12" s="12"/>
      <c r="I12" s="14"/>
      <c r="J12" s="14"/>
      <c r="K12" s="14"/>
      <c r="L12" s="14"/>
      <c r="M12" s="14"/>
      <c r="N12" s="12"/>
      <c r="O12" s="14"/>
    </row>
    <row x14ac:dyDescent="0.25" r="13" customHeight="1" ht="18.75">
      <c r="A13" s="20">
        <f>'Mid Sem'!B13</f>
      </c>
      <c r="B13" s="12">
        <f>'Mid Sem'!A13</f>
      </c>
      <c r="C13" s="12"/>
      <c r="D13" s="12"/>
      <c r="E13" s="12"/>
      <c r="F13" s="12"/>
      <c r="G13" s="12"/>
      <c r="H13" s="12"/>
      <c r="I13" s="14"/>
      <c r="J13" s="14"/>
      <c r="K13" s="14"/>
      <c r="L13" s="14"/>
      <c r="M13" s="14"/>
      <c r="N13" s="12"/>
      <c r="O13" s="14"/>
    </row>
    <row x14ac:dyDescent="0.25" r="14" customHeight="1" ht="18.75">
      <c r="A14" s="20">
        <f>'Mid Sem'!B14</f>
      </c>
      <c r="B14" s="12">
        <f>'Mid Sem'!A14</f>
      </c>
      <c r="C14" s="12"/>
      <c r="D14" s="12"/>
      <c r="E14" s="12"/>
      <c r="F14" s="12"/>
      <c r="G14" s="12"/>
      <c r="H14" s="12"/>
      <c r="I14" s="14"/>
      <c r="J14" s="14"/>
      <c r="K14" s="14"/>
      <c r="L14" s="14"/>
      <c r="M14" s="14"/>
      <c r="N14" s="12"/>
      <c r="O14" s="14"/>
    </row>
    <row x14ac:dyDescent="0.25" r="15" customHeight="1" ht="18.75">
      <c r="A15" s="20">
        <f>'Mid Sem'!B15</f>
      </c>
      <c r="B15" s="12">
        <f>'Mid Sem'!A15</f>
      </c>
      <c r="C15" s="12"/>
      <c r="D15" s="12"/>
      <c r="E15" s="12"/>
      <c r="F15" s="12"/>
      <c r="G15" s="12"/>
      <c r="H15" s="12"/>
      <c r="I15" s="14"/>
      <c r="J15" s="14"/>
      <c r="K15" s="14"/>
      <c r="L15" s="14"/>
      <c r="M15" s="14"/>
      <c r="N15" s="12"/>
      <c r="O15" s="14"/>
    </row>
    <row x14ac:dyDescent="0.25" r="16" customHeight="1" ht="18.75">
      <c r="A16" s="20">
        <f>'Mid Sem'!B16</f>
      </c>
      <c r="B16" s="12">
        <f>'Mid Sem'!A16</f>
      </c>
      <c r="C16" s="12"/>
      <c r="D16" s="12"/>
      <c r="E16" s="12"/>
      <c r="F16" s="12"/>
      <c r="G16" s="12"/>
      <c r="H16" s="12"/>
      <c r="I16" s="14"/>
      <c r="J16" s="14"/>
      <c r="K16" s="14"/>
      <c r="L16" s="14"/>
      <c r="M16" s="14"/>
      <c r="N16" s="12"/>
      <c r="O16" s="14"/>
    </row>
    <row x14ac:dyDescent="0.25" r="17" customHeight="1" ht="18.75">
      <c r="A17" s="20">
        <f>'Mid Sem'!B17</f>
      </c>
      <c r="B17" s="12">
        <f>'Mid Sem'!A17</f>
      </c>
      <c r="C17" s="12"/>
      <c r="D17" s="12"/>
      <c r="E17" s="12"/>
      <c r="F17" s="12"/>
      <c r="G17" s="12"/>
      <c r="H17" s="12"/>
      <c r="I17" s="14"/>
      <c r="J17" s="14"/>
      <c r="K17" s="14"/>
      <c r="L17" s="14"/>
      <c r="M17" s="14"/>
      <c r="N17" s="12"/>
      <c r="O17" s="14"/>
    </row>
    <row x14ac:dyDescent="0.25" r="18" customHeight="1" ht="18.75">
      <c r="A18" s="20">
        <f>'Mid Sem'!B18</f>
      </c>
      <c r="B18" s="12">
        <f>'Mid Sem'!A18</f>
      </c>
      <c r="C18" s="12"/>
      <c r="D18" s="12"/>
      <c r="E18" s="12"/>
      <c r="F18" s="12"/>
      <c r="G18" s="12"/>
      <c r="H18" s="12"/>
      <c r="I18" s="14"/>
      <c r="J18" s="14"/>
      <c r="K18" s="14"/>
      <c r="L18" s="14"/>
      <c r="M18" s="14"/>
      <c r="N18" s="12"/>
      <c r="O18" s="14"/>
    </row>
    <row x14ac:dyDescent="0.25" r="19" customHeight="1" ht="18.75">
      <c r="A19" s="20">
        <f>'Mid Sem'!B19</f>
      </c>
      <c r="B19" s="12">
        <f>'Mid Sem'!A19</f>
      </c>
      <c r="C19" s="12"/>
      <c r="D19" s="12"/>
      <c r="E19" s="12"/>
      <c r="F19" s="12"/>
      <c r="G19" s="12"/>
      <c r="H19" s="12"/>
      <c r="I19" s="14"/>
      <c r="J19" s="14"/>
      <c r="K19" s="14"/>
      <c r="L19" s="14"/>
      <c r="M19" s="14"/>
      <c r="N19" s="12"/>
      <c r="O19" s="14"/>
    </row>
    <row x14ac:dyDescent="0.25" r="20" customHeight="1" ht="18.75">
      <c r="A20" s="20">
        <f>'Mid Sem'!B20</f>
      </c>
      <c r="B20" s="12">
        <f>'Mid Sem'!A20</f>
      </c>
      <c r="C20" s="12"/>
      <c r="D20" s="12"/>
      <c r="E20" s="12"/>
      <c r="F20" s="12"/>
      <c r="G20" s="12"/>
      <c r="H20" s="12"/>
      <c r="I20" s="14"/>
      <c r="J20" s="14"/>
      <c r="K20" s="14"/>
      <c r="L20" s="14"/>
      <c r="M20" s="14"/>
      <c r="N20" s="12"/>
      <c r="O20" s="14"/>
    </row>
    <row x14ac:dyDescent="0.25" r="21" customHeight="1" ht="18.75">
      <c r="A21" s="20">
        <f>'Mid Sem'!B21</f>
      </c>
      <c r="B21" s="12">
        <f>'Mid Sem'!A21</f>
      </c>
      <c r="C21" s="12"/>
      <c r="D21" s="12"/>
      <c r="E21" s="12"/>
      <c r="F21" s="12"/>
      <c r="G21" s="12"/>
      <c r="H21" s="12"/>
      <c r="I21" s="14"/>
      <c r="J21" s="14"/>
      <c r="K21" s="14"/>
      <c r="L21" s="14"/>
      <c r="M21" s="14"/>
      <c r="N21" s="12"/>
      <c r="O21" s="14"/>
    </row>
    <row x14ac:dyDescent="0.25" r="22" customHeight="1" ht="18.75">
      <c r="A22" s="20">
        <f>'Mid Sem'!B22</f>
      </c>
      <c r="B22" s="12">
        <f>'Mid Sem'!A22</f>
      </c>
      <c r="C22" s="21"/>
      <c r="D22" s="21"/>
      <c r="E22" s="21"/>
      <c r="F22" s="21"/>
      <c r="G22" s="21"/>
      <c r="H22" s="21"/>
      <c r="I22" s="2"/>
      <c r="J22" s="2"/>
      <c r="K22" s="2"/>
      <c r="L22" s="2"/>
      <c r="M22" s="2"/>
      <c r="N22" s="21"/>
      <c r="O22" s="2"/>
    </row>
    <row x14ac:dyDescent="0.25" r="23" customHeight="1" ht="18.75">
      <c r="A23" s="20">
        <f>'Mid Sem'!B23</f>
      </c>
      <c r="B23" s="12">
        <f>'Mid Sem'!A23</f>
      </c>
      <c r="C23" s="21"/>
      <c r="D23" s="21"/>
      <c r="E23" s="21"/>
      <c r="F23" s="21"/>
      <c r="G23" s="21"/>
      <c r="H23" s="21"/>
      <c r="I23" s="2"/>
      <c r="J23" s="2"/>
      <c r="K23" s="2"/>
      <c r="L23" s="2"/>
      <c r="M23" s="2"/>
      <c r="N23" s="21"/>
      <c r="O23" s="2"/>
    </row>
    <row x14ac:dyDescent="0.25" r="24" customHeight="1" ht="18.75">
      <c r="A24" s="20">
        <f>'Mid Sem'!B24</f>
      </c>
      <c r="B24" s="12">
        <f>'Mid Sem'!A24</f>
      </c>
      <c r="C24" s="21"/>
      <c r="D24" s="21"/>
      <c r="E24" s="21"/>
      <c r="F24" s="21"/>
      <c r="G24" s="21"/>
      <c r="H24" s="21"/>
      <c r="I24" s="2"/>
      <c r="J24" s="2"/>
      <c r="K24" s="2"/>
      <c r="L24" s="2"/>
      <c r="M24" s="2"/>
      <c r="N24" s="21"/>
      <c r="O24" s="2"/>
    </row>
    <row x14ac:dyDescent="0.25" r="25" customHeight="1" ht="18.75">
      <c r="A25" s="20">
        <f>'Mid Sem'!B25</f>
      </c>
      <c r="B25" s="12">
        <f>'Mid Sem'!A25</f>
      </c>
      <c r="C25" s="21"/>
      <c r="D25" s="21"/>
      <c r="E25" s="21"/>
      <c r="F25" s="21"/>
      <c r="G25" s="21"/>
      <c r="H25" s="21"/>
      <c r="I25" s="2"/>
      <c r="J25" s="2"/>
      <c r="K25" s="2"/>
      <c r="L25" s="2"/>
      <c r="M25" s="2"/>
      <c r="N25" s="21"/>
      <c r="O25" s="2"/>
    </row>
    <row x14ac:dyDescent="0.25" r="26" customHeight="1" ht="18.75">
      <c r="A26" s="20">
        <f>'Mid Sem'!B26</f>
      </c>
      <c r="B26" s="12">
        <f>'Mid Sem'!A26</f>
      </c>
      <c r="C26" s="21"/>
      <c r="D26" s="21"/>
      <c r="E26" s="21"/>
      <c r="F26" s="21"/>
      <c r="G26" s="21"/>
      <c r="H26" s="21"/>
      <c r="I26" s="2"/>
      <c r="J26" s="2"/>
      <c r="K26" s="2"/>
      <c r="L26" s="2"/>
      <c r="M26" s="2"/>
      <c r="N26" s="21"/>
      <c r="O26" s="2"/>
    </row>
    <row x14ac:dyDescent="0.25" r="27" customHeight="1" ht="18.75">
      <c r="A27" s="20">
        <f>'Mid Sem'!B27</f>
      </c>
      <c r="B27" s="12">
        <f>'Mid Sem'!A27</f>
      </c>
      <c r="C27" s="21"/>
      <c r="D27" s="21"/>
      <c r="E27" s="21"/>
      <c r="F27" s="21"/>
      <c r="G27" s="21"/>
      <c r="H27" s="21"/>
      <c r="I27" s="2"/>
      <c r="J27" s="2"/>
      <c r="K27" s="2"/>
      <c r="L27" s="2"/>
      <c r="M27" s="2"/>
      <c r="N27" s="21"/>
      <c r="O27" s="2"/>
    </row>
    <row x14ac:dyDescent="0.25" r="28" customHeight="1" ht="18.75">
      <c r="A28" s="20">
        <f>'Mid Sem'!B28</f>
      </c>
      <c r="B28" s="12">
        <f>'Mid Sem'!A28</f>
      </c>
      <c r="C28" s="21"/>
      <c r="D28" s="21"/>
      <c r="E28" s="21"/>
      <c r="F28" s="21"/>
      <c r="G28" s="21"/>
      <c r="H28" s="21"/>
      <c r="I28" s="2"/>
      <c r="J28" s="2"/>
      <c r="K28" s="2"/>
      <c r="L28" s="2"/>
      <c r="M28" s="2"/>
      <c r="N28" s="21"/>
      <c r="O28" s="2"/>
    </row>
    <row x14ac:dyDescent="0.25" r="29" customHeight="1" ht="18.75">
      <c r="A29" s="20">
        <f>'Mid Sem'!B29</f>
      </c>
      <c r="B29" s="12">
        <f>'Mid Sem'!A29</f>
      </c>
      <c r="C29" s="21"/>
      <c r="D29" s="21"/>
      <c r="E29" s="21"/>
      <c r="F29" s="21"/>
      <c r="G29" s="21"/>
      <c r="H29" s="21"/>
      <c r="I29" s="2"/>
      <c r="J29" s="2"/>
      <c r="K29" s="2"/>
      <c r="L29" s="2"/>
      <c r="M29" s="2"/>
      <c r="N29" s="21"/>
      <c r="O29" s="2"/>
    </row>
    <row x14ac:dyDescent="0.25" r="30" customHeight="1" ht="18.75">
      <c r="A30" s="20">
        <f>'Mid Sem'!B30</f>
      </c>
      <c r="B30" s="12">
        <f>'Mid Sem'!A30</f>
      </c>
      <c r="C30" s="21"/>
      <c r="D30" s="21"/>
      <c r="E30" s="21"/>
      <c r="F30" s="21"/>
      <c r="G30" s="21"/>
      <c r="H30" s="21"/>
      <c r="I30" s="2"/>
      <c r="J30" s="2"/>
      <c r="K30" s="2"/>
      <c r="L30" s="2"/>
      <c r="M30" s="2"/>
      <c r="N30" s="21"/>
      <c r="O30" s="2"/>
    </row>
    <row x14ac:dyDescent="0.25" r="31" customHeight="1" ht="18.75">
      <c r="A31" s="20">
        <f>'Mid Sem'!B31</f>
      </c>
      <c r="B31" s="12">
        <f>'Mid Sem'!A31</f>
      </c>
      <c r="C31" s="21"/>
      <c r="D31" s="21"/>
      <c r="E31" s="21"/>
      <c r="F31" s="21"/>
      <c r="G31" s="21"/>
      <c r="H31" s="21"/>
      <c r="I31" s="2"/>
      <c r="J31" s="2"/>
      <c r="K31" s="2"/>
      <c r="L31" s="2"/>
      <c r="M31" s="2"/>
      <c r="N31" s="21"/>
      <c r="O31" s="2"/>
    </row>
    <row x14ac:dyDescent="0.25" r="32" customHeight="1" ht="18.75">
      <c r="A32" s="20">
        <f>'Mid Sem'!B32</f>
      </c>
      <c r="B32" s="12">
        <f>'Mid Sem'!A32</f>
      </c>
      <c r="C32" s="21"/>
      <c r="D32" s="21"/>
      <c r="E32" s="21"/>
      <c r="F32" s="21"/>
      <c r="G32" s="21"/>
      <c r="H32" s="21"/>
      <c r="I32" s="2"/>
      <c r="J32" s="2"/>
      <c r="K32" s="2"/>
      <c r="L32" s="2"/>
      <c r="M32" s="2"/>
      <c r="N32" s="21"/>
      <c r="O32" s="2"/>
    </row>
    <row x14ac:dyDescent="0.25" r="33" customHeight="1" ht="18.75">
      <c r="A33" s="20">
        <f>'Mid Sem'!B33</f>
      </c>
      <c r="B33" s="12">
        <f>'Mid Sem'!A33</f>
      </c>
      <c r="C33" s="21"/>
      <c r="D33" s="21"/>
      <c r="E33" s="21"/>
      <c r="F33" s="21"/>
      <c r="G33" s="21"/>
      <c r="H33" s="21"/>
      <c r="I33" s="2"/>
      <c r="J33" s="2"/>
      <c r="K33" s="2"/>
      <c r="L33" s="2"/>
      <c r="M33" s="2"/>
      <c r="N33" s="21"/>
      <c r="O33" s="2"/>
    </row>
    <row x14ac:dyDescent="0.25" r="34" customHeight="1" ht="18.75">
      <c r="A34" s="20">
        <f>'Mid Sem'!B34</f>
      </c>
      <c r="B34" s="12">
        <f>'Mid Sem'!A34</f>
      </c>
      <c r="C34" s="21"/>
      <c r="D34" s="21"/>
      <c r="E34" s="21"/>
      <c r="F34" s="21"/>
      <c r="G34" s="21"/>
      <c r="H34" s="21"/>
      <c r="I34" s="2"/>
      <c r="J34" s="2"/>
      <c r="K34" s="2"/>
      <c r="L34" s="2"/>
      <c r="M34" s="2"/>
      <c r="N34" s="21"/>
      <c r="O34" s="2"/>
    </row>
    <row x14ac:dyDescent="0.25" r="35" customHeight="1" ht="18.75">
      <c r="A35" s="20">
        <f>'Mid Sem'!B35</f>
      </c>
      <c r="B35" s="12">
        <f>'Mid Sem'!A35</f>
      </c>
      <c r="C35" s="21"/>
      <c r="D35" s="21"/>
      <c r="E35" s="21"/>
      <c r="F35" s="21"/>
      <c r="G35" s="21"/>
      <c r="H35" s="21"/>
      <c r="I35" s="2"/>
      <c r="J35" s="2"/>
      <c r="K35" s="2"/>
      <c r="L35" s="2"/>
      <c r="M35" s="2"/>
      <c r="N35" s="21"/>
      <c r="O35" s="2"/>
    </row>
    <row x14ac:dyDescent="0.25" r="36" customHeight="1" ht="18.75">
      <c r="A36" s="20">
        <f>'Mid Sem'!B36</f>
      </c>
      <c r="B36" s="12">
        <f>'Mid Sem'!A36</f>
      </c>
      <c r="C36" s="21"/>
      <c r="D36" s="21"/>
      <c r="E36" s="21"/>
      <c r="F36" s="21"/>
      <c r="G36" s="21"/>
      <c r="H36" s="21"/>
      <c r="I36" s="2"/>
      <c r="J36" s="2"/>
      <c r="K36" s="2"/>
      <c r="L36" s="2"/>
      <c r="M36" s="2"/>
      <c r="N36" s="21"/>
      <c r="O36" s="2"/>
    </row>
    <row x14ac:dyDescent="0.25" r="37" customHeight="1" ht="18.75">
      <c r="A37" s="20">
        <f>'Mid Sem'!B37</f>
      </c>
      <c r="B37" s="12">
        <f>'Mid Sem'!A37</f>
      </c>
      <c r="C37" s="21"/>
      <c r="D37" s="21"/>
      <c r="E37" s="21"/>
      <c r="F37" s="21"/>
      <c r="G37" s="21"/>
      <c r="H37" s="21"/>
      <c r="I37" s="2"/>
      <c r="J37" s="2"/>
      <c r="K37" s="2"/>
      <c r="L37" s="2"/>
      <c r="M37" s="2"/>
      <c r="N37" s="21"/>
      <c r="O37" s="2"/>
    </row>
    <row x14ac:dyDescent="0.25" r="38" customHeight="1" ht="18.75">
      <c r="A38" s="20">
        <f>'Mid Sem'!B38</f>
      </c>
      <c r="B38" s="12">
        <f>'Mid Sem'!A38</f>
      </c>
      <c r="C38" s="21"/>
      <c r="D38" s="21"/>
      <c r="E38" s="21"/>
      <c r="F38" s="21"/>
      <c r="G38" s="21"/>
      <c r="H38" s="21"/>
      <c r="I38" s="2"/>
      <c r="J38" s="2"/>
      <c r="K38" s="2"/>
      <c r="L38" s="2"/>
      <c r="M38" s="2"/>
      <c r="N38" s="21"/>
      <c r="O38" s="2"/>
    </row>
    <row x14ac:dyDescent="0.25" r="39" customHeight="1" ht="18.75">
      <c r="A39" s="20">
        <f>'Mid Sem'!B39</f>
      </c>
      <c r="B39" s="12">
        <f>'Mid Sem'!A39</f>
      </c>
      <c r="C39" s="21"/>
      <c r="D39" s="21"/>
      <c r="E39" s="21"/>
      <c r="F39" s="21"/>
      <c r="G39" s="21"/>
      <c r="H39" s="21"/>
      <c r="I39" s="2"/>
      <c r="J39" s="2"/>
      <c r="K39" s="2"/>
      <c r="L39" s="2"/>
      <c r="M39" s="2"/>
      <c r="N39" s="21"/>
      <c r="O39" s="2"/>
    </row>
    <row x14ac:dyDescent="0.25" r="40" customHeight="1" ht="18.75">
      <c r="A40" s="20">
        <f>'Mid Sem'!B40</f>
      </c>
      <c r="B40" s="12">
        <f>'Mid Sem'!A40</f>
      </c>
      <c r="C40" s="21"/>
      <c r="D40" s="21"/>
      <c r="E40" s="21"/>
      <c r="F40" s="21"/>
      <c r="G40" s="21"/>
      <c r="H40" s="21"/>
      <c r="I40" s="2"/>
      <c r="J40" s="2"/>
      <c r="K40" s="2"/>
      <c r="L40" s="2"/>
      <c r="M40" s="2"/>
      <c r="N40" s="21"/>
      <c r="O40" s="2"/>
    </row>
    <row x14ac:dyDescent="0.25" r="41" customHeight="1" ht="18.75">
      <c r="A41" s="20">
        <f>'Mid Sem'!B41</f>
      </c>
      <c r="B41" s="12">
        <f>'Mid Sem'!A41</f>
      </c>
      <c r="C41" s="21"/>
      <c r="D41" s="21"/>
      <c r="E41" s="21"/>
      <c r="F41" s="21"/>
      <c r="G41" s="21"/>
      <c r="H41" s="21"/>
      <c r="I41" s="2"/>
      <c r="J41" s="2"/>
      <c r="K41" s="2"/>
      <c r="L41" s="2"/>
      <c r="M41" s="2"/>
      <c r="N41" s="21"/>
      <c r="O41" s="2"/>
    </row>
    <row x14ac:dyDescent="0.25" r="42" customHeight="1" ht="18.75">
      <c r="A42" s="20">
        <f>'Mid Sem'!B42</f>
      </c>
      <c r="B42" s="12">
        <f>'Mid Sem'!A42</f>
      </c>
      <c r="C42" s="21"/>
      <c r="D42" s="21"/>
      <c r="E42" s="21"/>
      <c r="F42" s="21"/>
      <c r="G42" s="21"/>
      <c r="H42" s="21"/>
      <c r="I42" s="2"/>
      <c r="J42" s="2"/>
      <c r="K42" s="2"/>
      <c r="L42" s="2"/>
      <c r="M42" s="2"/>
      <c r="N42" s="21"/>
      <c r="O42" s="2"/>
    </row>
    <row x14ac:dyDescent="0.25" r="43" customHeight="1" ht="18.75">
      <c r="A43" s="20">
        <f>'Mid Sem'!B43</f>
      </c>
      <c r="B43" s="12">
        <f>'Mid Sem'!A43</f>
      </c>
      <c r="C43" s="21"/>
      <c r="D43" s="21"/>
      <c r="E43" s="21"/>
      <c r="F43" s="21"/>
      <c r="G43" s="21"/>
      <c r="H43" s="21"/>
      <c r="I43" s="2"/>
      <c r="J43" s="2"/>
      <c r="K43" s="2"/>
      <c r="L43" s="2"/>
      <c r="M43" s="2"/>
      <c r="N43" s="21"/>
      <c r="O43" s="2"/>
    </row>
    <row x14ac:dyDescent="0.25" r="44" customHeight="1" ht="18.75">
      <c r="A44" s="20">
        <f>'Mid Sem'!B44</f>
      </c>
      <c r="B44" s="12">
        <f>'Mid Sem'!A44</f>
      </c>
      <c r="C44" s="21"/>
      <c r="D44" s="21"/>
      <c r="E44" s="21"/>
      <c r="F44" s="21"/>
      <c r="G44" s="21"/>
      <c r="H44" s="21"/>
      <c r="I44" s="2"/>
      <c r="J44" s="2"/>
      <c r="K44" s="2"/>
      <c r="L44" s="2"/>
      <c r="M44" s="2"/>
      <c r="N44" s="21"/>
      <c r="O44" s="2"/>
    </row>
    <row x14ac:dyDescent="0.25" r="45" customHeight="1" ht="18.75">
      <c r="A45" s="20">
        <f>'Mid Sem'!B45</f>
      </c>
      <c r="B45" s="12">
        <f>'Mid Sem'!A45</f>
      </c>
      <c r="C45" s="21"/>
      <c r="D45" s="21"/>
      <c r="E45" s="21"/>
      <c r="F45" s="21"/>
      <c r="G45" s="21"/>
      <c r="H45" s="21"/>
      <c r="I45" s="2"/>
      <c r="J45" s="2"/>
      <c r="K45" s="2"/>
      <c r="L45" s="2"/>
      <c r="M45" s="2"/>
      <c r="N45" s="21"/>
      <c r="O45" s="2"/>
    </row>
    <row x14ac:dyDescent="0.25" r="46" customHeight="1" ht="18.75">
      <c r="A46" s="20">
        <f>'Mid Sem'!B46</f>
      </c>
      <c r="B46" s="12">
        <f>'Mid Sem'!A46</f>
      </c>
      <c r="C46" s="21"/>
      <c r="D46" s="21"/>
      <c r="E46" s="21"/>
      <c r="F46" s="21"/>
      <c r="G46" s="21"/>
      <c r="H46" s="21"/>
      <c r="I46" s="2"/>
      <c r="J46" s="2"/>
      <c r="K46" s="2"/>
      <c r="L46" s="2"/>
      <c r="M46" s="2"/>
      <c r="N46" s="21"/>
      <c r="O46" s="2"/>
    </row>
    <row x14ac:dyDescent="0.25" r="47" customHeight="1" ht="18.75">
      <c r="A47" s="20">
        <f>'Mid Sem'!B47</f>
      </c>
      <c r="B47" s="12">
        <f>'Mid Sem'!A47</f>
      </c>
      <c r="C47" s="21"/>
      <c r="D47" s="21"/>
      <c r="E47" s="21"/>
      <c r="F47" s="21"/>
      <c r="G47" s="21"/>
      <c r="H47" s="21"/>
      <c r="I47" s="2"/>
      <c r="J47" s="2"/>
      <c r="K47" s="2"/>
      <c r="L47" s="2"/>
      <c r="M47" s="2"/>
      <c r="N47" s="21"/>
      <c r="O47" s="2"/>
    </row>
    <row x14ac:dyDescent="0.25" r="48" customHeight="1" ht="18.75">
      <c r="A48" s="20">
        <f>'Mid Sem'!B48</f>
      </c>
      <c r="B48" s="12">
        <f>'Mid Sem'!A48</f>
      </c>
      <c r="C48" s="21"/>
      <c r="D48" s="21"/>
      <c r="E48" s="21"/>
      <c r="F48" s="21"/>
      <c r="G48" s="21"/>
      <c r="H48" s="21"/>
      <c r="I48" s="2"/>
      <c r="J48" s="2"/>
      <c r="K48" s="2"/>
      <c r="L48" s="2"/>
      <c r="M48" s="2"/>
      <c r="N48" s="21"/>
      <c r="O48" s="2"/>
    </row>
    <row x14ac:dyDescent="0.25" r="49" customHeight="1" ht="18.75">
      <c r="A49" s="20">
        <f>'Mid Sem'!B49</f>
      </c>
      <c r="B49" s="12">
        <f>'Mid Sem'!A49</f>
      </c>
      <c r="C49" s="21"/>
      <c r="D49" s="21"/>
      <c r="E49" s="21"/>
      <c r="F49" s="21"/>
      <c r="G49" s="21"/>
      <c r="H49" s="21"/>
      <c r="I49" s="2"/>
      <c r="J49" s="2"/>
      <c r="K49" s="2"/>
      <c r="L49" s="2"/>
      <c r="M49" s="2"/>
      <c r="N49" s="21"/>
      <c r="O49" s="2"/>
    </row>
    <row x14ac:dyDescent="0.25" r="50" customHeight="1" ht="18.75">
      <c r="A50" s="20">
        <f>'Mid Sem'!B50</f>
      </c>
      <c r="B50" s="12">
        <f>'Mid Sem'!A50</f>
      </c>
      <c r="C50" s="21"/>
      <c r="D50" s="21"/>
      <c r="E50" s="21"/>
      <c r="F50" s="21"/>
      <c r="G50" s="21"/>
      <c r="H50" s="21"/>
      <c r="I50" s="2"/>
      <c r="J50" s="2"/>
      <c r="K50" s="2"/>
      <c r="L50" s="2"/>
      <c r="M50" s="2"/>
      <c r="N50" s="21"/>
      <c r="O50" s="2"/>
    </row>
    <row x14ac:dyDescent="0.25" r="51" customHeight="1" ht="18.75">
      <c r="A51" s="20">
        <f>'Mid Sem'!B51</f>
      </c>
      <c r="B51" s="12">
        <f>'Mid Sem'!A51</f>
      </c>
      <c r="C51" s="21"/>
      <c r="D51" s="21"/>
      <c r="E51" s="21"/>
      <c r="F51" s="21"/>
      <c r="G51" s="21"/>
      <c r="H51" s="21"/>
      <c r="I51" s="2"/>
      <c r="J51" s="2"/>
      <c r="K51" s="2"/>
      <c r="L51" s="2"/>
      <c r="M51" s="2"/>
      <c r="N51" s="21"/>
      <c r="O51" s="2"/>
    </row>
    <row x14ac:dyDescent="0.25" r="52" customHeight="1" ht="18.75">
      <c r="A52" s="20">
        <f>'Mid Sem'!B52</f>
      </c>
      <c r="B52" s="12">
        <f>'Mid Sem'!A52</f>
      </c>
      <c r="C52" s="21"/>
      <c r="D52" s="21"/>
      <c r="E52" s="21"/>
      <c r="F52" s="21"/>
      <c r="G52" s="21"/>
      <c r="H52" s="21"/>
      <c r="I52" s="2"/>
      <c r="J52" s="2"/>
      <c r="K52" s="2"/>
      <c r="L52" s="2"/>
      <c r="M52" s="2"/>
      <c r="N52" s="21"/>
      <c r="O52" s="2"/>
    </row>
    <row x14ac:dyDescent="0.25" r="53" customHeight="1" ht="18.75">
      <c r="A53" s="20">
        <f>'Mid Sem'!B53</f>
      </c>
      <c r="B53" s="12">
        <f>'Mid Sem'!A53</f>
      </c>
      <c r="C53" s="21"/>
      <c r="D53" s="21"/>
      <c r="E53" s="21"/>
      <c r="F53" s="21"/>
      <c r="G53" s="21"/>
      <c r="H53" s="21"/>
      <c r="I53" s="2"/>
      <c r="J53" s="2"/>
      <c r="K53" s="2"/>
      <c r="L53" s="2"/>
      <c r="M53" s="2"/>
      <c r="N53" s="21"/>
      <c r="O53" s="2"/>
    </row>
    <row x14ac:dyDescent="0.25" r="54" customHeight="1" ht="18.75">
      <c r="A54" s="20">
        <f>'Mid Sem'!B54</f>
      </c>
      <c r="B54" s="12">
        <f>'Mid Sem'!A54</f>
      </c>
      <c r="C54" s="21"/>
      <c r="D54" s="21"/>
      <c r="E54" s="21"/>
      <c r="F54" s="21"/>
      <c r="G54" s="21"/>
      <c r="H54" s="21"/>
      <c r="I54" s="2"/>
      <c r="J54" s="2"/>
      <c r="K54" s="2"/>
      <c r="L54" s="2"/>
      <c r="M54" s="2"/>
      <c r="N54" s="21"/>
      <c r="O54" s="2"/>
    </row>
    <row x14ac:dyDescent="0.25" r="55" customHeight="1" ht="18.75">
      <c r="A55" s="20">
        <f>'Mid Sem'!B55</f>
      </c>
      <c r="B55" s="12">
        <f>'Mid Sem'!A55</f>
      </c>
      <c r="C55" s="21"/>
      <c r="D55" s="21"/>
      <c r="E55" s="21"/>
      <c r="F55" s="21"/>
      <c r="G55" s="21"/>
      <c r="H55" s="21"/>
      <c r="I55" s="2"/>
      <c r="J55" s="2"/>
      <c r="K55" s="2"/>
      <c r="L55" s="2"/>
      <c r="M55" s="2"/>
      <c r="N55" s="21"/>
      <c r="O55" s="2"/>
    </row>
    <row x14ac:dyDescent="0.25" r="56" customHeight="1" ht="18.75">
      <c r="A56" s="20">
        <f>'Mid Sem'!B56</f>
      </c>
      <c r="B56" s="12">
        <f>'Mid Sem'!A56</f>
      </c>
      <c r="C56" s="21"/>
      <c r="D56" s="21"/>
      <c r="E56" s="21"/>
      <c r="F56" s="21"/>
      <c r="G56" s="21"/>
      <c r="H56" s="21"/>
      <c r="I56" s="2"/>
      <c r="J56" s="2"/>
      <c r="K56" s="2"/>
      <c r="L56" s="2"/>
      <c r="M56" s="2"/>
      <c r="N56" s="21"/>
      <c r="O56" s="2"/>
    </row>
    <row x14ac:dyDescent="0.25" r="57" customHeight="1" ht="18.75">
      <c r="A57" s="20">
        <f>'Mid Sem'!B57</f>
      </c>
      <c r="B57" s="12">
        <f>'Mid Sem'!A57</f>
      </c>
      <c r="C57" s="21"/>
      <c r="D57" s="21"/>
      <c r="E57" s="21"/>
      <c r="F57" s="21"/>
      <c r="G57" s="21"/>
      <c r="H57" s="21"/>
      <c r="I57" s="2"/>
      <c r="J57" s="2"/>
      <c r="K57" s="2"/>
      <c r="L57" s="2"/>
      <c r="M57" s="2"/>
      <c r="N57" s="21"/>
      <c r="O57" s="2"/>
    </row>
    <row x14ac:dyDescent="0.25" r="58" customHeight="1" ht="18.75">
      <c r="A58" s="20">
        <f>'Mid Sem'!B58</f>
      </c>
      <c r="B58" s="12">
        <f>'Mid Sem'!A58</f>
      </c>
      <c r="C58" s="21"/>
      <c r="D58" s="21"/>
      <c r="E58" s="21"/>
      <c r="F58" s="21"/>
      <c r="G58" s="21"/>
      <c r="H58" s="21"/>
      <c r="I58" s="2"/>
      <c r="J58" s="2"/>
      <c r="K58" s="2"/>
      <c r="L58" s="2"/>
      <c r="M58" s="2"/>
      <c r="N58" s="21"/>
      <c r="O58" s="2"/>
    </row>
    <row x14ac:dyDescent="0.25" r="59" customHeight="1" ht="18.75">
      <c r="A59" s="20">
        <f>'Mid Sem'!B59</f>
      </c>
      <c r="B59" s="12">
        <f>'Mid Sem'!A59</f>
      </c>
      <c r="C59" s="21"/>
      <c r="D59" s="21"/>
      <c r="E59" s="21"/>
      <c r="F59" s="21"/>
      <c r="G59" s="21"/>
      <c r="H59" s="21"/>
      <c r="I59" s="2"/>
      <c r="J59" s="2"/>
      <c r="K59" s="2"/>
      <c r="L59" s="2"/>
      <c r="M59" s="2"/>
      <c r="N59" s="21"/>
      <c r="O59" s="2"/>
    </row>
    <row x14ac:dyDescent="0.25" r="60" customHeight="1" ht="18.75">
      <c r="A60" s="20">
        <f>'Mid Sem'!B60</f>
      </c>
      <c r="B60" s="12">
        <f>'Mid Sem'!A60</f>
      </c>
      <c r="C60" s="21"/>
      <c r="D60" s="21"/>
      <c r="E60" s="21"/>
      <c r="F60" s="21"/>
      <c r="G60" s="21"/>
      <c r="H60" s="21"/>
      <c r="I60" s="2"/>
      <c r="J60" s="2"/>
      <c r="K60" s="2"/>
      <c r="L60" s="2"/>
      <c r="M60" s="2"/>
      <c r="N60" s="21"/>
      <c r="O60" s="2"/>
    </row>
    <row x14ac:dyDescent="0.25" r="61" customHeight="1" ht="18.75">
      <c r="A61" s="20">
        <f>'Mid Sem'!B61</f>
      </c>
      <c r="B61" s="12">
        <f>'Mid Sem'!A61</f>
      </c>
      <c r="C61" s="21"/>
      <c r="D61" s="21"/>
      <c r="E61" s="21"/>
      <c r="F61" s="21"/>
      <c r="G61" s="21"/>
      <c r="H61" s="21"/>
      <c r="I61" s="2"/>
      <c r="J61" s="2"/>
      <c r="K61" s="2"/>
      <c r="L61" s="2"/>
      <c r="M61" s="2"/>
      <c r="N61" s="21"/>
      <c r="O61" s="2"/>
    </row>
    <row x14ac:dyDescent="0.25" r="62" customHeight="1" ht="18.75">
      <c r="A62" s="20">
        <f>'Mid Sem'!B62</f>
      </c>
      <c r="B62" s="12">
        <f>'Mid Sem'!A62</f>
      </c>
      <c r="C62" s="21"/>
      <c r="D62" s="21"/>
      <c r="E62" s="21"/>
      <c r="F62" s="21"/>
      <c r="G62" s="21"/>
      <c r="H62" s="21"/>
      <c r="I62" s="2"/>
      <c r="J62" s="2"/>
      <c r="K62" s="2"/>
      <c r="L62" s="2"/>
      <c r="M62" s="2"/>
      <c r="N62" s="21"/>
      <c r="O62" s="2"/>
    </row>
    <row x14ac:dyDescent="0.25" r="63" customHeight="1" ht="18.75">
      <c r="A63" s="20">
        <f>'Mid Sem'!B63</f>
      </c>
      <c r="B63" s="12">
        <f>'Mid Sem'!A63</f>
      </c>
      <c r="C63" s="21"/>
      <c r="D63" s="21"/>
      <c r="E63" s="21"/>
      <c r="F63" s="21"/>
      <c r="G63" s="21"/>
      <c r="H63" s="21"/>
      <c r="I63" s="2"/>
      <c r="J63" s="2"/>
      <c r="K63" s="2"/>
      <c r="L63" s="2"/>
      <c r="M63" s="2"/>
      <c r="N63" s="21"/>
      <c r="O63" s="2"/>
    </row>
    <row x14ac:dyDescent="0.25" r="64" customHeight="1" ht="18.75">
      <c r="A64" s="20">
        <f>'Mid Sem'!B64</f>
      </c>
      <c r="B64" s="12">
        <f>'Mid Sem'!A64</f>
      </c>
      <c r="C64" s="21"/>
      <c r="D64" s="21"/>
      <c r="E64" s="21"/>
      <c r="F64" s="21"/>
      <c r="G64" s="21"/>
      <c r="H64" s="21"/>
      <c r="I64" s="2"/>
      <c r="J64" s="2"/>
      <c r="K64" s="2"/>
      <c r="L64" s="2"/>
      <c r="M64" s="2"/>
      <c r="N64" s="21"/>
      <c r="O64" s="2"/>
    </row>
    <row x14ac:dyDescent="0.25" r="65" customHeight="1" ht="18.75">
      <c r="A65" s="20">
        <f>'Mid Sem'!B65</f>
      </c>
      <c r="B65" s="20">
        <f>'Mid Sem'!A65</f>
      </c>
      <c r="C65" s="21"/>
      <c r="D65" s="21"/>
      <c r="E65" s="21"/>
      <c r="F65" s="21"/>
      <c r="G65" s="21"/>
      <c r="H65" s="21"/>
      <c r="I65" s="2"/>
      <c r="J65" s="2"/>
      <c r="K65" s="2"/>
      <c r="L65" s="2"/>
      <c r="M65" s="2"/>
      <c r="N65" s="21"/>
      <c r="O65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65"/>
  <sheetViews>
    <sheetView workbookViewId="0"/>
  </sheetViews>
  <sheetFormatPr defaultRowHeight="15" x14ac:dyDescent="0.25"/>
  <cols>
    <col min="1" max="1" style="22" width="19.005" customWidth="1" bestFit="1"/>
    <col min="2" max="2" style="5" width="24.290714285714284" customWidth="1" bestFit="1"/>
    <col min="3" max="3" style="22" width="4.576428571428571" customWidth="1" bestFit="1"/>
    <col min="4" max="4" style="22" width="4.576428571428571" customWidth="1" bestFit="1"/>
    <col min="5" max="5" style="22" width="4.576428571428571" customWidth="1" bestFit="1"/>
    <col min="6" max="6" style="22" width="4.576428571428571" customWidth="1" bestFit="1"/>
    <col min="7" max="7" style="22" width="4.576428571428571" customWidth="1" bestFit="1"/>
    <col min="8" max="8" style="22" width="4.576428571428571" customWidth="1" bestFit="1"/>
    <col min="9" max="9" style="22" width="4.576428571428571" customWidth="1" bestFit="1"/>
    <col min="10" max="10" style="22" width="4.576428571428571" customWidth="1" bestFit="1"/>
    <col min="11" max="11" style="22" width="4.576428571428571" customWidth="1" bestFit="1"/>
    <col min="12" max="12" style="22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10.862142857142858" customWidth="1" bestFit="1"/>
    <col min="16" max="16" style="5" width="13.576428571428572" customWidth="1" bestFit="1"/>
    <col min="17" max="17" style="5" width="13.576428571428572" customWidth="1" bestFit="1"/>
    <col min="18" max="18" style="22" width="13.576428571428572" customWidth="1" bestFit="1"/>
    <col min="19" max="19" style="22" width="13.576428571428572" customWidth="1" bestFit="1"/>
    <col min="20" max="20" style="22" width="13.576428571428572" customWidth="1" bestFit="1"/>
  </cols>
  <sheetData>
    <row x14ac:dyDescent="0.25" r="1" customHeight="1" ht="18.75">
      <c r="A1" s="8" t="s">
        <v>150</v>
      </c>
      <c r="B1" s="9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8"/>
      <c r="O1" s="9"/>
      <c r="P1" s="2"/>
      <c r="Q1" s="2"/>
      <c r="R1" s="21"/>
      <c r="S1" s="21"/>
      <c r="T1" s="21"/>
    </row>
    <row x14ac:dyDescent="0.25" r="2" customHeight="1" ht="18.75">
      <c r="A2" s="8">
        <f>Marksheet!A2</f>
      </c>
      <c r="B2" s="11"/>
      <c r="C2" s="10"/>
      <c r="D2" s="10"/>
      <c r="E2" s="10"/>
      <c r="F2" s="10"/>
      <c r="G2" s="10"/>
      <c r="H2" s="10"/>
      <c r="I2" s="10"/>
      <c r="J2" s="10"/>
      <c r="K2" s="10"/>
      <c r="L2" s="10"/>
      <c r="M2" s="11"/>
      <c r="N2" s="10"/>
      <c r="O2" s="11"/>
      <c r="P2" s="2"/>
      <c r="Q2" s="2"/>
      <c r="R2" s="21"/>
      <c r="S2" s="21"/>
      <c r="T2" s="21"/>
    </row>
    <row x14ac:dyDescent="0.25" r="3" customHeight="1" ht="18.75">
      <c r="A3" s="12"/>
      <c r="B3" s="14"/>
      <c r="C3" s="24" t="s">
        <v>130</v>
      </c>
      <c r="D3" s="24" t="s">
        <v>130</v>
      </c>
      <c r="E3" s="24" t="s">
        <v>130</v>
      </c>
      <c r="F3" s="24" t="s">
        <v>130</v>
      </c>
      <c r="G3" s="24" t="s">
        <v>130</v>
      </c>
      <c r="H3" s="24" t="s">
        <v>131</v>
      </c>
      <c r="I3" s="24" t="s">
        <v>131</v>
      </c>
      <c r="J3" s="24" t="s">
        <v>131</v>
      </c>
      <c r="K3" s="24" t="s">
        <v>131</v>
      </c>
      <c r="L3" s="24" t="s">
        <v>131</v>
      </c>
      <c r="M3" s="13"/>
      <c r="N3" s="12"/>
      <c r="O3" s="14"/>
      <c r="P3" s="2"/>
      <c r="Q3" s="2"/>
      <c r="R3" s="24" t="s">
        <v>130</v>
      </c>
      <c r="S3" s="24" t="s">
        <v>131</v>
      </c>
      <c r="T3" s="21"/>
    </row>
    <row x14ac:dyDescent="0.25" r="4" customHeight="1" ht="18.75">
      <c r="A4" s="15" t="s">
        <v>134</v>
      </c>
      <c r="B4" s="16" t="s">
        <v>1</v>
      </c>
      <c r="C4" s="15" t="s">
        <v>135</v>
      </c>
      <c r="D4" s="15" t="s">
        <v>136</v>
      </c>
      <c r="E4" s="15" t="s">
        <v>137</v>
      </c>
      <c r="F4" s="15" t="s">
        <v>138</v>
      </c>
      <c r="G4" s="15" t="s">
        <v>139</v>
      </c>
      <c r="H4" s="15" t="s">
        <v>140</v>
      </c>
      <c r="I4" s="15" t="s">
        <v>141</v>
      </c>
      <c r="J4" s="15" t="s">
        <v>142</v>
      </c>
      <c r="K4" s="15" t="s">
        <v>143</v>
      </c>
      <c r="L4" s="15" t="s">
        <v>144</v>
      </c>
      <c r="M4" s="16"/>
      <c r="N4" s="15" t="s">
        <v>146</v>
      </c>
      <c r="O4" s="16" t="s">
        <v>147</v>
      </c>
      <c r="P4" s="2"/>
      <c r="Q4" s="2"/>
      <c r="R4" s="15"/>
      <c r="S4" s="15"/>
      <c r="T4" s="15" t="s">
        <v>146</v>
      </c>
    </row>
    <row x14ac:dyDescent="0.25" r="5" customHeight="1" ht="18.75">
      <c r="A5" s="17"/>
      <c r="B5" s="18" t="s">
        <v>148</v>
      </c>
      <c r="C5" s="19">
        <v>20</v>
      </c>
      <c r="D5" s="19">
        <v>20</v>
      </c>
      <c r="E5" s="19">
        <v>20</v>
      </c>
      <c r="F5" s="19">
        <v>20</v>
      </c>
      <c r="G5" s="19">
        <v>15</v>
      </c>
      <c r="H5" s="19">
        <v>20</v>
      </c>
      <c r="I5" s="19">
        <v>15</v>
      </c>
      <c r="J5" s="19">
        <v>5</v>
      </c>
      <c r="K5" s="19">
        <v>10</v>
      </c>
      <c r="L5" s="19">
        <v>5</v>
      </c>
      <c r="M5" s="18"/>
      <c r="N5" s="19">
        <f>SUM(C5:L5)</f>
      </c>
      <c r="O5" s="18"/>
      <c r="P5" s="2"/>
      <c r="Q5" s="2"/>
      <c r="R5" s="19">
        <f>SUM(C5:G5)</f>
      </c>
      <c r="S5" s="19">
        <f>SUM(H5:L5)</f>
      </c>
      <c r="T5" s="19">
        <f>SUM(R5:S5)</f>
      </c>
    </row>
    <row x14ac:dyDescent="0.25" r="6" customHeight="1" ht="18.75">
      <c r="A6" s="20">
        <f>'Mid Sem'!B6</f>
      </c>
      <c r="B6" s="25">
        <f>'Mid Sem'!A6</f>
      </c>
      <c r="C6" s="20">
        <v>20</v>
      </c>
      <c r="D6" s="20">
        <v>20</v>
      </c>
      <c r="E6" s="20">
        <v>18</v>
      </c>
      <c r="F6" s="20">
        <v>18</v>
      </c>
      <c r="G6" s="20">
        <v>15</v>
      </c>
      <c r="H6" s="20">
        <v>19</v>
      </c>
      <c r="I6" s="20">
        <v>15</v>
      </c>
      <c r="J6" s="20">
        <v>5</v>
      </c>
      <c r="K6" s="20">
        <v>10</v>
      </c>
      <c r="L6" s="20">
        <v>5</v>
      </c>
      <c r="M6" s="14"/>
      <c r="N6" s="19">
        <f>SUM(C6:L6)</f>
      </c>
      <c r="O6" s="14"/>
      <c r="P6" s="2"/>
      <c r="Q6" s="2"/>
      <c r="R6" s="19">
        <f>SUM(C6:G6)</f>
      </c>
      <c r="S6" s="19">
        <f>SUM(H6:L6)</f>
      </c>
      <c r="T6" s="19">
        <f>SUM(R6:S6)</f>
      </c>
    </row>
    <row x14ac:dyDescent="0.25" r="7" customHeight="1" ht="18.75">
      <c r="A7" s="20">
        <f>'Mid Sem'!B7</f>
      </c>
      <c r="B7" s="25">
        <f>'Mid Sem'!A7</f>
      </c>
      <c r="C7" s="20">
        <v>18</v>
      </c>
      <c r="D7" s="20">
        <v>20</v>
      </c>
      <c r="E7" s="20">
        <v>20</v>
      </c>
      <c r="F7" s="20">
        <v>13</v>
      </c>
      <c r="G7" s="20">
        <v>15</v>
      </c>
      <c r="H7" s="20">
        <v>19</v>
      </c>
      <c r="I7" s="20">
        <v>15</v>
      </c>
      <c r="J7" s="20">
        <v>5</v>
      </c>
      <c r="K7" s="20">
        <v>10</v>
      </c>
      <c r="L7" s="20">
        <v>5</v>
      </c>
      <c r="M7" s="14"/>
      <c r="N7" s="19">
        <f>SUM(C7:L7)</f>
      </c>
      <c r="O7" s="14"/>
      <c r="P7" s="2"/>
      <c r="Q7" s="2"/>
      <c r="R7" s="19">
        <f>SUM(C7:G7)</f>
      </c>
      <c r="S7" s="19">
        <f>SUM(H7:L7)</f>
      </c>
      <c r="T7" s="19">
        <f>SUM(R7:S7)</f>
      </c>
    </row>
    <row x14ac:dyDescent="0.25" r="8" customHeight="1" ht="18.75">
      <c r="A8" s="20">
        <f>'Mid Sem'!B8</f>
      </c>
      <c r="B8" s="25">
        <f>'Mid Sem'!A8</f>
      </c>
      <c r="C8" s="20">
        <v>18</v>
      </c>
      <c r="D8" s="20">
        <v>18</v>
      </c>
      <c r="E8" s="20">
        <v>20</v>
      </c>
      <c r="F8" s="20">
        <v>18</v>
      </c>
      <c r="G8" s="20">
        <v>14</v>
      </c>
      <c r="H8" s="20">
        <v>19</v>
      </c>
      <c r="I8" s="20">
        <v>15</v>
      </c>
      <c r="J8" s="20">
        <v>5</v>
      </c>
      <c r="K8" s="20">
        <v>10</v>
      </c>
      <c r="L8" s="20">
        <v>5</v>
      </c>
      <c r="M8" s="14"/>
      <c r="N8" s="19">
        <f>SUM(C8:L8)</f>
      </c>
      <c r="O8" s="14"/>
      <c r="P8" s="2"/>
      <c r="Q8" s="2"/>
      <c r="R8" s="19">
        <f>SUM(C8:G8)</f>
      </c>
      <c r="S8" s="19">
        <f>SUM(H8:L8)</f>
      </c>
      <c r="T8" s="19">
        <f>SUM(R8:S8)</f>
      </c>
    </row>
    <row x14ac:dyDescent="0.25" r="9" customHeight="1" ht="18.75">
      <c r="A9" s="20">
        <f>'Mid Sem'!B9</f>
      </c>
      <c r="B9" s="25">
        <f>'Mid Sem'!A9</f>
      </c>
      <c r="C9" s="20">
        <v>20</v>
      </c>
      <c r="D9" s="20">
        <v>20</v>
      </c>
      <c r="E9" s="20">
        <v>20</v>
      </c>
      <c r="F9" s="20">
        <v>20</v>
      </c>
      <c r="G9" s="20">
        <v>15</v>
      </c>
      <c r="H9" s="20">
        <v>20</v>
      </c>
      <c r="I9" s="20">
        <v>15</v>
      </c>
      <c r="J9" s="20">
        <v>5</v>
      </c>
      <c r="K9" s="20">
        <v>10</v>
      </c>
      <c r="L9" s="20">
        <v>5</v>
      </c>
      <c r="M9" s="14"/>
      <c r="N9" s="19">
        <f>SUM(C9:L9)</f>
      </c>
      <c r="O9" s="14"/>
      <c r="P9" s="2"/>
      <c r="Q9" s="2"/>
      <c r="R9" s="19">
        <f>SUM(C9:G9)</f>
      </c>
      <c r="S9" s="19">
        <f>SUM(H9:L9)</f>
      </c>
      <c r="T9" s="19">
        <f>SUM(R9:S9)</f>
      </c>
    </row>
    <row x14ac:dyDescent="0.25" r="10" customHeight="1" ht="18.75">
      <c r="A10" s="20">
        <f>'Mid Sem'!B10</f>
      </c>
      <c r="B10" s="25">
        <f>'Mid Sem'!A10</f>
      </c>
      <c r="C10" s="20">
        <v>20</v>
      </c>
      <c r="D10" s="20">
        <v>20</v>
      </c>
      <c r="E10" s="20">
        <v>18</v>
      </c>
      <c r="F10" s="20">
        <v>15</v>
      </c>
      <c r="G10" s="20">
        <v>15</v>
      </c>
      <c r="H10" s="20">
        <v>19</v>
      </c>
      <c r="I10" s="20">
        <v>15</v>
      </c>
      <c r="J10" s="20">
        <v>5</v>
      </c>
      <c r="K10" s="20">
        <v>10</v>
      </c>
      <c r="L10" s="20">
        <v>5</v>
      </c>
      <c r="M10" s="14"/>
      <c r="N10" s="19">
        <f>SUM(C10:L10)</f>
      </c>
      <c r="O10" s="14"/>
      <c r="P10" s="2"/>
      <c r="Q10" s="2"/>
      <c r="R10" s="19">
        <f>SUM(C10:G10)</f>
      </c>
      <c r="S10" s="19">
        <f>SUM(H10:L10)</f>
      </c>
      <c r="T10" s="19">
        <f>SUM(R10:S10)</f>
      </c>
    </row>
    <row x14ac:dyDescent="0.25" r="11" customHeight="1" ht="18.75">
      <c r="A11" s="20">
        <f>'Mid Sem'!B11</f>
      </c>
      <c r="B11" s="25">
        <f>'Mid Sem'!A11</f>
      </c>
      <c r="C11" s="20">
        <v>18</v>
      </c>
      <c r="D11" s="20">
        <v>18</v>
      </c>
      <c r="E11" s="20">
        <v>20</v>
      </c>
      <c r="F11" s="20">
        <v>16</v>
      </c>
      <c r="G11" s="20">
        <v>13</v>
      </c>
      <c r="H11" s="20">
        <v>19</v>
      </c>
      <c r="I11" s="20">
        <v>14</v>
      </c>
      <c r="J11" s="20">
        <v>5</v>
      </c>
      <c r="K11" s="20">
        <v>8</v>
      </c>
      <c r="L11" s="20">
        <v>5</v>
      </c>
      <c r="M11" s="14"/>
      <c r="N11" s="19">
        <f>SUM(C11:L11)</f>
      </c>
      <c r="O11" s="14"/>
      <c r="P11" s="2"/>
      <c r="Q11" s="2"/>
      <c r="R11" s="19">
        <f>SUM(C11:G11)</f>
      </c>
      <c r="S11" s="19">
        <f>SUM(H11:L11)</f>
      </c>
      <c r="T11" s="19">
        <f>SUM(R11:S11)</f>
      </c>
    </row>
    <row x14ac:dyDescent="0.25" r="12" customHeight="1" ht="18.75">
      <c r="A12" s="20">
        <f>'Mid Sem'!B12</f>
      </c>
      <c r="B12" s="25">
        <f>'Mid Sem'!A12</f>
      </c>
      <c r="C12" s="20">
        <v>18</v>
      </c>
      <c r="D12" s="20">
        <v>19</v>
      </c>
      <c r="E12" s="20">
        <v>20</v>
      </c>
      <c r="F12" s="20">
        <v>18</v>
      </c>
      <c r="G12" s="20">
        <v>13</v>
      </c>
      <c r="H12" s="20">
        <v>18</v>
      </c>
      <c r="I12" s="20">
        <v>15</v>
      </c>
      <c r="J12" s="20">
        <v>5</v>
      </c>
      <c r="K12" s="20">
        <v>8</v>
      </c>
      <c r="L12" s="20">
        <v>5</v>
      </c>
      <c r="M12" s="14"/>
      <c r="N12" s="19">
        <f>SUM(C12:L12)</f>
      </c>
      <c r="O12" s="14"/>
      <c r="P12" s="2"/>
      <c r="Q12" s="2"/>
      <c r="R12" s="19">
        <f>SUM(C12:G12)</f>
      </c>
      <c r="S12" s="19">
        <f>SUM(H12:L12)</f>
      </c>
      <c r="T12" s="19">
        <f>SUM(R12:S12)</f>
      </c>
    </row>
    <row x14ac:dyDescent="0.25" r="13" customHeight="1" ht="18.75">
      <c r="A13" s="20">
        <f>'Mid Sem'!B13</f>
      </c>
      <c r="B13" s="25">
        <f>'Mid Sem'!A13</f>
      </c>
      <c r="C13" s="20">
        <v>18</v>
      </c>
      <c r="D13" s="20">
        <v>18</v>
      </c>
      <c r="E13" s="20">
        <v>20</v>
      </c>
      <c r="F13" s="20">
        <v>18</v>
      </c>
      <c r="G13" s="20">
        <v>13</v>
      </c>
      <c r="H13" s="20">
        <v>18</v>
      </c>
      <c r="I13" s="20">
        <v>15</v>
      </c>
      <c r="J13" s="20">
        <v>5</v>
      </c>
      <c r="K13" s="20">
        <v>8</v>
      </c>
      <c r="L13" s="20">
        <v>5</v>
      </c>
      <c r="M13" s="14"/>
      <c r="N13" s="19">
        <f>SUM(C13:L13)</f>
      </c>
      <c r="O13" s="14"/>
      <c r="P13" s="2"/>
      <c r="Q13" s="2"/>
      <c r="R13" s="19">
        <f>SUM(C13:G13)</f>
      </c>
      <c r="S13" s="19">
        <f>SUM(H13:L13)</f>
      </c>
      <c r="T13" s="19">
        <f>SUM(R13:S13)</f>
      </c>
    </row>
    <row x14ac:dyDescent="0.25" r="14" customHeight="1" ht="18.75">
      <c r="A14" s="20">
        <f>'Mid Sem'!B14</f>
      </c>
      <c r="B14" s="25">
        <f>'Mid Sem'!A14</f>
      </c>
      <c r="C14" s="20">
        <v>18</v>
      </c>
      <c r="D14" s="20">
        <v>20</v>
      </c>
      <c r="E14" s="20">
        <v>20</v>
      </c>
      <c r="F14" s="20">
        <v>18</v>
      </c>
      <c r="G14" s="20">
        <v>15</v>
      </c>
      <c r="H14" s="20">
        <v>20</v>
      </c>
      <c r="I14" s="20">
        <v>15</v>
      </c>
      <c r="J14" s="20">
        <v>5</v>
      </c>
      <c r="K14" s="20">
        <v>9</v>
      </c>
      <c r="L14" s="20">
        <v>5</v>
      </c>
      <c r="M14" s="14"/>
      <c r="N14" s="19">
        <f>SUM(C14:L14)</f>
      </c>
      <c r="O14" s="14"/>
      <c r="P14" s="2"/>
      <c r="Q14" s="2"/>
      <c r="R14" s="19">
        <f>SUM(C14:G14)</f>
      </c>
      <c r="S14" s="19">
        <f>SUM(H14:L14)</f>
      </c>
      <c r="T14" s="19">
        <f>SUM(R14:S14)</f>
      </c>
    </row>
    <row x14ac:dyDescent="0.25" r="15" customHeight="1" ht="18.75">
      <c r="A15" s="20">
        <f>'Mid Sem'!B15</f>
      </c>
      <c r="B15" s="25">
        <f>'Mid Sem'!A15</f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4"/>
      <c r="N15" s="19">
        <f>SUM(C15:L15)</f>
      </c>
      <c r="O15" s="14"/>
      <c r="P15" s="2"/>
      <c r="Q15" s="2"/>
      <c r="R15" s="19">
        <f>SUM(C15:G15)</f>
      </c>
      <c r="S15" s="19">
        <f>SUM(H15:L15)</f>
      </c>
      <c r="T15" s="19">
        <f>SUM(R15:S15)</f>
      </c>
    </row>
    <row x14ac:dyDescent="0.25" r="16" customHeight="1" ht="18.75">
      <c r="A16" s="20">
        <f>'Mid Sem'!B16</f>
      </c>
      <c r="B16" s="25">
        <f>'Mid Sem'!A16</f>
      </c>
      <c r="C16" s="20">
        <v>18</v>
      </c>
      <c r="D16" s="20">
        <v>20</v>
      </c>
      <c r="E16" s="20">
        <v>20</v>
      </c>
      <c r="F16" s="20">
        <v>12</v>
      </c>
      <c r="G16" s="20">
        <v>14</v>
      </c>
      <c r="H16" s="20">
        <v>19</v>
      </c>
      <c r="I16" s="20">
        <v>15</v>
      </c>
      <c r="J16" s="20">
        <v>5</v>
      </c>
      <c r="K16" s="20">
        <v>9</v>
      </c>
      <c r="L16" s="20">
        <v>5</v>
      </c>
      <c r="M16" s="14"/>
      <c r="N16" s="19">
        <f>SUM(C16:L16)</f>
      </c>
      <c r="O16" s="14"/>
      <c r="P16" s="2"/>
      <c r="Q16" s="2"/>
      <c r="R16" s="19">
        <f>SUM(C16:G16)</f>
      </c>
      <c r="S16" s="19">
        <f>SUM(H16:L16)</f>
      </c>
      <c r="T16" s="19">
        <f>SUM(R16:S16)</f>
      </c>
    </row>
    <row x14ac:dyDescent="0.25" r="17" customHeight="1" ht="18.75">
      <c r="A17" s="20">
        <f>'Mid Sem'!B17</f>
      </c>
      <c r="B17" s="25">
        <f>'Mid Sem'!A17</f>
      </c>
      <c r="C17" s="20">
        <v>19</v>
      </c>
      <c r="D17" s="20">
        <v>18</v>
      </c>
      <c r="E17" s="20">
        <v>20</v>
      </c>
      <c r="F17" s="20">
        <v>16</v>
      </c>
      <c r="G17" s="20">
        <v>13</v>
      </c>
      <c r="H17" s="20">
        <v>10</v>
      </c>
      <c r="I17" s="20">
        <v>10</v>
      </c>
      <c r="J17" s="20">
        <v>5</v>
      </c>
      <c r="K17" s="20">
        <v>4</v>
      </c>
      <c r="L17" s="20">
        <v>4</v>
      </c>
      <c r="M17" s="14"/>
      <c r="N17" s="19">
        <f>SUM(C17:L17)</f>
      </c>
      <c r="O17" s="14"/>
      <c r="P17" s="2"/>
      <c r="Q17" s="2"/>
      <c r="R17" s="19">
        <f>SUM(C17:G17)</f>
      </c>
      <c r="S17" s="19">
        <f>SUM(H17:L17)</f>
      </c>
      <c r="T17" s="19">
        <f>SUM(R17:S17)</f>
      </c>
    </row>
    <row x14ac:dyDescent="0.25" r="18" customHeight="1" ht="18.75">
      <c r="A18" s="20">
        <f>'Mid Sem'!B18</f>
      </c>
      <c r="B18" s="25">
        <f>'Mid Sem'!A18</f>
      </c>
      <c r="C18" s="20">
        <v>19</v>
      </c>
      <c r="D18" s="20">
        <v>18</v>
      </c>
      <c r="E18" s="20">
        <v>20</v>
      </c>
      <c r="F18" s="20">
        <v>18</v>
      </c>
      <c r="G18" s="20">
        <v>13</v>
      </c>
      <c r="H18" s="20">
        <v>19</v>
      </c>
      <c r="I18" s="20">
        <v>15</v>
      </c>
      <c r="J18" s="20">
        <v>5</v>
      </c>
      <c r="K18" s="20">
        <v>8</v>
      </c>
      <c r="L18" s="20">
        <v>5</v>
      </c>
      <c r="M18" s="14"/>
      <c r="N18" s="19">
        <f>SUM(C18:L18)</f>
      </c>
      <c r="O18" s="14"/>
      <c r="P18" s="2"/>
      <c r="Q18" s="2"/>
      <c r="R18" s="19">
        <f>SUM(C18:G18)</f>
      </c>
      <c r="S18" s="19">
        <f>SUM(H18:L18)</f>
      </c>
      <c r="T18" s="19">
        <f>SUM(R18:S18)</f>
      </c>
    </row>
    <row x14ac:dyDescent="0.25" r="19" customHeight="1" ht="18.75">
      <c r="A19" s="20">
        <f>'Mid Sem'!B19</f>
      </c>
      <c r="B19" s="25">
        <f>'Mid Sem'!A19</f>
      </c>
      <c r="C19" s="20">
        <v>20</v>
      </c>
      <c r="D19" s="20">
        <v>20</v>
      </c>
      <c r="E19" s="20">
        <v>20</v>
      </c>
      <c r="F19" s="20">
        <v>18</v>
      </c>
      <c r="G19" s="20">
        <v>15</v>
      </c>
      <c r="H19" s="20">
        <v>19</v>
      </c>
      <c r="I19" s="20">
        <v>15</v>
      </c>
      <c r="J19" s="20">
        <v>5</v>
      </c>
      <c r="K19" s="20">
        <v>10</v>
      </c>
      <c r="L19" s="20">
        <v>5</v>
      </c>
      <c r="M19" s="14"/>
      <c r="N19" s="19">
        <f>SUM(C19:L19)</f>
      </c>
      <c r="O19" s="14"/>
      <c r="P19" s="2"/>
      <c r="Q19" s="2"/>
      <c r="R19" s="19">
        <f>SUM(C19:G19)</f>
      </c>
      <c r="S19" s="19">
        <f>SUM(H19:L19)</f>
      </c>
      <c r="T19" s="19">
        <f>SUM(R19:S19)</f>
      </c>
    </row>
    <row x14ac:dyDescent="0.25" r="20" customHeight="1" ht="18.75">
      <c r="A20" s="20">
        <f>'Mid Sem'!B20</f>
      </c>
      <c r="B20" s="25">
        <f>'Mid Sem'!A20</f>
      </c>
      <c r="C20" s="20">
        <v>18</v>
      </c>
      <c r="D20" s="20">
        <v>18</v>
      </c>
      <c r="E20" s="20">
        <v>20</v>
      </c>
      <c r="F20" s="20">
        <v>17</v>
      </c>
      <c r="G20" s="20">
        <v>13</v>
      </c>
      <c r="H20" s="20">
        <v>17</v>
      </c>
      <c r="I20" s="20">
        <v>14</v>
      </c>
      <c r="J20" s="20">
        <v>5</v>
      </c>
      <c r="K20" s="20">
        <v>8</v>
      </c>
      <c r="L20" s="20">
        <v>5</v>
      </c>
      <c r="M20" s="14"/>
      <c r="N20" s="19">
        <f>SUM(C20:L20)</f>
      </c>
      <c r="O20" s="14"/>
      <c r="P20" s="2"/>
      <c r="Q20" s="2"/>
      <c r="R20" s="19">
        <f>SUM(C20:G20)</f>
      </c>
      <c r="S20" s="19">
        <f>SUM(H20:L20)</f>
      </c>
      <c r="T20" s="19">
        <f>SUM(R20:S20)</f>
      </c>
    </row>
    <row x14ac:dyDescent="0.25" r="21" customHeight="1" ht="18.75">
      <c r="A21" s="20">
        <f>'Mid Sem'!B21</f>
      </c>
      <c r="B21" s="25">
        <f>'Mid Sem'!A21</f>
      </c>
      <c r="C21" s="20">
        <v>20</v>
      </c>
      <c r="D21" s="20">
        <v>20</v>
      </c>
      <c r="E21" s="20">
        <v>20</v>
      </c>
      <c r="F21" s="20">
        <v>18</v>
      </c>
      <c r="G21" s="20">
        <v>13</v>
      </c>
      <c r="H21" s="20">
        <v>19</v>
      </c>
      <c r="I21" s="20">
        <v>15</v>
      </c>
      <c r="J21" s="20">
        <v>5</v>
      </c>
      <c r="K21" s="20">
        <v>8</v>
      </c>
      <c r="L21" s="20">
        <v>5</v>
      </c>
      <c r="M21" s="14"/>
      <c r="N21" s="19">
        <f>SUM(C21:L21)</f>
      </c>
      <c r="O21" s="14"/>
      <c r="P21" s="2"/>
      <c r="Q21" s="2"/>
      <c r="R21" s="19">
        <f>SUM(C21:G21)</f>
      </c>
      <c r="S21" s="19">
        <f>SUM(H21:L21)</f>
      </c>
      <c r="T21" s="19">
        <f>SUM(R21:S21)</f>
      </c>
    </row>
    <row x14ac:dyDescent="0.25" r="22" customHeight="1" ht="18.75">
      <c r="A22" s="20">
        <f>'Mid Sem'!B22</f>
      </c>
      <c r="B22" s="25">
        <f>'Mid Sem'!A22</f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4"/>
      <c r="N22" s="19">
        <f>SUM(C22:L22)</f>
      </c>
      <c r="O22" s="14"/>
      <c r="P22" s="2"/>
      <c r="Q22" s="2"/>
      <c r="R22" s="19">
        <f>SUM(C22:G22)</f>
      </c>
      <c r="S22" s="19">
        <f>SUM(H22:L22)</f>
      </c>
      <c r="T22" s="19">
        <f>SUM(R22:S22)</f>
      </c>
    </row>
    <row x14ac:dyDescent="0.25" r="23" customHeight="1" ht="18.75">
      <c r="A23" s="20">
        <f>'Mid Sem'!B23</f>
      </c>
      <c r="B23" s="25">
        <f>'Mid Sem'!A23</f>
      </c>
      <c r="C23" s="20">
        <v>19</v>
      </c>
      <c r="D23" s="20">
        <v>20</v>
      </c>
      <c r="E23" s="20">
        <v>19</v>
      </c>
      <c r="F23" s="20">
        <v>13</v>
      </c>
      <c r="G23" s="20">
        <v>15</v>
      </c>
      <c r="H23" s="20">
        <v>19</v>
      </c>
      <c r="I23" s="20">
        <v>13</v>
      </c>
      <c r="J23" s="20">
        <v>5</v>
      </c>
      <c r="K23" s="20">
        <v>10</v>
      </c>
      <c r="L23" s="20">
        <v>3</v>
      </c>
      <c r="M23" s="14"/>
      <c r="N23" s="19">
        <f>SUM(C23:L23)</f>
      </c>
      <c r="O23" s="14"/>
      <c r="P23" s="2"/>
      <c r="Q23" s="2"/>
      <c r="R23" s="19">
        <f>SUM(C23:G23)</f>
      </c>
      <c r="S23" s="19">
        <f>SUM(H23:L23)</f>
      </c>
      <c r="T23" s="19">
        <f>SUM(R23:S23)</f>
      </c>
    </row>
    <row x14ac:dyDescent="0.25" r="24" customHeight="1" ht="18.75">
      <c r="A24" s="20">
        <f>'Mid Sem'!B24</f>
      </c>
      <c r="B24" s="25">
        <f>'Mid Sem'!A24</f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4"/>
      <c r="N24" s="19">
        <f>SUM(C24:L24)</f>
      </c>
      <c r="O24" s="14"/>
      <c r="P24" s="2"/>
      <c r="Q24" s="2"/>
      <c r="R24" s="19">
        <f>SUM(C24:G24)</f>
      </c>
      <c r="S24" s="19">
        <f>SUM(H24:L24)</f>
      </c>
      <c r="T24" s="19">
        <f>SUM(R24:S24)</f>
      </c>
    </row>
    <row x14ac:dyDescent="0.25" r="25" customHeight="1" ht="18.75">
      <c r="A25" s="20">
        <f>'Mid Sem'!B25</f>
      </c>
      <c r="B25" s="25">
        <f>'Mid Sem'!A25</f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4"/>
      <c r="N25" s="19">
        <f>SUM(C25:L25)</f>
      </c>
      <c r="O25" s="14"/>
      <c r="P25" s="2"/>
      <c r="Q25" s="2"/>
      <c r="R25" s="19">
        <f>SUM(C25:G25)</f>
      </c>
      <c r="S25" s="19">
        <f>SUM(H25:L25)</f>
      </c>
      <c r="T25" s="19">
        <f>SUM(R25:S25)</f>
      </c>
    </row>
    <row x14ac:dyDescent="0.25" r="26" customHeight="1" ht="18.75">
      <c r="A26" s="20">
        <f>'Mid Sem'!B26</f>
      </c>
      <c r="B26" s="25">
        <f>'Mid Sem'!A26</f>
      </c>
      <c r="C26" s="20">
        <v>20</v>
      </c>
      <c r="D26" s="20">
        <v>20</v>
      </c>
      <c r="E26" s="20">
        <v>20</v>
      </c>
      <c r="F26" s="20">
        <v>18</v>
      </c>
      <c r="G26" s="20">
        <v>15</v>
      </c>
      <c r="H26" s="20">
        <v>20</v>
      </c>
      <c r="I26" s="20">
        <v>15</v>
      </c>
      <c r="J26" s="20">
        <v>5</v>
      </c>
      <c r="K26" s="20">
        <v>10</v>
      </c>
      <c r="L26" s="20">
        <v>5</v>
      </c>
      <c r="M26" s="14"/>
      <c r="N26" s="19">
        <f>SUM(C26:L26)</f>
      </c>
      <c r="O26" s="14"/>
      <c r="P26" s="2"/>
      <c r="Q26" s="2"/>
      <c r="R26" s="19">
        <f>SUM(C26:G26)</f>
      </c>
      <c r="S26" s="19">
        <f>SUM(H26:L26)</f>
      </c>
      <c r="T26" s="19">
        <f>SUM(R26:S26)</f>
      </c>
    </row>
    <row x14ac:dyDescent="0.25" r="27" customHeight="1" ht="18.75">
      <c r="A27" s="20">
        <f>'Mid Sem'!B27</f>
      </c>
      <c r="B27" s="25">
        <f>'Mid Sem'!A27</f>
      </c>
      <c r="C27" s="20">
        <v>18</v>
      </c>
      <c r="D27" s="20">
        <v>18</v>
      </c>
      <c r="E27" s="20">
        <v>20</v>
      </c>
      <c r="F27" s="20">
        <v>18</v>
      </c>
      <c r="G27" s="20">
        <v>13</v>
      </c>
      <c r="H27" s="20">
        <v>18</v>
      </c>
      <c r="I27" s="20">
        <v>15</v>
      </c>
      <c r="J27" s="20">
        <v>5</v>
      </c>
      <c r="K27" s="20">
        <v>8</v>
      </c>
      <c r="L27" s="20">
        <v>5</v>
      </c>
      <c r="M27" s="14"/>
      <c r="N27" s="19">
        <f>SUM(C27:L27)</f>
      </c>
      <c r="O27" s="14"/>
      <c r="P27" s="2"/>
      <c r="Q27" s="2"/>
      <c r="R27" s="19">
        <f>SUM(C27:G27)</f>
      </c>
      <c r="S27" s="19">
        <f>SUM(H27:L27)</f>
      </c>
      <c r="T27" s="19">
        <f>SUM(R27:S27)</f>
      </c>
    </row>
    <row x14ac:dyDescent="0.25" r="28" customHeight="1" ht="18.75">
      <c r="A28" s="20">
        <f>'Mid Sem'!B28</f>
      </c>
      <c r="B28" s="25">
        <f>'Mid Sem'!A28</f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4"/>
      <c r="N28" s="19">
        <f>SUM(C28:L28)</f>
      </c>
      <c r="O28" s="14"/>
      <c r="P28" s="2"/>
      <c r="Q28" s="2"/>
      <c r="R28" s="19">
        <f>SUM(C28:G28)</f>
      </c>
      <c r="S28" s="19">
        <f>SUM(H28:L28)</f>
      </c>
      <c r="T28" s="19">
        <f>SUM(R28:S28)</f>
      </c>
    </row>
    <row x14ac:dyDescent="0.25" r="29" customHeight="1" ht="18.75">
      <c r="A29" s="20">
        <f>'Mid Sem'!B29</f>
      </c>
      <c r="B29" s="25">
        <f>'Mid Sem'!A29</f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4"/>
      <c r="N29" s="19">
        <f>SUM(C29:L29)</f>
      </c>
      <c r="O29" s="14"/>
      <c r="P29" s="2"/>
      <c r="Q29" s="2"/>
      <c r="R29" s="19">
        <f>SUM(C29:G29)</f>
      </c>
      <c r="S29" s="19">
        <f>SUM(H29:L29)</f>
      </c>
      <c r="T29" s="19">
        <f>SUM(R29:S29)</f>
      </c>
    </row>
    <row x14ac:dyDescent="0.25" r="30" customHeight="1" ht="18.75">
      <c r="A30" s="20">
        <f>'Mid Sem'!B30</f>
      </c>
      <c r="B30" s="25">
        <f>'Mid Sem'!A30</f>
      </c>
      <c r="C30" s="20">
        <v>0</v>
      </c>
      <c r="D30" s="20">
        <v>0</v>
      </c>
      <c r="E30" s="20">
        <v>20</v>
      </c>
      <c r="F30" s="20">
        <v>16</v>
      </c>
      <c r="G30" s="20">
        <v>0</v>
      </c>
      <c r="H30" s="20">
        <v>0</v>
      </c>
      <c r="I30" s="20">
        <v>10</v>
      </c>
      <c r="J30" s="20">
        <v>0</v>
      </c>
      <c r="K30" s="20">
        <v>0</v>
      </c>
      <c r="L30" s="20">
        <v>5</v>
      </c>
      <c r="M30" s="14"/>
      <c r="N30" s="19">
        <f>SUM(C30:L30)</f>
      </c>
      <c r="O30" s="14"/>
      <c r="P30" s="2"/>
      <c r="Q30" s="2"/>
      <c r="R30" s="19">
        <f>SUM(C30:G30)</f>
      </c>
      <c r="S30" s="19">
        <f>SUM(H30:L30)</f>
      </c>
      <c r="T30" s="19">
        <f>SUM(R30:S30)</f>
      </c>
    </row>
    <row x14ac:dyDescent="0.25" r="31" customHeight="1" ht="18.75">
      <c r="A31" s="20">
        <f>'Mid Sem'!B31</f>
      </c>
      <c r="B31" s="25">
        <f>'Mid Sem'!A31</f>
      </c>
      <c r="C31" s="20">
        <v>18</v>
      </c>
      <c r="D31" s="20">
        <v>20</v>
      </c>
      <c r="E31" s="20">
        <v>20</v>
      </c>
      <c r="F31" s="20">
        <v>18</v>
      </c>
      <c r="G31" s="20">
        <v>15</v>
      </c>
      <c r="H31" s="20">
        <v>17</v>
      </c>
      <c r="I31" s="20">
        <v>12</v>
      </c>
      <c r="J31" s="20">
        <v>5</v>
      </c>
      <c r="K31" s="20">
        <v>10</v>
      </c>
      <c r="L31" s="20">
        <v>5</v>
      </c>
      <c r="M31" s="14"/>
      <c r="N31" s="19">
        <f>SUM(C31:L31)</f>
      </c>
      <c r="O31" s="14"/>
      <c r="P31" s="2"/>
      <c r="Q31" s="2"/>
      <c r="R31" s="19">
        <f>SUM(C31:G31)</f>
      </c>
      <c r="S31" s="19">
        <f>SUM(H31:L31)</f>
      </c>
      <c r="T31" s="19">
        <f>SUM(R31:S31)</f>
      </c>
    </row>
    <row x14ac:dyDescent="0.25" r="32" customHeight="1" ht="18.75">
      <c r="A32" s="20">
        <f>'Mid Sem'!B32</f>
      </c>
      <c r="B32" s="25">
        <f>'Mid Sem'!A32</f>
      </c>
      <c r="C32" s="20">
        <v>20</v>
      </c>
      <c r="D32" s="20">
        <v>20</v>
      </c>
      <c r="E32" s="20">
        <v>20</v>
      </c>
      <c r="F32" s="20">
        <v>18</v>
      </c>
      <c r="G32" s="20">
        <v>13</v>
      </c>
      <c r="H32" s="20">
        <v>20</v>
      </c>
      <c r="I32" s="20">
        <v>15</v>
      </c>
      <c r="J32" s="20">
        <v>5</v>
      </c>
      <c r="K32" s="20">
        <v>8</v>
      </c>
      <c r="L32" s="20">
        <v>5</v>
      </c>
      <c r="M32" s="14"/>
      <c r="N32" s="19">
        <f>SUM(C32:L32)</f>
      </c>
      <c r="O32" s="14"/>
      <c r="P32" s="2"/>
      <c r="Q32" s="2"/>
      <c r="R32" s="19">
        <f>SUM(C32:G32)</f>
      </c>
      <c r="S32" s="19">
        <f>SUM(H32:L32)</f>
      </c>
      <c r="T32" s="19">
        <f>SUM(R32:S32)</f>
      </c>
    </row>
    <row x14ac:dyDescent="0.25" r="33" customHeight="1" ht="18.75">
      <c r="A33" s="20">
        <f>'Mid Sem'!B33</f>
      </c>
      <c r="B33" s="25">
        <f>'Mid Sem'!A33</f>
      </c>
      <c r="C33" s="20">
        <v>18</v>
      </c>
      <c r="D33" s="20">
        <v>20</v>
      </c>
      <c r="E33" s="20">
        <v>20</v>
      </c>
      <c r="F33" s="20">
        <v>18</v>
      </c>
      <c r="G33" s="20">
        <v>15</v>
      </c>
      <c r="H33" s="20">
        <v>20</v>
      </c>
      <c r="I33" s="20">
        <v>15</v>
      </c>
      <c r="J33" s="20">
        <v>5</v>
      </c>
      <c r="K33" s="20">
        <v>10</v>
      </c>
      <c r="L33" s="20">
        <v>5</v>
      </c>
      <c r="M33" s="14"/>
      <c r="N33" s="19">
        <f>SUM(C33:L33)</f>
      </c>
      <c r="O33" s="14"/>
      <c r="P33" s="2"/>
      <c r="Q33" s="2"/>
      <c r="R33" s="19">
        <f>SUM(C33:G33)</f>
      </c>
      <c r="S33" s="19">
        <f>SUM(H33:L33)</f>
      </c>
      <c r="T33" s="19">
        <f>SUM(R33:S33)</f>
      </c>
    </row>
    <row x14ac:dyDescent="0.25" r="34" customHeight="1" ht="18.75">
      <c r="A34" s="20">
        <f>'Mid Sem'!B34</f>
      </c>
      <c r="B34" s="25">
        <f>'Mid Sem'!A34</f>
      </c>
      <c r="C34" s="20">
        <v>20</v>
      </c>
      <c r="D34" s="20">
        <v>20</v>
      </c>
      <c r="E34" s="20">
        <v>20</v>
      </c>
      <c r="F34" s="20">
        <v>20</v>
      </c>
      <c r="G34" s="20">
        <v>15</v>
      </c>
      <c r="H34" s="20">
        <v>20</v>
      </c>
      <c r="I34" s="20">
        <v>15</v>
      </c>
      <c r="J34" s="20">
        <v>5</v>
      </c>
      <c r="K34" s="20">
        <v>10</v>
      </c>
      <c r="L34" s="20">
        <v>5</v>
      </c>
      <c r="M34" s="14"/>
      <c r="N34" s="19">
        <f>SUM(C34:L34)</f>
      </c>
      <c r="O34" s="14"/>
      <c r="P34" s="2"/>
      <c r="Q34" s="2"/>
      <c r="R34" s="19">
        <f>SUM(C34:G34)</f>
      </c>
      <c r="S34" s="19">
        <f>SUM(H34:L34)</f>
      </c>
      <c r="T34" s="19">
        <f>SUM(R34:S34)</f>
      </c>
    </row>
    <row x14ac:dyDescent="0.25" r="35" customHeight="1" ht="18.75">
      <c r="A35" s="20">
        <f>'Mid Sem'!B35</f>
      </c>
      <c r="B35" s="25">
        <f>'Mid Sem'!A35</f>
      </c>
      <c r="C35" s="20">
        <v>18</v>
      </c>
      <c r="D35" s="20">
        <v>18</v>
      </c>
      <c r="E35" s="20">
        <v>20</v>
      </c>
      <c r="F35" s="20">
        <v>18</v>
      </c>
      <c r="G35" s="20">
        <v>13</v>
      </c>
      <c r="H35" s="20">
        <v>19</v>
      </c>
      <c r="I35" s="20">
        <v>12</v>
      </c>
      <c r="J35" s="20">
        <v>5</v>
      </c>
      <c r="K35" s="20">
        <v>8</v>
      </c>
      <c r="L35" s="20">
        <v>5</v>
      </c>
      <c r="M35" s="14"/>
      <c r="N35" s="19">
        <f>SUM(C35:L35)</f>
      </c>
      <c r="O35" s="14"/>
      <c r="P35" s="2"/>
      <c r="Q35" s="2"/>
      <c r="R35" s="19">
        <f>SUM(C35:G35)</f>
      </c>
      <c r="S35" s="19">
        <f>SUM(H35:L35)</f>
      </c>
      <c r="T35" s="19">
        <f>SUM(R35:S35)</f>
      </c>
    </row>
    <row x14ac:dyDescent="0.25" r="36" customHeight="1" ht="18.75">
      <c r="A36" s="20">
        <f>'Mid Sem'!B36</f>
      </c>
      <c r="B36" s="25">
        <f>'Mid Sem'!A36</f>
      </c>
      <c r="C36" s="20">
        <v>15</v>
      </c>
      <c r="D36" s="20">
        <v>18</v>
      </c>
      <c r="E36" s="20">
        <v>18</v>
      </c>
      <c r="F36" s="20">
        <v>16</v>
      </c>
      <c r="G36" s="20">
        <v>13</v>
      </c>
      <c r="H36" s="20">
        <v>19</v>
      </c>
      <c r="I36" s="20">
        <v>12</v>
      </c>
      <c r="J36" s="20">
        <v>5</v>
      </c>
      <c r="K36" s="20">
        <v>8</v>
      </c>
      <c r="L36" s="20">
        <v>5</v>
      </c>
      <c r="M36" s="14"/>
      <c r="N36" s="19">
        <f>SUM(C36:L36)</f>
      </c>
      <c r="O36" s="14"/>
      <c r="P36" s="2"/>
      <c r="Q36" s="2"/>
      <c r="R36" s="19">
        <f>SUM(C36:G36)</f>
      </c>
      <c r="S36" s="19">
        <f>SUM(H36:L36)</f>
      </c>
      <c r="T36" s="19">
        <f>SUM(R36:S36)</f>
      </c>
    </row>
    <row x14ac:dyDescent="0.25" r="37" customHeight="1" ht="18.75">
      <c r="A37" s="20">
        <f>'Mid Sem'!B37</f>
      </c>
      <c r="B37" s="25">
        <f>'Mid Sem'!A37</f>
      </c>
      <c r="C37" s="20">
        <v>18</v>
      </c>
      <c r="D37" s="20">
        <v>19</v>
      </c>
      <c r="E37" s="20">
        <v>20</v>
      </c>
      <c r="F37" s="20">
        <v>18</v>
      </c>
      <c r="G37" s="20">
        <v>15</v>
      </c>
      <c r="H37" s="20">
        <v>19</v>
      </c>
      <c r="I37" s="20">
        <v>15</v>
      </c>
      <c r="J37" s="20">
        <v>5</v>
      </c>
      <c r="K37" s="20">
        <v>10</v>
      </c>
      <c r="L37" s="20">
        <v>5</v>
      </c>
      <c r="M37" s="14"/>
      <c r="N37" s="19">
        <f>SUM(C37:L37)</f>
      </c>
      <c r="O37" s="14"/>
      <c r="P37" s="2"/>
      <c r="Q37" s="2"/>
      <c r="R37" s="19">
        <f>SUM(C37:G37)</f>
      </c>
      <c r="S37" s="19">
        <f>SUM(H37:L37)</f>
      </c>
      <c r="T37" s="19">
        <f>SUM(R37:S37)</f>
      </c>
    </row>
    <row x14ac:dyDescent="0.25" r="38" customHeight="1" ht="18.75">
      <c r="A38" s="20">
        <f>'Mid Sem'!B38</f>
      </c>
      <c r="B38" s="25">
        <f>'Mid Sem'!A38</f>
      </c>
      <c r="C38" s="20">
        <v>20</v>
      </c>
      <c r="D38" s="20">
        <v>20</v>
      </c>
      <c r="E38" s="20">
        <v>20</v>
      </c>
      <c r="F38" s="20">
        <v>20</v>
      </c>
      <c r="G38" s="20">
        <v>15</v>
      </c>
      <c r="H38" s="20">
        <v>20</v>
      </c>
      <c r="I38" s="20">
        <v>15</v>
      </c>
      <c r="J38" s="20">
        <v>5</v>
      </c>
      <c r="K38" s="20">
        <v>10</v>
      </c>
      <c r="L38" s="20">
        <v>5</v>
      </c>
      <c r="M38" s="14"/>
      <c r="N38" s="19">
        <f>SUM(C38:L38)</f>
      </c>
      <c r="O38" s="14"/>
      <c r="P38" s="2"/>
      <c r="Q38" s="2"/>
      <c r="R38" s="19">
        <f>SUM(C38:G38)</f>
      </c>
      <c r="S38" s="19">
        <f>SUM(H38:L38)</f>
      </c>
      <c r="T38" s="19">
        <f>SUM(R38:S38)</f>
      </c>
    </row>
    <row x14ac:dyDescent="0.25" r="39" customHeight="1" ht="18.75">
      <c r="A39" s="20">
        <f>'Mid Sem'!B39</f>
      </c>
      <c r="B39" s="25">
        <f>'Mid Sem'!A39</f>
      </c>
      <c r="C39" s="20">
        <v>15</v>
      </c>
      <c r="D39" s="20">
        <v>16</v>
      </c>
      <c r="E39" s="20">
        <v>15</v>
      </c>
      <c r="F39" s="20">
        <v>14</v>
      </c>
      <c r="G39" s="20">
        <v>10</v>
      </c>
      <c r="H39" s="20">
        <v>5</v>
      </c>
      <c r="I39" s="20">
        <v>8</v>
      </c>
      <c r="J39" s="20">
        <v>5</v>
      </c>
      <c r="K39" s="20">
        <v>6</v>
      </c>
      <c r="L39" s="20">
        <v>5</v>
      </c>
      <c r="M39" s="14"/>
      <c r="N39" s="19">
        <f>SUM(C39:L39)</f>
      </c>
      <c r="O39" s="14"/>
      <c r="P39" s="2"/>
      <c r="Q39" s="2"/>
      <c r="R39" s="19">
        <f>SUM(C39:G39)</f>
      </c>
      <c r="S39" s="19">
        <f>SUM(H39:L39)</f>
      </c>
      <c r="T39" s="19">
        <f>SUM(R39:S39)</f>
      </c>
    </row>
    <row x14ac:dyDescent="0.25" r="40" customHeight="1" ht="18.75">
      <c r="A40" s="20">
        <f>'Mid Sem'!B40</f>
      </c>
      <c r="B40" s="25">
        <f>'Mid Sem'!A40</f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4"/>
      <c r="N40" s="19">
        <f>SUM(C40:L40)</f>
      </c>
      <c r="O40" s="14"/>
      <c r="P40" s="2"/>
      <c r="Q40" s="2"/>
      <c r="R40" s="19">
        <f>SUM(C40:G40)</f>
      </c>
      <c r="S40" s="19">
        <f>SUM(H40:L40)</f>
      </c>
      <c r="T40" s="19">
        <f>SUM(R40:S40)</f>
      </c>
    </row>
    <row x14ac:dyDescent="0.25" r="41" customHeight="1" ht="18.75">
      <c r="A41" s="20">
        <f>'Mid Sem'!B41</f>
      </c>
      <c r="B41" s="25">
        <f>'Mid Sem'!A41</f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4"/>
      <c r="N41" s="19">
        <f>SUM(C41:L41)</f>
      </c>
      <c r="O41" s="14"/>
      <c r="P41" s="2"/>
      <c r="Q41" s="2"/>
      <c r="R41" s="19">
        <f>SUM(C41:G41)</f>
      </c>
      <c r="S41" s="19">
        <f>SUM(H41:L41)</f>
      </c>
      <c r="T41" s="19">
        <f>SUM(R41:S41)</f>
      </c>
    </row>
    <row x14ac:dyDescent="0.25" r="42" customHeight="1" ht="18.75">
      <c r="A42" s="20">
        <f>'Mid Sem'!B42</f>
      </c>
      <c r="B42" s="25">
        <f>'Mid Sem'!A42</f>
      </c>
      <c r="C42" s="20">
        <v>20</v>
      </c>
      <c r="D42" s="20">
        <v>20</v>
      </c>
      <c r="E42" s="20">
        <v>20</v>
      </c>
      <c r="F42" s="20">
        <v>18</v>
      </c>
      <c r="G42" s="20">
        <v>15</v>
      </c>
      <c r="H42" s="20">
        <v>10</v>
      </c>
      <c r="I42" s="20">
        <v>10</v>
      </c>
      <c r="J42" s="20">
        <v>5</v>
      </c>
      <c r="K42" s="20">
        <v>8</v>
      </c>
      <c r="L42" s="20">
        <v>5</v>
      </c>
      <c r="M42" s="14"/>
      <c r="N42" s="19">
        <f>SUM(C42:L42)</f>
      </c>
      <c r="O42" s="14"/>
      <c r="P42" s="2"/>
      <c r="Q42" s="2"/>
      <c r="R42" s="19">
        <f>SUM(C42:G42)</f>
      </c>
      <c r="S42" s="19">
        <f>SUM(H42:L42)</f>
      </c>
      <c r="T42" s="19">
        <f>SUM(R42:S42)</f>
      </c>
    </row>
    <row x14ac:dyDescent="0.25" r="43" customHeight="1" ht="18.75">
      <c r="A43" s="20">
        <f>'Mid Sem'!B43</f>
      </c>
      <c r="B43" s="25">
        <f>'Mid Sem'!A43</f>
      </c>
      <c r="C43" s="20">
        <v>18</v>
      </c>
      <c r="D43" s="20">
        <v>20</v>
      </c>
      <c r="E43" s="20">
        <v>20</v>
      </c>
      <c r="F43" s="20">
        <v>18</v>
      </c>
      <c r="G43" s="20">
        <v>15</v>
      </c>
      <c r="H43" s="20">
        <v>19</v>
      </c>
      <c r="I43" s="20">
        <v>15</v>
      </c>
      <c r="J43" s="20">
        <v>5</v>
      </c>
      <c r="K43" s="20">
        <v>10</v>
      </c>
      <c r="L43" s="20">
        <v>5</v>
      </c>
      <c r="M43" s="14"/>
      <c r="N43" s="19">
        <f>SUM(C43:L43)</f>
      </c>
      <c r="O43" s="14"/>
      <c r="P43" s="2"/>
      <c r="Q43" s="2"/>
      <c r="R43" s="19">
        <f>SUM(C43:G43)</f>
      </c>
      <c r="S43" s="19">
        <f>SUM(H43:L43)</f>
      </c>
      <c r="T43" s="19">
        <f>SUM(R43:S43)</f>
      </c>
    </row>
    <row x14ac:dyDescent="0.25" r="44" customHeight="1" ht="18.75">
      <c r="A44" s="20">
        <f>'Mid Sem'!B44</f>
      </c>
      <c r="B44" s="25">
        <f>'Mid Sem'!A44</f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4"/>
      <c r="N44" s="19">
        <f>SUM(C44:L44)</f>
      </c>
      <c r="O44" s="14"/>
      <c r="P44" s="2"/>
      <c r="Q44" s="2"/>
      <c r="R44" s="19">
        <f>SUM(C44:G44)</f>
      </c>
      <c r="S44" s="19">
        <f>SUM(H44:L44)</f>
      </c>
      <c r="T44" s="19">
        <f>SUM(R44:S44)</f>
      </c>
    </row>
    <row x14ac:dyDescent="0.25" r="45" customHeight="1" ht="18.75">
      <c r="A45" s="20">
        <f>'Mid Sem'!B45</f>
      </c>
      <c r="B45" s="25">
        <f>'Mid Sem'!A45</f>
      </c>
      <c r="C45" s="20">
        <v>18</v>
      </c>
      <c r="D45" s="20">
        <v>18</v>
      </c>
      <c r="E45" s="20">
        <v>20</v>
      </c>
      <c r="F45" s="20">
        <v>18</v>
      </c>
      <c r="G45" s="20">
        <v>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14"/>
      <c r="N45" s="19">
        <f>SUM(C45:L45)</f>
      </c>
      <c r="O45" s="14"/>
      <c r="P45" s="2"/>
      <c r="Q45" s="2"/>
      <c r="R45" s="19">
        <f>SUM(C45:G45)</f>
      </c>
      <c r="S45" s="19">
        <f>SUM(H45:L45)</f>
      </c>
      <c r="T45" s="19">
        <f>SUM(R45:S45)</f>
      </c>
    </row>
    <row x14ac:dyDescent="0.25" r="46" customHeight="1" ht="18.75">
      <c r="A46" s="20">
        <f>'Mid Sem'!B46</f>
      </c>
      <c r="B46" s="25">
        <f>'Mid Sem'!A46</f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4"/>
      <c r="N46" s="19">
        <f>SUM(C46:L46)</f>
      </c>
      <c r="O46" s="14"/>
      <c r="P46" s="2"/>
      <c r="Q46" s="2"/>
      <c r="R46" s="19">
        <f>SUM(C46:G46)</f>
      </c>
      <c r="S46" s="19">
        <f>SUM(H46:L46)</f>
      </c>
      <c r="T46" s="19">
        <f>SUM(R46:S46)</f>
      </c>
    </row>
    <row x14ac:dyDescent="0.25" r="47" customHeight="1" ht="18.75">
      <c r="A47" s="20">
        <f>'Mid Sem'!B47</f>
      </c>
      <c r="B47" s="25">
        <f>'Mid Sem'!A47</f>
      </c>
      <c r="C47" s="20">
        <v>18</v>
      </c>
      <c r="D47" s="20">
        <v>18</v>
      </c>
      <c r="E47" s="20">
        <v>20</v>
      </c>
      <c r="F47" s="20">
        <v>18</v>
      </c>
      <c r="G47" s="20">
        <v>15</v>
      </c>
      <c r="H47" s="20">
        <v>19</v>
      </c>
      <c r="I47" s="20">
        <v>15</v>
      </c>
      <c r="J47" s="20">
        <v>5</v>
      </c>
      <c r="K47" s="20">
        <v>10</v>
      </c>
      <c r="L47" s="20">
        <v>5</v>
      </c>
      <c r="M47" s="14"/>
      <c r="N47" s="19">
        <f>SUM(C47:L47)</f>
      </c>
      <c r="O47" s="14"/>
      <c r="P47" s="2"/>
      <c r="Q47" s="2"/>
      <c r="R47" s="19">
        <f>SUM(C47:G47)</f>
      </c>
      <c r="S47" s="19">
        <f>SUM(H47:L47)</f>
      </c>
      <c r="T47" s="19">
        <f>SUM(R47:S47)</f>
      </c>
    </row>
    <row x14ac:dyDescent="0.25" r="48" customHeight="1" ht="18.75">
      <c r="A48" s="20">
        <f>'Mid Sem'!B48</f>
      </c>
      <c r="B48" s="25">
        <f>'Mid Sem'!A48</f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4"/>
      <c r="N48" s="19">
        <f>SUM(C48:L48)</f>
      </c>
      <c r="O48" s="14"/>
      <c r="P48" s="2"/>
      <c r="Q48" s="2"/>
      <c r="R48" s="19">
        <f>SUM(C48:G48)</f>
      </c>
      <c r="S48" s="19">
        <f>SUM(H48:L48)</f>
      </c>
      <c r="T48" s="19">
        <f>SUM(R48:S48)</f>
      </c>
    </row>
    <row x14ac:dyDescent="0.25" r="49" customHeight="1" ht="18.75">
      <c r="A49" s="20">
        <f>'Mid Sem'!B49</f>
      </c>
      <c r="B49" s="25">
        <f>'Mid Sem'!A49</f>
      </c>
      <c r="C49" s="20">
        <v>19</v>
      </c>
      <c r="D49" s="20">
        <v>18</v>
      </c>
      <c r="E49" s="20">
        <v>20</v>
      </c>
      <c r="F49" s="20">
        <v>14</v>
      </c>
      <c r="G49" s="20">
        <v>13</v>
      </c>
      <c r="H49" s="20">
        <v>18</v>
      </c>
      <c r="I49" s="20">
        <v>14</v>
      </c>
      <c r="J49" s="20">
        <v>5</v>
      </c>
      <c r="K49" s="20">
        <v>8</v>
      </c>
      <c r="L49" s="20">
        <v>5</v>
      </c>
      <c r="M49" s="14"/>
      <c r="N49" s="19">
        <f>SUM(C49:L49)</f>
      </c>
      <c r="O49" s="14"/>
      <c r="P49" s="2"/>
      <c r="Q49" s="2"/>
      <c r="R49" s="19">
        <f>SUM(C49:G49)</f>
      </c>
      <c r="S49" s="19">
        <f>SUM(H49:L49)</f>
      </c>
      <c r="T49" s="19">
        <f>SUM(R49:S49)</f>
      </c>
    </row>
    <row x14ac:dyDescent="0.25" r="50" customHeight="1" ht="18.75">
      <c r="A50" s="20">
        <f>'Mid Sem'!B50</f>
      </c>
      <c r="B50" s="25">
        <f>'Mid Sem'!A50</f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4"/>
      <c r="N50" s="19">
        <f>SUM(C50:L50)</f>
      </c>
      <c r="O50" s="14"/>
      <c r="P50" s="2"/>
      <c r="Q50" s="2"/>
      <c r="R50" s="19">
        <f>SUM(C50:G50)</f>
      </c>
      <c r="S50" s="19">
        <f>SUM(H50:L50)</f>
      </c>
      <c r="T50" s="19">
        <f>SUM(R50:S50)</f>
      </c>
    </row>
    <row x14ac:dyDescent="0.25" r="51" customHeight="1" ht="18.75">
      <c r="A51" s="20">
        <f>'Mid Sem'!B51</f>
      </c>
      <c r="B51" s="25">
        <f>'Mid Sem'!A51</f>
      </c>
      <c r="C51" s="20">
        <v>18</v>
      </c>
      <c r="D51" s="20">
        <v>19</v>
      </c>
      <c r="E51" s="20">
        <v>20</v>
      </c>
      <c r="F51" s="20">
        <v>16</v>
      </c>
      <c r="G51" s="20">
        <v>13</v>
      </c>
      <c r="H51" s="20">
        <v>17</v>
      </c>
      <c r="I51" s="20">
        <v>9</v>
      </c>
      <c r="J51" s="20">
        <v>0</v>
      </c>
      <c r="K51" s="20">
        <v>8</v>
      </c>
      <c r="L51" s="20">
        <v>5</v>
      </c>
      <c r="M51" s="14"/>
      <c r="N51" s="19">
        <f>SUM(C51:L51)</f>
      </c>
      <c r="O51" s="14"/>
      <c r="P51" s="2"/>
      <c r="Q51" s="2"/>
      <c r="R51" s="19">
        <f>SUM(C51:G51)</f>
      </c>
      <c r="S51" s="19">
        <f>SUM(H51:L51)</f>
      </c>
      <c r="T51" s="19">
        <f>SUM(R51:S51)</f>
      </c>
    </row>
    <row x14ac:dyDescent="0.25" r="52" customHeight="1" ht="18.75">
      <c r="A52" s="20">
        <f>'Mid Sem'!B52</f>
      </c>
      <c r="B52" s="25">
        <f>'Mid Sem'!A52</f>
      </c>
      <c r="C52" s="20">
        <v>18</v>
      </c>
      <c r="D52" s="20">
        <v>18</v>
      </c>
      <c r="E52" s="20">
        <v>20</v>
      </c>
      <c r="F52" s="20">
        <v>18</v>
      </c>
      <c r="G52" s="20">
        <v>13</v>
      </c>
      <c r="H52" s="20">
        <v>19</v>
      </c>
      <c r="I52" s="20">
        <v>15</v>
      </c>
      <c r="J52" s="20">
        <v>5</v>
      </c>
      <c r="K52" s="20">
        <v>8</v>
      </c>
      <c r="L52" s="20">
        <v>5</v>
      </c>
      <c r="M52" s="14"/>
      <c r="N52" s="19">
        <f>SUM(C52:L52)</f>
      </c>
      <c r="O52" s="14"/>
      <c r="P52" s="2"/>
      <c r="Q52" s="2"/>
      <c r="R52" s="19">
        <f>SUM(C52:G52)</f>
      </c>
      <c r="S52" s="19">
        <f>SUM(H52:L52)</f>
      </c>
      <c r="T52" s="19">
        <f>SUM(R52:S52)</f>
      </c>
    </row>
    <row x14ac:dyDescent="0.25" r="53" customHeight="1" ht="18.75">
      <c r="A53" s="20">
        <f>'Mid Sem'!B53</f>
      </c>
      <c r="B53" s="25">
        <f>'Mid Sem'!A53</f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4"/>
      <c r="N53" s="19">
        <f>SUM(C53:L53)</f>
      </c>
      <c r="O53" s="14"/>
      <c r="P53" s="2"/>
      <c r="Q53" s="2"/>
      <c r="R53" s="19">
        <f>SUM(C53:G53)</f>
      </c>
      <c r="S53" s="19">
        <f>SUM(H53:L53)</f>
      </c>
      <c r="T53" s="19">
        <f>SUM(R53:S53)</f>
      </c>
    </row>
    <row x14ac:dyDescent="0.25" r="54" customHeight="1" ht="18.75">
      <c r="A54" s="20">
        <f>'Mid Sem'!B54</f>
      </c>
      <c r="B54" s="25">
        <f>'Mid Sem'!A54</f>
      </c>
      <c r="C54" s="20">
        <v>18</v>
      </c>
      <c r="D54" s="20">
        <v>18</v>
      </c>
      <c r="E54" s="20">
        <v>20</v>
      </c>
      <c r="F54" s="20">
        <v>18</v>
      </c>
      <c r="G54" s="20">
        <v>13</v>
      </c>
      <c r="H54" s="20">
        <v>19</v>
      </c>
      <c r="I54" s="20">
        <v>15</v>
      </c>
      <c r="J54" s="20">
        <v>5</v>
      </c>
      <c r="K54" s="20">
        <v>8</v>
      </c>
      <c r="L54" s="20">
        <v>5</v>
      </c>
      <c r="M54" s="14"/>
      <c r="N54" s="19">
        <f>SUM(C54:L54)</f>
      </c>
      <c r="O54" s="14"/>
      <c r="P54" s="2"/>
      <c r="Q54" s="2"/>
      <c r="R54" s="19">
        <f>SUM(C54:G54)</f>
      </c>
      <c r="S54" s="19">
        <f>SUM(H54:L54)</f>
      </c>
      <c r="T54" s="19">
        <f>SUM(R54:S54)</f>
      </c>
    </row>
    <row x14ac:dyDescent="0.25" r="55" customHeight="1" ht="18.75">
      <c r="A55" s="20">
        <f>'Mid Sem'!B55</f>
      </c>
      <c r="B55" s="25">
        <f>'Mid Sem'!A55</f>
      </c>
      <c r="C55" s="20">
        <v>18</v>
      </c>
      <c r="D55" s="20">
        <v>18</v>
      </c>
      <c r="E55" s="20">
        <v>20</v>
      </c>
      <c r="F55" s="20">
        <v>18</v>
      </c>
      <c r="G55" s="20">
        <v>13</v>
      </c>
      <c r="H55" s="20">
        <v>16</v>
      </c>
      <c r="I55" s="20">
        <v>10</v>
      </c>
      <c r="J55" s="20">
        <v>5</v>
      </c>
      <c r="K55" s="20">
        <v>8</v>
      </c>
      <c r="L55" s="20">
        <v>5</v>
      </c>
      <c r="M55" s="14"/>
      <c r="N55" s="19">
        <f>SUM(C55:L55)</f>
      </c>
      <c r="O55" s="14"/>
      <c r="P55" s="2"/>
      <c r="Q55" s="2"/>
      <c r="R55" s="19">
        <f>SUM(C55:G55)</f>
      </c>
      <c r="S55" s="19">
        <f>SUM(H55:L55)</f>
      </c>
      <c r="T55" s="19">
        <f>SUM(R55:S55)</f>
      </c>
    </row>
    <row x14ac:dyDescent="0.25" r="56" customHeight="1" ht="18.75">
      <c r="A56" s="20">
        <f>'Mid Sem'!B56</f>
      </c>
      <c r="B56" s="25">
        <f>'Mid Sem'!A56</f>
      </c>
      <c r="C56" s="20">
        <v>18</v>
      </c>
      <c r="D56" s="20">
        <v>12</v>
      </c>
      <c r="E56" s="20">
        <v>20</v>
      </c>
      <c r="F56" s="20">
        <v>13</v>
      </c>
      <c r="G56" s="20">
        <v>13</v>
      </c>
      <c r="H56" s="20">
        <v>16</v>
      </c>
      <c r="I56" s="20">
        <v>8</v>
      </c>
      <c r="J56" s="20">
        <v>0</v>
      </c>
      <c r="K56" s="20">
        <v>8</v>
      </c>
      <c r="L56" s="20">
        <v>5</v>
      </c>
      <c r="M56" s="14"/>
      <c r="N56" s="19">
        <f>SUM(C56:L56)</f>
      </c>
      <c r="O56" s="14"/>
      <c r="P56" s="2"/>
      <c r="Q56" s="2"/>
      <c r="R56" s="19">
        <f>SUM(C56:G56)</f>
      </c>
      <c r="S56" s="19">
        <f>SUM(H56:L56)</f>
      </c>
      <c r="T56" s="19">
        <f>SUM(R56:S56)</f>
      </c>
    </row>
    <row x14ac:dyDescent="0.25" r="57" customHeight="1" ht="18.75">
      <c r="A57" s="20">
        <f>'Mid Sem'!B57</f>
      </c>
      <c r="B57" s="25">
        <f>'Mid Sem'!A57</f>
      </c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4"/>
      <c r="N57" s="19">
        <f>SUM(C57:L57)</f>
      </c>
      <c r="O57" s="14"/>
      <c r="P57" s="2"/>
      <c r="Q57" s="2"/>
      <c r="R57" s="19">
        <f>SUM(C57:G57)</f>
      </c>
      <c r="S57" s="19">
        <f>SUM(H57:L57)</f>
      </c>
      <c r="T57" s="19">
        <f>SUM(R57:S57)</f>
      </c>
    </row>
    <row x14ac:dyDescent="0.25" r="58" customHeight="1" ht="18.75">
      <c r="A58" s="20">
        <f>'Mid Sem'!B58</f>
      </c>
      <c r="B58" s="25">
        <f>'Mid Sem'!A58</f>
      </c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4"/>
      <c r="N58" s="19">
        <f>SUM(C58:L58)</f>
      </c>
      <c r="O58" s="14"/>
      <c r="P58" s="2"/>
      <c r="Q58" s="2"/>
      <c r="R58" s="19">
        <f>SUM(C58:G58)</f>
      </c>
      <c r="S58" s="19">
        <f>SUM(H58:L58)</f>
      </c>
      <c r="T58" s="19">
        <f>SUM(R58:S58)</f>
      </c>
    </row>
    <row x14ac:dyDescent="0.25" r="59" customHeight="1" ht="18.75">
      <c r="A59" s="20">
        <f>'Mid Sem'!B59</f>
      </c>
      <c r="B59" s="25">
        <f>'Mid Sem'!A59</f>
      </c>
      <c r="C59" s="20">
        <v>20</v>
      </c>
      <c r="D59" s="20">
        <v>20</v>
      </c>
      <c r="E59" s="20">
        <v>20</v>
      </c>
      <c r="F59" s="20">
        <v>18</v>
      </c>
      <c r="G59" s="20">
        <v>15</v>
      </c>
      <c r="H59" s="20">
        <v>20</v>
      </c>
      <c r="I59" s="20">
        <v>15</v>
      </c>
      <c r="J59" s="20">
        <v>5</v>
      </c>
      <c r="K59" s="20">
        <v>10</v>
      </c>
      <c r="L59" s="20">
        <v>5</v>
      </c>
      <c r="M59" s="14"/>
      <c r="N59" s="19">
        <f>SUM(C59:L59)</f>
      </c>
      <c r="O59" s="14"/>
      <c r="P59" s="2"/>
      <c r="Q59" s="2"/>
      <c r="R59" s="19">
        <f>SUM(C59:G59)</f>
      </c>
      <c r="S59" s="19">
        <f>SUM(H59:L59)</f>
      </c>
      <c r="T59" s="19">
        <f>SUM(R59:S59)</f>
      </c>
    </row>
    <row x14ac:dyDescent="0.25" r="60" customHeight="1" ht="18.75">
      <c r="A60" s="20">
        <f>'Mid Sem'!B60</f>
      </c>
      <c r="B60" s="25">
        <f>'Mid Sem'!A60</f>
      </c>
      <c r="C60" s="20">
        <v>15</v>
      </c>
      <c r="D60" s="20">
        <v>20</v>
      </c>
      <c r="E60" s="20">
        <v>20</v>
      </c>
      <c r="F60" s="20">
        <v>18</v>
      </c>
      <c r="G60" s="20">
        <v>13</v>
      </c>
      <c r="H60" s="20">
        <v>19</v>
      </c>
      <c r="I60" s="20">
        <v>15</v>
      </c>
      <c r="J60" s="20">
        <v>5</v>
      </c>
      <c r="K60" s="20">
        <v>10</v>
      </c>
      <c r="L60" s="20">
        <v>5</v>
      </c>
      <c r="M60" s="14"/>
      <c r="N60" s="19">
        <f>SUM(C60:L60)</f>
      </c>
      <c r="O60" s="14"/>
      <c r="P60" s="2"/>
      <c r="Q60" s="2"/>
      <c r="R60" s="19">
        <f>SUM(C60:G60)</f>
      </c>
      <c r="S60" s="19">
        <f>SUM(H60:L60)</f>
      </c>
      <c r="T60" s="19">
        <f>SUM(R60:S60)</f>
      </c>
    </row>
    <row x14ac:dyDescent="0.25" r="61" customHeight="1" ht="18.75">
      <c r="A61" s="20">
        <f>'Mid Sem'!B61</f>
      </c>
      <c r="B61" s="25">
        <f>'Mid Sem'!A61</f>
      </c>
      <c r="C61" s="20">
        <v>18</v>
      </c>
      <c r="D61" s="20">
        <v>20</v>
      </c>
      <c r="E61" s="20">
        <v>20</v>
      </c>
      <c r="F61" s="20">
        <v>13</v>
      </c>
      <c r="G61" s="20">
        <v>15</v>
      </c>
      <c r="H61" s="20">
        <v>19</v>
      </c>
      <c r="I61" s="20">
        <v>14</v>
      </c>
      <c r="J61" s="20">
        <v>5</v>
      </c>
      <c r="K61" s="20">
        <v>8</v>
      </c>
      <c r="L61" s="20">
        <v>5</v>
      </c>
      <c r="M61" s="14"/>
      <c r="N61" s="19">
        <f>SUM(C61:L61)</f>
      </c>
      <c r="O61" s="14"/>
      <c r="P61" s="2"/>
      <c r="Q61" s="2"/>
      <c r="R61" s="19">
        <f>SUM(C61:G61)</f>
      </c>
      <c r="S61" s="19">
        <f>SUM(H61:L61)</f>
      </c>
      <c r="T61" s="19">
        <f>SUM(R61:S61)</f>
      </c>
    </row>
    <row x14ac:dyDescent="0.25" r="62" customHeight="1" ht="18.75">
      <c r="A62" s="20">
        <f>'Mid Sem'!B62</f>
      </c>
      <c r="B62" s="25">
        <f>'Mid Sem'!A62</f>
      </c>
      <c r="C62" s="20">
        <v>18</v>
      </c>
      <c r="D62" s="20">
        <v>19</v>
      </c>
      <c r="E62" s="20">
        <v>20</v>
      </c>
      <c r="F62" s="20">
        <v>18</v>
      </c>
      <c r="G62" s="20">
        <v>15</v>
      </c>
      <c r="H62" s="20">
        <v>18</v>
      </c>
      <c r="I62" s="20">
        <v>15</v>
      </c>
      <c r="J62" s="20">
        <v>5</v>
      </c>
      <c r="K62" s="20">
        <v>9</v>
      </c>
      <c r="L62" s="20">
        <v>5</v>
      </c>
      <c r="M62" s="14"/>
      <c r="N62" s="19">
        <f>SUM(C62:L62)</f>
      </c>
      <c r="O62" s="14"/>
      <c r="P62" s="2"/>
      <c r="Q62" s="2"/>
      <c r="R62" s="19">
        <f>SUM(C62:G62)</f>
      </c>
      <c r="S62" s="19">
        <f>SUM(H62:L62)</f>
      </c>
      <c r="T62" s="19">
        <f>SUM(R62:S62)</f>
      </c>
    </row>
    <row x14ac:dyDescent="0.25" r="63" customHeight="1" ht="18.75">
      <c r="A63" s="20">
        <f>'Mid Sem'!B63</f>
      </c>
      <c r="B63" s="25">
        <f>'Mid Sem'!A63</f>
      </c>
      <c r="C63" s="20">
        <v>19</v>
      </c>
      <c r="D63" s="20">
        <v>20</v>
      </c>
      <c r="E63" s="20">
        <v>20</v>
      </c>
      <c r="F63" s="20">
        <v>18</v>
      </c>
      <c r="G63" s="20">
        <v>15</v>
      </c>
      <c r="H63" s="20">
        <v>19</v>
      </c>
      <c r="I63" s="20">
        <v>15</v>
      </c>
      <c r="J63" s="20">
        <v>5</v>
      </c>
      <c r="K63" s="20">
        <v>9</v>
      </c>
      <c r="L63" s="20">
        <v>5</v>
      </c>
      <c r="M63" s="14"/>
      <c r="N63" s="19">
        <f>SUM(C63:L63)</f>
      </c>
      <c r="O63" s="14"/>
      <c r="P63" s="2"/>
      <c r="Q63" s="2"/>
      <c r="R63" s="19">
        <f>SUM(C63:G63)</f>
      </c>
      <c r="S63" s="19">
        <f>SUM(H63:L63)</f>
      </c>
      <c r="T63" s="19">
        <f>SUM(R63:S63)</f>
      </c>
    </row>
    <row x14ac:dyDescent="0.25" r="64" customHeight="1" ht="18.75">
      <c r="A64" s="20">
        <f>'Mid Sem'!B64</f>
      </c>
      <c r="B64" s="25">
        <f>'Mid Sem'!A64</f>
      </c>
      <c r="C64" s="20">
        <v>20</v>
      </c>
      <c r="D64" s="20">
        <v>20</v>
      </c>
      <c r="E64" s="20">
        <v>20</v>
      </c>
      <c r="F64" s="20">
        <v>18</v>
      </c>
      <c r="G64" s="20">
        <v>15</v>
      </c>
      <c r="H64" s="20">
        <v>20</v>
      </c>
      <c r="I64" s="20">
        <v>13</v>
      </c>
      <c r="J64" s="20">
        <v>5</v>
      </c>
      <c r="K64" s="20">
        <v>9</v>
      </c>
      <c r="L64" s="20">
        <v>5</v>
      </c>
      <c r="M64" s="14"/>
      <c r="N64" s="19">
        <f>SUM(C64:L64)</f>
      </c>
      <c r="O64" s="14"/>
      <c r="P64" s="2"/>
      <c r="Q64" s="2"/>
      <c r="R64" s="19">
        <f>SUM(C64:G64)</f>
      </c>
      <c r="S64" s="19">
        <f>SUM(H64:L64)</f>
      </c>
      <c r="T64" s="19">
        <f>SUM(R64:S64)</f>
      </c>
    </row>
    <row x14ac:dyDescent="0.25" r="65" customHeight="1" ht="18.7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4"/>
      <c r="N65" s="12"/>
      <c r="O65" s="14"/>
      <c r="P65" s="2"/>
      <c r="Q65" s="2"/>
      <c r="R65" s="12"/>
      <c r="S65" s="12"/>
      <c r="T65" s="12"/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6"/>
  <sheetViews>
    <sheetView workbookViewId="0"/>
  </sheetViews>
  <sheetFormatPr defaultRowHeight="15" x14ac:dyDescent="0.25"/>
  <cols>
    <col min="1" max="1" style="4" width="10.147857142857141" customWidth="1" bestFit="1"/>
    <col min="2" max="2" style="4" width="24.290714285714284" customWidth="1" bestFit="1"/>
    <col min="3" max="3" style="5" width="4.576428571428571" customWidth="1" bestFit="1"/>
    <col min="4" max="4" style="5" width="4.576428571428571" customWidth="1" bestFit="1"/>
    <col min="5" max="5" style="5" width="4.576428571428571" customWidth="1" bestFit="1"/>
    <col min="6" max="6" style="5" width="4.576428571428571" customWidth="1" bestFit="1"/>
    <col min="7" max="7" style="5" width="4.576428571428571" customWidth="1" bestFit="1"/>
    <col min="8" max="8" style="5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5" width="8.290714285714287" customWidth="1" bestFit="1"/>
    <col min="15" max="15" style="5" width="4.719285714285714" customWidth="1" bestFit="1"/>
  </cols>
  <sheetData>
    <row x14ac:dyDescent="0.25" r="1" customHeight="1" ht="18.75">
      <c r="A1" s="8" t="s">
        <v>149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x14ac:dyDescent="0.25" r="2" customHeight="1" ht="18.75">
      <c r="A2" s="8">
        <f>Marksheet!A2</f>
      </c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x14ac:dyDescent="0.25" r="3" customHeight="1" ht="18.75">
      <c r="A3" s="12"/>
      <c r="B3" s="12"/>
      <c r="C3" s="13" t="s">
        <v>130</v>
      </c>
      <c r="D3" s="13" t="s">
        <v>131</v>
      </c>
      <c r="E3" s="13" t="s">
        <v>132</v>
      </c>
      <c r="F3" s="13" t="s">
        <v>130</v>
      </c>
      <c r="G3" s="13" t="s">
        <v>131</v>
      </c>
      <c r="H3" s="13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4"/>
      <c r="O3" s="14"/>
    </row>
    <row x14ac:dyDescent="0.25" r="4" customHeight="1" ht="18.75">
      <c r="A4" s="15" t="s">
        <v>134</v>
      </c>
      <c r="B4" s="15" t="s">
        <v>1</v>
      </c>
      <c r="C4" s="16" t="s">
        <v>135</v>
      </c>
      <c r="D4" s="16" t="s">
        <v>136</v>
      </c>
      <c r="E4" s="16" t="s">
        <v>137</v>
      </c>
      <c r="F4" s="16" t="s">
        <v>138</v>
      </c>
      <c r="G4" s="16" t="s">
        <v>139</v>
      </c>
      <c r="H4" s="16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23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x14ac:dyDescent="0.25" r="6" customHeight="1" ht="18.75">
      <c r="A6" s="20">
        <f>'Mid Sem'!B6</f>
      </c>
      <c r="B6" s="12">
        <f>'Mid Sem'!A6</f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x14ac:dyDescent="0.25" r="7" customHeight="1" ht="18.75">
      <c r="A7" s="20">
        <f>'Mid Sem'!B7</f>
      </c>
      <c r="B7" s="12">
        <f>'Mid Sem'!A7</f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x14ac:dyDescent="0.25" r="8" customHeight="1" ht="18.75">
      <c r="A8" s="20">
        <f>'Mid Sem'!B8</f>
      </c>
      <c r="B8" s="12">
        <f>'Mid Sem'!A8</f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x14ac:dyDescent="0.25" r="9" customHeight="1" ht="18.75">
      <c r="A9" s="20">
        <f>'Mid Sem'!B9</f>
      </c>
      <c r="B9" s="12">
        <f>'Mid Sem'!A9</f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x14ac:dyDescent="0.25" r="10" customHeight="1" ht="18.75">
      <c r="A10" s="20">
        <f>'Mid Sem'!B10</f>
      </c>
      <c r="B10" s="12">
        <f>'Mid Sem'!A10</f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x14ac:dyDescent="0.25" r="11" customHeight="1" ht="18.75">
      <c r="A11" s="20">
        <f>'Mid Sem'!B11</f>
      </c>
      <c r="B11" s="12">
        <f>'Mid Sem'!A11</f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x14ac:dyDescent="0.25" r="12" customHeight="1" ht="18.75">
      <c r="A12" s="20">
        <f>'Mid Sem'!B12</f>
      </c>
      <c r="B12" s="12">
        <f>'Mid Sem'!A12</f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x14ac:dyDescent="0.25" r="13" customHeight="1" ht="18.75">
      <c r="A13" s="20">
        <f>'Mid Sem'!B13</f>
      </c>
      <c r="B13" s="12">
        <f>'Mid Sem'!A13</f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x14ac:dyDescent="0.25" r="14" customHeight="1" ht="18.75">
      <c r="A14" s="20">
        <f>'Mid Sem'!B14</f>
      </c>
      <c r="B14" s="12">
        <f>'Mid Sem'!A14</f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x14ac:dyDescent="0.25" r="15" customHeight="1" ht="18.75">
      <c r="A15" s="20">
        <f>'Mid Sem'!B15</f>
      </c>
      <c r="B15" s="12">
        <f>'Mid Sem'!A15</f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x14ac:dyDescent="0.25" r="16" customHeight="1" ht="18.75">
      <c r="A16" s="20">
        <f>'Mid Sem'!B16</f>
      </c>
      <c r="B16" s="12">
        <f>'Mid Sem'!A16</f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x14ac:dyDescent="0.25" r="17" customHeight="1" ht="18.75">
      <c r="A17" s="20">
        <f>'Mid Sem'!B17</f>
      </c>
      <c r="B17" s="12">
        <f>'Mid Sem'!A17</f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x14ac:dyDescent="0.25" r="18" customHeight="1" ht="18.75">
      <c r="A18" s="20">
        <f>'Mid Sem'!B18</f>
      </c>
      <c r="B18" s="12">
        <f>'Mid Sem'!A18</f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x14ac:dyDescent="0.25" r="19" customHeight="1" ht="18.75">
      <c r="A19" s="20">
        <f>'Mid Sem'!B19</f>
      </c>
      <c r="B19" s="12">
        <f>'Mid Sem'!A19</f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x14ac:dyDescent="0.25" r="20" customHeight="1" ht="18.75">
      <c r="A20" s="20">
        <f>'Mid Sem'!B20</f>
      </c>
      <c r="B20" s="12">
        <f>'Mid Sem'!A20</f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x14ac:dyDescent="0.25" r="21" customHeight="1" ht="18.75">
      <c r="A21" s="20">
        <f>'Mid Sem'!B21</f>
      </c>
      <c r="B21" s="12">
        <f>'Mid Sem'!A21</f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x14ac:dyDescent="0.25" r="22" customHeight="1" ht="18.75">
      <c r="A22" s="20">
        <f>'Mid Sem'!B22</f>
      </c>
      <c r="B22" s="12">
        <f>'Mid Sem'!A22</f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x14ac:dyDescent="0.25" r="23" customHeight="1" ht="18.75">
      <c r="A23" s="20">
        <f>'Mid Sem'!B23</f>
      </c>
      <c r="B23" s="12">
        <f>'Mid Sem'!A23</f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x14ac:dyDescent="0.25" r="24" customHeight="1" ht="18.75">
      <c r="A24" s="20">
        <f>'Mid Sem'!B24</f>
      </c>
      <c r="B24" s="12">
        <f>'Mid Sem'!A24</f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x14ac:dyDescent="0.25" r="25" customHeight="1" ht="18.75">
      <c r="A25" s="20">
        <f>'Mid Sem'!B25</f>
      </c>
      <c r="B25" s="12">
        <f>'Mid Sem'!A25</f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x14ac:dyDescent="0.25" r="26" customHeight="1" ht="18.75">
      <c r="A26" s="20">
        <f>'Mid Sem'!B26</f>
      </c>
      <c r="B26" s="12">
        <f>'Mid Sem'!A26</f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x14ac:dyDescent="0.25" r="27" customHeight="1" ht="18.75">
      <c r="A27" s="20">
        <f>'Mid Sem'!B27</f>
      </c>
      <c r="B27" s="12">
        <f>'Mid Sem'!A27</f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x14ac:dyDescent="0.25" r="28" customHeight="1" ht="18.75">
      <c r="A28" s="20">
        <f>'Mid Sem'!B28</f>
      </c>
      <c r="B28" s="12">
        <f>'Mid Sem'!A28</f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x14ac:dyDescent="0.25" r="29" customHeight="1" ht="18.75">
      <c r="A29" s="20">
        <f>'Mid Sem'!B29</f>
      </c>
      <c r="B29" s="12">
        <f>'Mid Sem'!A29</f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x14ac:dyDescent="0.25" r="30" customHeight="1" ht="18.75">
      <c r="A30" s="20">
        <f>'Mid Sem'!B30</f>
      </c>
      <c r="B30" s="12">
        <f>'Mid Sem'!A30</f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x14ac:dyDescent="0.25" r="31" customHeight="1" ht="18.75">
      <c r="A31" s="20">
        <f>'Mid Sem'!B31</f>
      </c>
      <c r="B31" s="12">
        <f>'Mid Sem'!A31</f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x14ac:dyDescent="0.25" r="32" customHeight="1" ht="18.75">
      <c r="A32" s="20">
        <f>'Mid Sem'!B32</f>
      </c>
      <c r="B32" s="12">
        <f>'Mid Sem'!A32</f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x14ac:dyDescent="0.25" r="33" customHeight="1" ht="18.75">
      <c r="A33" s="20">
        <f>'Mid Sem'!B33</f>
      </c>
      <c r="B33" s="12">
        <f>'Mid Sem'!A33</f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x14ac:dyDescent="0.25" r="34" customHeight="1" ht="18.75">
      <c r="A34" s="20">
        <f>'Mid Sem'!B34</f>
      </c>
      <c r="B34" s="12">
        <f>'Mid Sem'!A34</f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x14ac:dyDescent="0.25" r="35" customHeight="1" ht="18.75">
      <c r="A35" s="20">
        <f>'Mid Sem'!B35</f>
      </c>
      <c r="B35" s="12">
        <f>'Mid Sem'!A35</f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x14ac:dyDescent="0.25" r="36" customHeight="1" ht="18.75">
      <c r="A36" s="20">
        <f>'Mid Sem'!B36</f>
      </c>
      <c r="B36" s="12">
        <f>'Mid Sem'!A36</f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x14ac:dyDescent="0.25" r="37" customHeight="1" ht="18.75">
      <c r="A37" s="20">
        <f>'Mid Sem'!B37</f>
      </c>
      <c r="B37" s="12">
        <f>'Mid Sem'!A37</f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x14ac:dyDescent="0.25" r="38" customHeight="1" ht="18.75">
      <c r="A38" s="20">
        <f>'Mid Sem'!B38</f>
      </c>
      <c r="B38" s="12">
        <f>'Mid Sem'!A38</f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x14ac:dyDescent="0.25" r="39" customHeight="1" ht="18.75">
      <c r="A39" s="20">
        <f>'Mid Sem'!B39</f>
      </c>
      <c r="B39" s="12">
        <f>'Mid Sem'!A39</f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x14ac:dyDescent="0.25" r="40" customHeight="1" ht="18.75">
      <c r="A40" s="20">
        <f>'Mid Sem'!B40</f>
      </c>
      <c r="B40" s="12">
        <f>'Mid Sem'!A40</f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x14ac:dyDescent="0.25" r="41" customHeight="1" ht="18.75">
      <c r="A41" s="20">
        <f>'Mid Sem'!B41</f>
      </c>
      <c r="B41" s="12">
        <f>'Mid Sem'!A41</f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x14ac:dyDescent="0.25" r="42" customHeight="1" ht="18.75">
      <c r="A42" s="20">
        <f>'Mid Sem'!B42</f>
      </c>
      <c r="B42" s="12">
        <f>'Mid Sem'!A42</f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x14ac:dyDescent="0.25" r="43" customHeight="1" ht="18.75">
      <c r="A43" s="20">
        <f>'Mid Sem'!B43</f>
      </c>
      <c r="B43" s="12">
        <f>'Mid Sem'!A43</f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x14ac:dyDescent="0.25" r="44" customHeight="1" ht="18.75">
      <c r="A44" s="20">
        <f>'Mid Sem'!B44</f>
      </c>
      <c r="B44" s="12">
        <f>'Mid Sem'!A44</f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x14ac:dyDescent="0.25" r="45" customHeight="1" ht="18.75">
      <c r="A45" s="20">
        <f>'Mid Sem'!B45</f>
      </c>
      <c r="B45" s="12">
        <f>'Mid Sem'!A45</f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x14ac:dyDescent="0.25" r="46" customHeight="1" ht="18.75">
      <c r="A46" s="20">
        <f>'Mid Sem'!B46</f>
      </c>
      <c r="B46" s="12">
        <f>'Mid Sem'!A46</f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x14ac:dyDescent="0.25" r="47" customHeight="1" ht="18.75">
      <c r="A47" s="20">
        <f>'Mid Sem'!B47</f>
      </c>
      <c r="B47" s="12">
        <f>'Mid Sem'!A47</f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x14ac:dyDescent="0.25" r="48" customHeight="1" ht="18.75">
      <c r="A48" s="20">
        <f>'Mid Sem'!B48</f>
      </c>
      <c r="B48" s="12">
        <f>'Mid Sem'!A48</f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x14ac:dyDescent="0.25" r="49" customHeight="1" ht="18.75">
      <c r="A49" s="20">
        <f>'Mid Sem'!B49</f>
      </c>
      <c r="B49" s="12">
        <f>'Mid Sem'!A49</f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x14ac:dyDescent="0.25" r="50" customHeight="1" ht="18.75">
      <c r="A50" s="20">
        <f>'Mid Sem'!B50</f>
      </c>
      <c r="B50" s="12">
        <f>'Mid Sem'!A50</f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x14ac:dyDescent="0.25" r="51" customHeight="1" ht="18.75">
      <c r="A51" s="20">
        <f>'Mid Sem'!B51</f>
      </c>
      <c r="B51" s="12">
        <f>'Mid Sem'!A51</f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x14ac:dyDescent="0.25" r="52" customHeight="1" ht="18.75">
      <c r="A52" s="20">
        <f>'Mid Sem'!B52</f>
      </c>
      <c r="B52" s="12">
        <f>'Mid Sem'!A52</f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x14ac:dyDescent="0.25" r="53" customHeight="1" ht="18.75">
      <c r="A53" s="20">
        <f>'Mid Sem'!B53</f>
      </c>
      <c r="B53" s="12">
        <f>'Mid Sem'!A53</f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x14ac:dyDescent="0.25" r="54" customHeight="1" ht="18.75">
      <c r="A54" s="20">
        <f>'Mid Sem'!B54</f>
      </c>
      <c r="B54" s="12">
        <f>'Mid Sem'!A54</f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x14ac:dyDescent="0.25" r="55" customHeight="1" ht="18.75">
      <c r="A55" s="20">
        <f>'Mid Sem'!B55</f>
      </c>
      <c r="B55" s="12">
        <f>'Mid Sem'!A55</f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x14ac:dyDescent="0.25" r="56" customHeight="1" ht="18.75">
      <c r="A56" s="20">
        <f>'Mid Sem'!B56</f>
      </c>
      <c r="B56" s="12">
        <f>'Mid Sem'!A56</f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x14ac:dyDescent="0.25" r="57" customHeight="1" ht="18.75">
      <c r="A57" s="20">
        <f>'Mid Sem'!B57</f>
      </c>
      <c r="B57" s="12">
        <f>'Mid Sem'!A57</f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x14ac:dyDescent="0.25" r="58" customHeight="1" ht="18.75">
      <c r="A58" s="20">
        <f>'Mid Sem'!B58</f>
      </c>
      <c r="B58" s="12">
        <f>'Mid Sem'!A58</f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x14ac:dyDescent="0.25" r="59" customHeight="1" ht="18.75">
      <c r="A59" s="20">
        <f>'Mid Sem'!B59</f>
      </c>
      <c r="B59" s="12">
        <f>'Mid Sem'!A59</f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x14ac:dyDescent="0.25" r="60" customHeight="1" ht="18.75">
      <c r="A60" s="20">
        <f>'Mid Sem'!B60</f>
      </c>
      <c r="B60" s="12">
        <f>'Mid Sem'!A60</f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x14ac:dyDescent="0.25" r="61" customHeight="1" ht="18.75">
      <c r="A61" s="20">
        <f>'Mid Sem'!B61</f>
      </c>
      <c r="B61" s="12">
        <f>'Mid Sem'!A61</f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x14ac:dyDescent="0.25" r="62" customHeight="1" ht="18.75">
      <c r="A62" s="20">
        <f>'Mid Sem'!B62</f>
      </c>
      <c r="B62" s="12">
        <f>'Mid Sem'!A62</f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x14ac:dyDescent="0.25" r="63" customHeight="1" ht="18.75">
      <c r="A63" s="20">
        <f>'Mid Sem'!B63</f>
      </c>
      <c r="B63" s="12">
        <f>'Mid Sem'!A63</f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x14ac:dyDescent="0.25" r="64" customHeight="1" ht="18.75">
      <c r="A64" s="20">
        <f>'Mid Sem'!B64</f>
      </c>
      <c r="B64" s="12">
        <f>'Mid Sem'!A64</f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x14ac:dyDescent="0.25" r="65" customHeight="1" ht="18.75">
      <c r="A65" s="20">
        <f>'Mid Sem'!B65</f>
      </c>
      <c r="B65" s="20">
        <f>'Mid Sem'!A65</f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x14ac:dyDescent="0.25" r="66" customHeight="1" ht="18.75">
      <c r="A66" s="20">
        <f>'Mid Sem'!B66</f>
      </c>
      <c r="B66" s="20">
        <f>'Mid Sem'!A66</f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65"/>
  <sheetViews>
    <sheetView workbookViewId="0"/>
  </sheetViews>
  <sheetFormatPr defaultRowHeight="15" x14ac:dyDescent="0.25"/>
  <cols>
    <col min="1" max="1" style="4" width="10.147857142857141" customWidth="1" bestFit="1"/>
    <col min="2" max="2" style="4" width="24.290714285714284" customWidth="1" bestFit="1"/>
    <col min="3" max="3" style="5" width="4.576428571428571" customWidth="1" bestFit="1"/>
    <col min="4" max="4" style="5" width="4.576428571428571" customWidth="1" bestFit="1"/>
    <col min="5" max="5" style="5" width="4.576428571428571" customWidth="1" bestFit="1"/>
    <col min="6" max="6" style="5" width="4.576428571428571" customWidth="1" bestFit="1"/>
    <col min="7" max="7" style="5" width="4.576428571428571" customWidth="1" bestFit="1"/>
    <col min="8" max="8" style="5" width="4.576428571428571" customWidth="1" bestFit="1"/>
    <col min="9" max="9" style="5" width="4.576428571428571" customWidth="1" bestFit="1"/>
    <col min="10" max="10" style="5" width="4.576428571428571" customWidth="1" bestFit="1"/>
    <col min="11" max="11" style="5" width="4.576428571428571" customWidth="1" bestFit="1"/>
    <col min="12" max="12" style="5" width="4.576428571428571" customWidth="1" bestFit="1"/>
    <col min="13" max="13" style="5" width="4.576428571428571" customWidth="1" bestFit="1"/>
    <col min="14" max="14" style="22" width="5.433571428571429" customWidth="1" bestFit="1"/>
    <col min="15" max="15" style="5" width="4.719285714285714" customWidth="1" bestFit="1"/>
  </cols>
  <sheetData>
    <row x14ac:dyDescent="0.25" r="1" customHeight="1" ht="18.75">
      <c r="A1" s="8" t="s">
        <v>129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9"/>
    </row>
    <row x14ac:dyDescent="0.25" r="2" customHeight="1" ht="18.75">
      <c r="A2" s="8">
        <f>Marksheet!A2</f>
      </c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0"/>
      <c r="O2" s="11"/>
    </row>
    <row x14ac:dyDescent="0.25" r="3" customHeight="1" ht="18.75">
      <c r="A3" s="12"/>
      <c r="B3" s="12"/>
      <c r="C3" s="13" t="s">
        <v>130</v>
      </c>
      <c r="D3" s="13" t="s">
        <v>131</v>
      </c>
      <c r="E3" s="13" t="s">
        <v>132</v>
      </c>
      <c r="F3" s="13" t="s">
        <v>130</v>
      </c>
      <c r="G3" s="13" t="s">
        <v>131</v>
      </c>
      <c r="H3" s="13" t="s">
        <v>130</v>
      </c>
      <c r="I3" s="13" t="s">
        <v>132</v>
      </c>
      <c r="J3" s="13" t="s">
        <v>132</v>
      </c>
      <c r="K3" s="13" t="s">
        <v>133</v>
      </c>
      <c r="L3" s="13" t="s">
        <v>132</v>
      </c>
      <c r="M3" s="13" t="s">
        <v>133</v>
      </c>
      <c r="N3" s="12"/>
      <c r="O3" s="14"/>
    </row>
    <row x14ac:dyDescent="0.25" r="4" customHeight="1" ht="18.75">
      <c r="A4" s="15" t="s">
        <v>134</v>
      </c>
      <c r="B4" s="15" t="s">
        <v>1</v>
      </c>
      <c r="C4" s="16" t="s">
        <v>135</v>
      </c>
      <c r="D4" s="16" t="s">
        <v>136</v>
      </c>
      <c r="E4" s="16" t="s">
        <v>137</v>
      </c>
      <c r="F4" s="16" t="s">
        <v>138</v>
      </c>
      <c r="G4" s="16" t="s">
        <v>139</v>
      </c>
      <c r="H4" s="16" t="s">
        <v>140</v>
      </c>
      <c r="I4" s="16" t="s">
        <v>141</v>
      </c>
      <c r="J4" s="16" t="s">
        <v>142</v>
      </c>
      <c r="K4" s="16" t="s">
        <v>143</v>
      </c>
      <c r="L4" s="16" t="s">
        <v>144</v>
      </c>
      <c r="M4" s="16" t="s">
        <v>145</v>
      </c>
      <c r="N4" s="15" t="s">
        <v>146</v>
      </c>
      <c r="O4" s="16" t="s">
        <v>147</v>
      </c>
    </row>
    <row x14ac:dyDescent="0.25" r="5" customHeight="1" ht="18.75">
      <c r="A5" s="17"/>
      <c r="B5" s="17" t="s">
        <v>148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9">
        <v>40</v>
      </c>
      <c r="O5" s="18"/>
    </row>
    <row x14ac:dyDescent="0.25" r="6" customHeight="1" ht="18.75">
      <c r="A6" s="20">
        <f>Marksheet!B5</f>
      </c>
      <c r="B6" s="12">
        <f>Marksheet!A5</f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7"/>
      <c r="O6" s="14"/>
    </row>
    <row x14ac:dyDescent="0.25" r="7" customHeight="1" ht="18.75">
      <c r="A7" s="20">
        <f>Marksheet!B6</f>
      </c>
      <c r="B7" s="12">
        <f>Marksheet!A6</f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7"/>
      <c r="O7" s="14"/>
    </row>
    <row x14ac:dyDescent="0.25" r="8" customHeight="1" ht="18.75">
      <c r="A8" s="20">
        <f>Marksheet!B7</f>
      </c>
      <c r="B8" s="12">
        <f>Marksheet!A7</f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7"/>
      <c r="O8" s="14"/>
    </row>
    <row x14ac:dyDescent="0.25" r="9" customHeight="1" ht="18.75">
      <c r="A9" s="20">
        <f>Marksheet!B8</f>
      </c>
      <c r="B9" s="12">
        <f>Marksheet!A8</f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7"/>
      <c r="O9" s="14"/>
    </row>
    <row x14ac:dyDescent="0.25" r="10" customHeight="1" ht="18.75">
      <c r="A10" s="20">
        <f>Marksheet!B9</f>
      </c>
      <c r="B10" s="12">
        <f>Marksheet!A9</f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7"/>
      <c r="O10" s="14"/>
    </row>
    <row x14ac:dyDescent="0.25" r="11" customHeight="1" ht="18.75">
      <c r="A11" s="20">
        <f>Marksheet!B10</f>
      </c>
      <c r="B11" s="12">
        <f>Marksheet!A10</f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7"/>
      <c r="O11" s="14"/>
    </row>
    <row x14ac:dyDescent="0.25" r="12" customHeight="1" ht="18.75">
      <c r="A12" s="20">
        <f>Marksheet!B11</f>
      </c>
      <c r="B12" s="12">
        <f>Marksheet!A11</f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7"/>
      <c r="O12" s="14"/>
    </row>
    <row x14ac:dyDescent="0.25" r="13" customHeight="1" ht="18.75">
      <c r="A13" s="20">
        <f>Marksheet!B12</f>
      </c>
      <c r="B13" s="12">
        <f>Marksheet!A12</f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7"/>
      <c r="O13" s="14"/>
    </row>
    <row x14ac:dyDescent="0.25" r="14" customHeight="1" ht="18.75">
      <c r="A14" s="20">
        <f>Marksheet!B13</f>
      </c>
      <c r="B14" s="12">
        <f>Marksheet!A13</f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7"/>
      <c r="O14" s="14"/>
    </row>
    <row x14ac:dyDescent="0.25" r="15" customHeight="1" ht="18.75">
      <c r="A15" s="20">
        <f>Marksheet!B14</f>
      </c>
      <c r="B15" s="12">
        <f>Marksheet!A14</f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7"/>
      <c r="O15" s="14"/>
    </row>
    <row x14ac:dyDescent="0.25" r="16" customHeight="1" ht="18.75">
      <c r="A16" s="20">
        <f>Marksheet!B15</f>
      </c>
      <c r="B16" s="12">
        <f>Marksheet!A15</f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7"/>
      <c r="O16" s="14"/>
    </row>
    <row x14ac:dyDescent="0.25" r="17" customHeight="1" ht="18.75">
      <c r="A17" s="20">
        <f>Marksheet!B16</f>
      </c>
      <c r="B17" s="12">
        <f>Marksheet!A16</f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7"/>
      <c r="O17" s="14"/>
    </row>
    <row x14ac:dyDescent="0.25" r="18" customHeight="1" ht="18.75">
      <c r="A18" s="20">
        <f>Marksheet!B17</f>
      </c>
      <c r="B18" s="12">
        <f>Marksheet!A17</f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7"/>
      <c r="O18" s="14"/>
    </row>
    <row x14ac:dyDescent="0.25" r="19" customHeight="1" ht="18.75">
      <c r="A19" s="20">
        <f>Marksheet!B18</f>
      </c>
      <c r="B19" s="12">
        <f>Marksheet!A18</f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7"/>
      <c r="O19" s="14"/>
    </row>
    <row x14ac:dyDescent="0.25" r="20" customHeight="1" ht="18.75">
      <c r="A20" s="20">
        <f>Marksheet!B19</f>
      </c>
      <c r="B20" s="12">
        <f>Marksheet!A19</f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7"/>
      <c r="O20" s="14"/>
    </row>
    <row x14ac:dyDescent="0.25" r="21" customHeight="1" ht="18.75">
      <c r="A21" s="20">
        <f>Marksheet!B20</f>
      </c>
      <c r="B21" s="12">
        <f>Marksheet!A20</f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7"/>
      <c r="O21" s="14"/>
    </row>
    <row x14ac:dyDescent="0.25" r="22" customHeight="1" ht="18.75">
      <c r="A22" s="20">
        <f>Marksheet!B21</f>
      </c>
      <c r="B22" s="12">
        <f>Marksheet!A21</f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1"/>
      <c r="O22" s="2"/>
    </row>
    <row x14ac:dyDescent="0.25" r="23" customHeight="1" ht="18.75">
      <c r="A23" s="20">
        <f>Marksheet!B22</f>
      </c>
      <c r="B23" s="12">
        <f>Marksheet!A22</f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1"/>
      <c r="O23" s="2"/>
    </row>
    <row x14ac:dyDescent="0.25" r="24" customHeight="1" ht="18.75">
      <c r="A24" s="20">
        <f>Marksheet!B23</f>
      </c>
      <c r="B24" s="12">
        <f>Marksheet!A23</f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1"/>
      <c r="O24" s="2"/>
    </row>
    <row x14ac:dyDescent="0.25" r="25" customHeight="1" ht="18.75">
      <c r="A25" s="20">
        <f>Marksheet!B24</f>
      </c>
      <c r="B25" s="12">
        <f>Marksheet!A24</f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1"/>
      <c r="O25" s="2"/>
    </row>
    <row x14ac:dyDescent="0.25" r="26" customHeight="1" ht="18.75">
      <c r="A26" s="20">
        <f>Marksheet!B25</f>
      </c>
      <c r="B26" s="12">
        <f>Marksheet!A25</f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1"/>
      <c r="O26" s="2"/>
    </row>
    <row x14ac:dyDescent="0.25" r="27" customHeight="1" ht="18.75">
      <c r="A27" s="20">
        <f>Marksheet!B26</f>
      </c>
      <c r="B27" s="12">
        <f>Marksheet!A26</f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1"/>
      <c r="O27" s="2"/>
    </row>
    <row x14ac:dyDescent="0.25" r="28" customHeight="1" ht="18.75">
      <c r="A28" s="20">
        <f>Marksheet!B27</f>
      </c>
      <c r="B28" s="12">
        <f>Marksheet!A27</f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1"/>
      <c r="O28" s="2"/>
    </row>
    <row x14ac:dyDescent="0.25" r="29" customHeight="1" ht="18.75">
      <c r="A29" s="20">
        <f>Marksheet!B28</f>
      </c>
      <c r="B29" s="12">
        <f>Marksheet!A28</f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1"/>
      <c r="O29" s="2"/>
    </row>
    <row x14ac:dyDescent="0.25" r="30" customHeight="1" ht="18.75">
      <c r="A30" s="20">
        <f>Marksheet!B29</f>
      </c>
      <c r="B30" s="12">
        <f>Marksheet!A29</f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1"/>
      <c r="O30" s="2"/>
    </row>
    <row x14ac:dyDescent="0.25" r="31" customHeight="1" ht="18.75">
      <c r="A31" s="20">
        <f>Marksheet!B30</f>
      </c>
      <c r="B31" s="12">
        <f>Marksheet!A30</f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1"/>
      <c r="O31" s="2"/>
    </row>
    <row x14ac:dyDescent="0.25" r="32" customHeight="1" ht="18.75">
      <c r="A32" s="20">
        <f>Marksheet!B31</f>
      </c>
      <c r="B32" s="12">
        <f>Marksheet!A31</f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1"/>
      <c r="O32" s="2"/>
    </row>
    <row x14ac:dyDescent="0.25" r="33" customHeight="1" ht="18.75">
      <c r="A33" s="20">
        <f>Marksheet!B32</f>
      </c>
      <c r="B33" s="12">
        <f>Marksheet!A32</f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1"/>
      <c r="O33" s="2"/>
    </row>
    <row x14ac:dyDescent="0.25" r="34" customHeight="1" ht="18.75">
      <c r="A34" s="20">
        <f>Marksheet!B33</f>
      </c>
      <c r="B34" s="12">
        <f>Marksheet!A33</f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1"/>
      <c r="O34" s="2"/>
    </row>
    <row x14ac:dyDescent="0.25" r="35" customHeight="1" ht="18.75">
      <c r="A35" s="20">
        <f>Marksheet!B34</f>
      </c>
      <c r="B35" s="12">
        <f>Marksheet!A34</f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1"/>
      <c r="O35" s="2"/>
    </row>
    <row x14ac:dyDescent="0.25" r="36" customHeight="1" ht="18.75">
      <c r="A36" s="20">
        <f>Marksheet!B35</f>
      </c>
      <c r="B36" s="12">
        <f>Marksheet!A35</f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1"/>
      <c r="O36" s="2"/>
    </row>
    <row x14ac:dyDescent="0.25" r="37" customHeight="1" ht="18.75">
      <c r="A37" s="20">
        <f>Marksheet!B36</f>
      </c>
      <c r="B37" s="12">
        <f>Marksheet!A36</f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1"/>
      <c r="O37" s="2"/>
    </row>
    <row x14ac:dyDescent="0.25" r="38" customHeight="1" ht="18.75">
      <c r="A38" s="20">
        <f>Marksheet!B37</f>
      </c>
      <c r="B38" s="12">
        <f>Marksheet!A37</f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1"/>
      <c r="O38" s="2"/>
    </row>
    <row x14ac:dyDescent="0.25" r="39" customHeight="1" ht="18.75">
      <c r="A39" s="20">
        <f>Marksheet!B38</f>
      </c>
      <c r="B39" s="12">
        <f>Marksheet!A38</f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1"/>
      <c r="O39" s="2"/>
    </row>
    <row x14ac:dyDescent="0.25" r="40" customHeight="1" ht="18.75">
      <c r="A40" s="20">
        <f>Marksheet!B39</f>
      </c>
      <c r="B40" s="12">
        <f>Marksheet!A39</f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1"/>
      <c r="O40" s="2"/>
    </row>
    <row x14ac:dyDescent="0.25" r="41" customHeight="1" ht="18.75">
      <c r="A41" s="20">
        <f>Marksheet!B40</f>
      </c>
      <c r="B41" s="12">
        <f>Marksheet!A40</f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1"/>
      <c r="O41" s="2"/>
    </row>
    <row x14ac:dyDescent="0.25" r="42" customHeight="1" ht="18.75">
      <c r="A42" s="20">
        <f>Marksheet!B41</f>
      </c>
      <c r="B42" s="12">
        <f>Marksheet!A41</f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1"/>
      <c r="O42" s="2"/>
    </row>
    <row x14ac:dyDescent="0.25" r="43" customHeight="1" ht="18.75">
      <c r="A43" s="20">
        <f>Marksheet!B42</f>
      </c>
      <c r="B43" s="12">
        <f>Marksheet!A42</f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1"/>
      <c r="O43" s="2"/>
    </row>
    <row x14ac:dyDescent="0.25" r="44" customHeight="1" ht="18.75">
      <c r="A44" s="20">
        <f>Marksheet!B43</f>
      </c>
      <c r="B44" s="12">
        <f>Marksheet!A43</f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1"/>
      <c r="O44" s="2"/>
    </row>
    <row x14ac:dyDescent="0.25" r="45" customHeight="1" ht="18.75">
      <c r="A45" s="20">
        <f>Marksheet!B44</f>
      </c>
      <c r="B45" s="12">
        <f>Marksheet!A44</f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1"/>
      <c r="O45" s="2"/>
    </row>
    <row x14ac:dyDescent="0.25" r="46" customHeight="1" ht="18.75">
      <c r="A46" s="20">
        <f>Marksheet!B45</f>
      </c>
      <c r="B46" s="12">
        <f>Marksheet!A45</f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1"/>
      <c r="O46" s="2"/>
    </row>
    <row x14ac:dyDescent="0.25" r="47" customHeight="1" ht="18.75">
      <c r="A47" s="20">
        <f>Marksheet!B46</f>
      </c>
      <c r="B47" s="12">
        <f>Marksheet!A46</f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1"/>
      <c r="O47" s="2"/>
    </row>
    <row x14ac:dyDescent="0.25" r="48" customHeight="1" ht="18.75">
      <c r="A48" s="20">
        <f>Marksheet!B47</f>
      </c>
      <c r="B48" s="12">
        <f>Marksheet!A47</f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1"/>
      <c r="O48" s="2"/>
    </row>
    <row x14ac:dyDescent="0.25" r="49" customHeight="1" ht="18.75">
      <c r="A49" s="20">
        <f>Marksheet!B48</f>
      </c>
      <c r="B49" s="12">
        <f>Marksheet!A48</f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1"/>
      <c r="O49" s="2"/>
    </row>
    <row x14ac:dyDescent="0.25" r="50" customHeight="1" ht="18.75">
      <c r="A50" s="20">
        <f>Marksheet!B49</f>
      </c>
      <c r="B50" s="12">
        <f>Marksheet!A49</f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1"/>
      <c r="O50" s="2"/>
    </row>
    <row x14ac:dyDescent="0.25" r="51" customHeight="1" ht="18.75">
      <c r="A51" s="20">
        <f>Marksheet!B50</f>
      </c>
      <c r="B51" s="12">
        <f>Marksheet!A50</f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1"/>
      <c r="O51" s="2"/>
    </row>
    <row x14ac:dyDescent="0.25" r="52" customHeight="1" ht="18.75">
      <c r="A52" s="20">
        <f>Marksheet!B51</f>
      </c>
      <c r="B52" s="12">
        <f>Marksheet!A51</f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1"/>
      <c r="O52" s="2"/>
    </row>
    <row x14ac:dyDescent="0.25" r="53" customHeight="1" ht="18.75">
      <c r="A53" s="20">
        <f>Marksheet!B52</f>
      </c>
      <c r="B53" s="12">
        <f>Marksheet!A52</f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1"/>
      <c r="O53" s="2"/>
    </row>
    <row x14ac:dyDescent="0.25" r="54" customHeight="1" ht="18.75">
      <c r="A54" s="20">
        <f>Marksheet!B53</f>
      </c>
      <c r="B54" s="12">
        <f>Marksheet!A53</f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1"/>
      <c r="O54" s="2"/>
    </row>
    <row x14ac:dyDescent="0.25" r="55" customHeight="1" ht="18.75">
      <c r="A55" s="20">
        <f>Marksheet!B54</f>
      </c>
      <c r="B55" s="12">
        <f>Marksheet!A54</f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1"/>
      <c r="O55" s="2"/>
    </row>
    <row x14ac:dyDescent="0.25" r="56" customHeight="1" ht="18.75">
      <c r="A56" s="20">
        <f>Marksheet!B55</f>
      </c>
      <c r="B56" s="12">
        <f>Marksheet!A55</f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1"/>
      <c r="O56" s="2"/>
    </row>
    <row x14ac:dyDescent="0.25" r="57" customHeight="1" ht="18.75">
      <c r="A57" s="20">
        <f>Marksheet!B56</f>
      </c>
      <c r="B57" s="12">
        <f>Marksheet!A56</f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1"/>
      <c r="O57" s="2"/>
    </row>
    <row x14ac:dyDescent="0.25" r="58" customHeight="1" ht="18.75">
      <c r="A58" s="20">
        <f>Marksheet!B57</f>
      </c>
      <c r="B58" s="12">
        <f>Marksheet!A57</f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1"/>
      <c r="O58" s="2"/>
    </row>
    <row x14ac:dyDescent="0.25" r="59" customHeight="1" ht="18.75">
      <c r="A59" s="20">
        <f>Marksheet!B58</f>
      </c>
      <c r="B59" s="12">
        <f>Marksheet!A58</f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1"/>
      <c r="O59" s="2"/>
    </row>
    <row x14ac:dyDescent="0.25" r="60" customHeight="1" ht="18.75">
      <c r="A60" s="20">
        <f>Marksheet!B59</f>
      </c>
      <c r="B60" s="12">
        <f>Marksheet!A59</f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1"/>
      <c r="O60" s="2"/>
    </row>
    <row x14ac:dyDescent="0.25" r="61" customHeight="1" ht="18.75">
      <c r="A61" s="20">
        <f>Marksheet!B60</f>
      </c>
      <c r="B61" s="12">
        <f>Marksheet!A60</f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1"/>
      <c r="O61" s="2"/>
    </row>
    <row x14ac:dyDescent="0.25" r="62" customHeight="1" ht="18.75">
      <c r="A62" s="20">
        <f>Marksheet!B61</f>
      </c>
      <c r="B62" s="12">
        <f>Marksheet!A61</f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1"/>
      <c r="O62" s="2"/>
    </row>
    <row x14ac:dyDescent="0.25" r="63" customHeight="1" ht="18.75">
      <c r="A63" s="20">
        <f>Marksheet!B62</f>
      </c>
      <c r="B63" s="12">
        <f>Marksheet!A62</f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1"/>
      <c r="O63" s="2"/>
    </row>
    <row x14ac:dyDescent="0.25" r="64" customHeight="1" ht="18.75">
      <c r="A64" s="20">
        <f>Marksheet!B63</f>
      </c>
      <c r="B64" s="12">
        <f>Marksheet!A63</f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1"/>
      <c r="O64" s="2"/>
    </row>
    <row x14ac:dyDescent="0.25" r="65" customHeight="1" ht="18.75">
      <c r="A65" s="20">
        <f>Marksheet!B64</f>
      </c>
      <c r="B65" s="20">
        <f>Marksheet!A64</f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1"/>
      <c r="O65" s="2"/>
    </row>
  </sheetData>
  <mergeCells count="2">
    <mergeCell ref="A1:O1"/>
    <mergeCell ref="A2:O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60"/>
  <sheetViews>
    <sheetView workbookViewId="0"/>
  </sheetViews>
  <sheetFormatPr defaultRowHeight="15" x14ac:dyDescent="0.25"/>
  <cols>
    <col min="1" max="1" style="4" width="18.290714285714284" customWidth="1" bestFit="1"/>
    <col min="2" max="2" style="5" width="25.862142857142857" customWidth="1" bestFit="1"/>
    <col min="3" max="3" style="5" width="20.14785714285714" customWidth="1" bestFit="1"/>
    <col min="4" max="4" style="4" width="20.719285714285714" customWidth="1" bestFit="1"/>
    <col min="5" max="5" style="5" width="11.005" customWidth="1" bestFit="1"/>
    <col min="6" max="6" style="5" width="44.005" customWidth="1" bestFit="1"/>
  </cols>
  <sheetData>
    <row x14ac:dyDescent="0.25" r="1" customHeight="1" ht="18.75">
      <c r="A1" s="6" t="s">
        <v>0</v>
      </c>
      <c r="B1" s="7" t="s">
        <v>1</v>
      </c>
      <c r="C1" s="7" t="s">
        <v>2</v>
      </c>
      <c r="D1" s="6" t="s">
        <v>3</v>
      </c>
      <c r="E1" s="7" t="s">
        <v>4</v>
      </c>
      <c r="F1" s="7" t="s">
        <v>5</v>
      </c>
    </row>
    <row x14ac:dyDescent="0.25" r="2" customHeight="1" ht="18.75">
      <c r="A2" s="3">
        <v>590029330</v>
      </c>
      <c r="B2" s="7" t="s">
        <v>68</v>
      </c>
      <c r="C2" s="7" t="s">
        <v>69</v>
      </c>
      <c r="D2" s="3">
        <v>25010104997</v>
      </c>
      <c r="E2" s="7" t="s">
        <v>9</v>
      </c>
      <c r="F2" s="7" t="s">
        <v>70</v>
      </c>
    </row>
    <row x14ac:dyDescent="0.25" r="3" customHeight="1" ht="18.75" hidden="1">
      <c r="A3" s="3">
        <v>590029213</v>
      </c>
      <c r="B3" s="7" t="s">
        <v>7</v>
      </c>
      <c r="C3" s="7" t="s">
        <v>8</v>
      </c>
      <c r="D3" s="3">
        <v>122507103</v>
      </c>
      <c r="E3" s="7" t="s">
        <v>9</v>
      </c>
      <c r="F3" s="7" t="s">
        <v>10</v>
      </c>
    </row>
    <row x14ac:dyDescent="0.25" r="4" customHeight="1" ht="18.75">
      <c r="A4" s="3">
        <v>590027630</v>
      </c>
      <c r="B4" s="7" t="s">
        <v>71</v>
      </c>
      <c r="C4" s="7" t="s">
        <v>72</v>
      </c>
      <c r="D4" s="3">
        <v>25010105001</v>
      </c>
      <c r="E4" s="7" t="s">
        <v>9</v>
      </c>
      <c r="F4" s="7" t="s">
        <v>70</v>
      </c>
    </row>
    <row x14ac:dyDescent="0.25" r="5" customHeight="1" ht="18.75" hidden="1">
      <c r="A5" s="3">
        <v>590029270</v>
      </c>
      <c r="B5" s="7" t="s">
        <v>11</v>
      </c>
      <c r="C5" s="7" t="s">
        <v>12</v>
      </c>
      <c r="D5" s="3">
        <v>25010104938</v>
      </c>
      <c r="E5" s="7" t="s">
        <v>9</v>
      </c>
      <c r="F5" s="7" t="s">
        <v>10</v>
      </c>
    </row>
    <row x14ac:dyDescent="0.25" r="6" customHeight="1" ht="18.75">
      <c r="A6" s="3">
        <v>590029219</v>
      </c>
      <c r="B6" s="7" t="s">
        <v>73</v>
      </c>
      <c r="C6" s="7" t="s">
        <v>74</v>
      </c>
      <c r="D6" s="3">
        <v>25010104956</v>
      </c>
      <c r="E6" s="7" t="s">
        <v>9</v>
      </c>
      <c r="F6" s="7" t="s">
        <v>70</v>
      </c>
    </row>
    <row x14ac:dyDescent="0.25" r="7" customHeight="1" ht="18.75" hidden="1">
      <c r="A7" s="3">
        <v>590029204</v>
      </c>
      <c r="B7" s="7" t="s">
        <v>13</v>
      </c>
      <c r="C7" s="7" t="s">
        <v>14</v>
      </c>
      <c r="D7" s="3">
        <v>25010104918</v>
      </c>
      <c r="E7" s="7" t="s">
        <v>9</v>
      </c>
      <c r="F7" s="7" t="s">
        <v>10</v>
      </c>
    </row>
    <row x14ac:dyDescent="0.25" r="8" customHeight="1" ht="18.75" hidden="1">
      <c r="A8" s="3">
        <v>590029109</v>
      </c>
      <c r="B8" s="7" t="s">
        <v>15</v>
      </c>
      <c r="C8" s="7" t="s">
        <v>16</v>
      </c>
      <c r="D8" s="3">
        <v>25010104943</v>
      </c>
      <c r="E8" s="7" t="s">
        <v>9</v>
      </c>
      <c r="F8" s="7" t="s">
        <v>10</v>
      </c>
    </row>
    <row x14ac:dyDescent="0.25" r="9" customHeight="1" ht="18.75">
      <c r="A9" s="3">
        <v>590028933</v>
      </c>
      <c r="B9" s="7" t="s">
        <v>75</v>
      </c>
      <c r="C9" s="7" t="s">
        <v>76</v>
      </c>
      <c r="D9" s="3">
        <v>25010104948</v>
      </c>
      <c r="E9" s="7" t="s">
        <v>9</v>
      </c>
      <c r="F9" s="7" t="s">
        <v>70</v>
      </c>
    </row>
    <row x14ac:dyDescent="0.25" r="10" customHeight="1" ht="18.75" hidden="1">
      <c r="A10" s="3">
        <v>590029070</v>
      </c>
      <c r="B10" s="7" t="s">
        <v>17</v>
      </c>
      <c r="C10" s="7" t="s">
        <v>18</v>
      </c>
      <c r="D10" s="3">
        <v>25010104926</v>
      </c>
      <c r="E10" s="7" t="s">
        <v>9</v>
      </c>
      <c r="F10" s="7" t="s">
        <v>10</v>
      </c>
    </row>
    <row x14ac:dyDescent="0.25" r="11" customHeight="1" ht="18.75">
      <c r="A11" s="3">
        <v>590027859</v>
      </c>
      <c r="B11" s="7" t="s">
        <v>77</v>
      </c>
      <c r="C11" s="7" t="s">
        <v>78</v>
      </c>
      <c r="D11" s="3">
        <v>25010104974</v>
      </c>
      <c r="E11" s="7" t="s">
        <v>9</v>
      </c>
      <c r="F11" s="7" t="s">
        <v>70</v>
      </c>
    </row>
    <row x14ac:dyDescent="0.25" r="12" customHeight="1" ht="18.75" hidden="1">
      <c r="A12" s="3">
        <v>590029157</v>
      </c>
      <c r="B12" s="7" t="s">
        <v>19</v>
      </c>
      <c r="C12" s="7" t="s">
        <v>20</v>
      </c>
      <c r="D12" s="3">
        <v>25010104890</v>
      </c>
      <c r="E12" s="7" t="s">
        <v>9</v>
      </c>
      <c r="F12" s="7" t="s">
        <v>10</v>
      </c>
    </row>
    <row x14ac:dyDescent="0.25" r="13" customHeight="1" ht="18.75" hidden="1">
      <c r="A13" s="3">
        <v>590027157</v>
      </c>
      <c r="B13" s="7" t="s">
        <v>21</v>
      </c>
      <c r="C13" s="7" t="s">
        <v>22</v>
      </c>
      <c r="D13" s="3">
        <v>25010104880</v>
      </c>
      <c r="E13" s="7" t="s">
        <v>9</v>
      </c>
      <c r="F13" s="7" t="s">
        <v>10</v>
      </c>
    </row>
    <row x14ac:dyDescent="0.25" r="14" customHeight="1" ht="18.75">
      <c r="A14" s="3">
        <v>590028682</v>
      </c>
      <c r="B14" s="7" t="s">
        <v>79</v>
      </c>
      <c r="C14" s="7" t="s">
        <v>80</v>
      </c>
      <c r="D14" s="3">
        <v>25010104995</v>
      </c>
      <c r="E14" s="7" t="s">
        <v>9</v>
      </c>
      <c r="F14" s="7" t="s">
        <v>70</v>
      </c>
    </row>
    <row x14ac:dyDescent="0.25" r="15" customHeight="1" ht="18.75">
      <c r="A15" s="3">
        <v>590023917</v>
      </c>
      <c r="B15" s="7" t="s">
        <v>81</v>
      </c>
      <c r="C15" s="7" t="s">
        <v>82</v>
      </c>
      <c r="D15" s="3">
        <v>25010105012</v>
      </c>
      <c r="E15" s="7" t="s">
        <v>9</v>
      </c>
      <c r="F15" s="7" t="s">
        <v>70</v>
      </c>
    </row>
    <row x14ac:dyDescent="0.25" r="16" customHeight="1" ht="18.75">
      <c r="A16" s="3">
        <v>590023785</v>
      </c>
      <c r="B16" s="7" t="s">
        <v>83</v>
      </c>
      <c r="C16" s="7" t="s">
        <v>84</v>
      </c>
      <c r="D16" s="3">
        <v>25010104947</v>
      </c>
      <c r="E16" s="7" t="s">
        <v>9</v>
      </c>
      <c r="F16" s="7" t="s">
        <v>70</v>
      </c>
    </row>
    <row x14ac:dyDescent="0.25" r="17" customHeight="1" ht="18.75" hidden="1">
      <c r="A17" s="3">
        <v>590029274</v>
      </c>
      <c r="B17" s="7" t="s">
        <v>23</v>
      </c>
      <c r="C17" s="7" t="s">
        <v>24</v>
      </c>
      <c r="D17" s="3">
        <v>25010104928</v>
      </c>
      <c r="E17" s="7" t="s">
        <v>9</v>
      </c>
      <c r="F17" s="7" t="s">
        <v>10</v>
      </c>
    </row>
    <row x14ac:dyDescent="0.25" r="18" customHeight="1" ht="18.75">
      <c r="A18" s="3">
        <v>590029264</v>
      </c>
      <c r="B18" s="7" t="s">
        <v>85</v>
      </c>
      <c r="C18" s="7" t="s">
        <v>86</v>
      </c>
      <c r="D18" s="3">
        <v>25010104986</v>
      </c>
      <c r="E18" s="7" t="s">
        <v>9</v>
      </c>
      <c r="F18" s="7" t="s">
        <v>70</v>
      </c>
    </row>
    <row x14ac:dyDescent="0.25" r="19" customHeight="1" ht="18.75">
      <c r="A19" s="3">
        <v>590029042</v>
      </c>
      <c r="B19" s="7" t="s">
        <v>87</v>
      </c>
      <c r="C19" s="7" t="s">
        <v>88</v>
      </c>
      <c r="D19" s="3">
        <v>25010104982</v>
      </c>
      <c r="E19" s="7" t="s">
        <v>9</v>
      </c>
      <c r="F19" s="7" t="s">
        <v>70</v>
      </c>
    </row>
    <row x14ac:dyDescent="0.25" r="20" customHeight="1" ht="18.75">
      <c r="A20" s="3">
        <v>590029336</v>
      </c>
      <c r="B20" s="7" t="s">
        <v>89</v>
      </c>
      <c r="C20" s="7" t="s">
        <v>90</v>
      </c>
      <c r="D20" s="3">
        <v>25010104998</v>
      </c>
      <c r="E20" s="7" t="s">
        <v>9</v>
      </c>
      <c r="F20" s="7" t="s">
        <v>70</v>
      </c>
    </row>
    <row x14ac:dyDescent="0.25" r="21" customHeight="1" ht="18.75" hidden="1">
      <c r="A21" s="3">
        <v>590028572</v>
      </c>
      <c r="B21" s="7" t="s">
        <v>25</v>
      </c>
      <c r="C21" s="7" t="s">
        <v>26</v>
      </c>
      <c r="D21" s="3">
        <v>25010104903</v>
      </c>
      <c r="E21" s="7" t="s">
        <v>9</v>
      </c>
      <c r="F21" s="7" t="s">
        <v>10</v>
      </c>
    </row>
    <row x14ac:dyDescent="0.25" r="22" customHeight="1" ht="18.75" hidden="1">
      <c r="A22" s="3">
        <v>590029230</v>
      </c>
      <c r="B22" s="7" t="s">
        <v>27</v>
      </c>
      <c r="C22" s="7" t="s">
        <v>28</v>
      </c>
      <c r="D22" s="3">
        <v>25010104910</v>
      </c>
      <c r="E22" s="7" t="s">
        <v>9</v>
      </c>
      <c r="F22" s="7" t="s">
        <v>10</v>
      </c>
    </row>
    <row x14ac:dyDescent="0.25" r="23" customHeight="1" ht="18.75" hidden="1">
      <c r="A23" s="3">
        <v>590029169</v>
      </c>
      <c r="B23" s="7" t="s">
        <v>29</v>
      </c>
      <c r="C23" s="7" t="s">
        <v>30</v>
      </c>
      <c r="D23" s="3">
        <v>25010104944</v>
      </c>
      <c r="E23" s="7" t="s">
        <v>9</v>
      </c>
      <c r="F23" s="7" t="s">
        <v>10</v>
      </c>
    </row>
    <row x14ac:dyDescent="0.25" r="24" customHeight="1" ht="18.75">
      <c r="A24" s="3">
        <v>590029233</v>
      </c>
      <c r="B24" s="7" t="s">
        <v>91</v>
      </c>
      <c r="C24" s="7" t="s">
        <v>92</v>
      </c>
      <c r="D24" s="3">
        <v>25010104996</v>
      </c>
      <c r="E24" s="7" t="s">
        <v>9</v>
      </c>
      <c r="F24" s="7" t="s">
        <v>70</v>
      </c>
    </row>
    <row x14ac:dyDescent="0.25" r="25" customHeight="1" ht="18.75" hidden="1">
      <c r="A25" s="3">
        <v>590029112</v>
      </c>
      <c r="B25" s="7" t="s">
        <v>31</v>
      </c>
      <c r="C25" s="7" t="s">
        <v>32</v>
      </c>
      <c r="D25" s="3">
        <v>25010104876</v>
      </c>
      <c r="E25" s="7" t="s">
        <v>9</v>
      </c>
      <c r="F25" s="7" t="s">
        <v>10</v>
      </c>
    </row>
    <row x14ac:dyDescent="0.25" r="26" customHeight="1" ht="18.75" hidden="1">
      <c r="A26" s="3">
        <v>590025556</v>
      </c>
      <c r="B26" s="7" t="s">
        <v>33</v>
      </c>
      <c r="C26" s="7" t="s">
        <v>34</v>
      </c>
      <c r="D26" s="3">
        <v>122515743</v>
      </c>
      <c r="E26" s="7" t="s">
        <v>9</v>
      </c>
      <c r="F26" s="7" t="s">
        <v>10</v>
      </c>
    </row>
    <row x14ac:dyDescent="0.25" r="27" customHeight="1" ht="18.75" hidden="1">
      <c r="A27" s="3">
        <v>590027830</v>
      </c>
      <c r="B27" s="7" t="s">
        <v>35</v>
      </c>
      <c r="C27" s="7" t="s">
        <v>36</v>
      </c>
      <c r="D27" s="3">
        <v>25010104886</v>
      </c>
      <c r="E27" s="7" t="s">
        <v>9</v>
      </c>
      <c r="F27" s="7" t="s">
        <v>10</v>
      </c>
    </row>
    <row x14ac:dyDescent="0.25" r="28" customHeight="1" ht="18.75" hidden="1">
      <c r="A28" s="3">
        <v>590028360</v>
      </c>
      <c r="B28" s="7" t="s">
        <v>37</v>
      </c>
      <c r="C28" s="7" t="s">
        <v>38</v>
      </c>
      <c r="D28" s="3">
        <v>25010104881</v>
      </c>
      <c r="E28" s="7" t="s">
        <v>9</v>
      </c>
      <c r="F28" s="7" t="s">
        <v>10</v>
      </c>
    </row>
    <row x14ac:dyDescent="0.25" r="29" customHeight="1" ht="18.75" hidden="1">
      <c r="A29" s="3">
        <v>590029237</v>
      </c>
      <c r="B29" s="7" t="s">
        <v>39</v>
      </c>
      <c r="C29" s="7" t="s">
        <v>40</v>
      </c>
      <c r="D29" s="3">
        <v>25010104909</v>
      </c>
      <c r="E29" s="7" t="s">
        <v>9</v>
      </c>
      <c r="F29" s="7" t="s">
        <v>10</v>
      </c>
    </row>
    <row x14ac:dyDescent="0.25" r="30" customHeight="1" ht="18.75">
      <c r="A30" s="3">
        <v>590029328</v>
      </c>
      <c r="B30" s="7" t="s">
        <v>93</v>
      </c>
      <c r="C30" s="7" t="s">
        <v>94</v>
      </c>
      <c r="D30" s="3">
        <v>25010105010</v>
      </c>
      <c r="E30" s="7" t="s">
        <v>9</v>
      </c>
      <c r="F30" s="7" t="s">
        <v>70</v>
      </c>
    </row>
    <row x14ac:dyDescent="0.25" r="31" customHeight="1" ht="18.75" hidden="1">
      <c r="A31" s="3">
        <v>590029079</v>
      </c>
      <c r="B31" s="7" t="s">
        <v>41</v>
      </c>
      <c r="C31" s="7" t="s">
        <v>42</v>
      </c>
      <c r="D31" s="3">
        <v>25010104906</v>
      </c>
      <c r="E31" s="7" t="s">
        <v>9</v>
      </c>
      <c r="F31" s="7" t="s">
        <v>10</v>
      </c>
    </row>
    <row x14ac:dyDescent="0.25" r="32" customHeight="1" ht="18.75" hidden="1">
      <c r="A32" s="3">
        <v>590029145</v>
      </c>
      <c r="B32" s="7" t="s">
        <v>43</v>
      </c>
      <c r="C32" s="7" t="s">
        <v>44</v>
      </c>
      <c r="D32" s="3">
        <v>25010104892</v>
      </c>
      <c r="E32" s="7" t="s">
        <v>9</v>
      </c>
      <c r="F32" s="7" t="s">
        <v>10</v>
      </c>
    </row>
    <row x14ac:dyDescent="0.25" r="33" customHeight="1" ht="18.75" hidden="1">
      <c r="A33" s="3">
        <v>590029209</v>
      </c>
      <c r="B33" s="7" t="s">
        <v>45</v>
      </c>
      <c r="C33" s="7" t="s">
        <v>46</v>
      </c>
      <c r="D33" s="3">
        <v>25010104887</v>
      </c>
      <c r="E33" s="7" t="s">
        <v>9</v>
      </c>
      <c r="F33" s="7" t="s">
        <v>10</v>
      </c>
    </row>
    <row x14ac:dyDescent="0.25" r="34" customHeight="1" ht="18.75" hidden="1">
      <c r="A34" s="3">
        <v>590027268</v>
      </c>
      <c r="B34" s="7" t="s">
        <v>47</v>
      </c>
      <c r="C34" s="7" t="s">
        <v>48</v>
      </c>
      <c r="D34" s="3">
        <v>25010104933</v>
      </c>
      <c r="E34" s="7" t="s">
        <v>49</v>
      </c>
      <c r="F34" s="7" t="s">
        <v>10</v>
      </c>
    </row>
    <row x14ac:dyDescent="0.25" r="35" customHeight="1" ht="18.75" hidden="1">
      <c r="A35" s="3">
        <v>590029227</v>
      </c>
      <c r="B35" s="7" t="s">
        <v>50</v>
      </c>
      <c r="C35" s="7" t="s">
        <v>51</v>
      </c>
      <c r="D35" s="3">
        <v>25010104900</v>
      </c>
      <c r="E35" s="7" t="s">
        <v>9</v>
      </c>
      <c r="F35" s="7" t="s">
        <v>10</v>
      </c>
    </row>
    <row x14ac:dyDescent="0.25" r="36" customHeight="1" ht="18.75" hidden="1">
      <c r="A36" s="3">
        <v>590029241</v>
      </c>
      <c r="B36" s="7" t="s">
        <v>52</v>
      </c>
      <c r="C36" s="7" t="s">
        <v>53</v>
      </c>
      <c r="D36" s="3">
        <v>25010104915</v>
      </c>
      <c r="E36" s="7" t="s">
        <v>9</v>
      </c>
      <c r="F36" s="7" t="s">
        <v>10</v>
      </c>
    </row>
    <row x14ac:dyDescent="0.25" r="37" customHeight="1" ht="18.75" hidden="1">
      <c r="A37" s="3">
        <v>590023855</v>
      </c>
      <c r="B37" s="7" t="s">
        <v>54</v>
      </c>
      <c r="C37" s="7" t="s">
        <v>55</v>
      </c>
      <c r="D37" s="3">
        <v>25010104868</v>
      </c>
      <c r="E37" s="7" t="s">
        <v>9</v>
      </c>
      <c r="F37" s="7" t="s">
        <v>10</v>
      </c>
    </row>
    <row x14ac:dyDescent="0.25" r="38" customHeight="1" ht="18.75">
      <c r="A38" s="3">
        <v>590028608</v>
      </c>
      <c r="B38" s="7" t="s">
        <v>95</v>
      </c>
      <c r="C38" s="7" t="s">
        <v>96</v>
      </c>
      <c r="D38" s="3">
        <v>25010104999</v>
      </c>
      <c r="E38" s="7" t="s">
        <v>9</v>
      </c>
      <c r="F38" s="7" t="s">
        <v>70</v>
      </c>
    </row>
    <row x14ac:dyDescent="0.25" r="39" customHeight="1" ht="18.75" hidden="1">
      <c r="A39" s="3">
        <v>590029215</v>
      </c>
      <c r="B39" s="7" t="s">
        <v>56</v>
      </c>
      <c r="C39" s="7" t="s">
        <v>57</v>
      </c>
      <c r="D39" s="3">
        <v>25010104884</v>
      </c>
      <c r="E39" s="7" t="s">
        <v>9</v>
      </c>
      <c r="F39" s="7" t="s">
        <v>10</v>
      </c>
    </row>
    <row x14ac:dyDescent="0.25" r="40" customHeight="1" ht="18.75" hidden="1">
      <c r="A40" s="3">
        <v>590029111</v>
      </c>
      <c r="B40" s="7" t="s">
        <v>58</v>
      </c>
      <c r="C40" s="7" t="s">
        <v>59</v>
      </c>
      <c r="D40" s="3">
        <v>25010104888</v>
      </c>
      <c r="E40" s="7" t="s">
        <v>9</v>
      </c>
      <c r="F40" s="7" t="s">
        <v>10</v>
      </c>
    </row>
    <row x14ac:dyDescent="0.25" r="41" customHeight="1" ht="18.75">
      <c r="A41" s="3">
        <v>590028605</v>
      </c>
      <c r="B41" s="7" t="s">
        <v>97</v>
      </c>
      <c r="C41" s="7" t="s">
        <v>98</v>
      </c>
      <c r="D41" s="3">
        <v>25010104326</v>
      </c>
      <c r="E41" s="7" t="s">
        <v>9</v>
      </c>
      <c r="F41" s="7" t="s">
        <v>70</v>
      </c>
    </row>
    <row x14ac:dyDescent="0.25" r="42" customHeight="1" ht="18.75" hidden="1">
      <c r="A42" s="3">
        <v>590028683</v>
      </c>
      <c r="B42" s="7" t="s">
        <v>60</v>
      </c>
      <c r="C42" s="7" t="s">
        <v>61</v>
      </c>
      <c r="D42" s="3">
        <v>25010104936</v>
      </c>
      <c r="E42" s="7" t="s">
        <v>9</v>
      </c>
      <c r="F42" s="7" t="s">
        <v>10</v>
      </c>
    </row>
    <row x14ac:dyDescent="0.25" r="43" customHeight="1" ht="18.75" hidden="1">
      <c r="A43" s="3">
        <v>590029121</v>
      </c>
      <c r="B43" s="7" t="s">
        <v>62</v>
      </c>
      <c r="C43" s="7" t="s">
        <v>63</v>
      </c>
      <c r="D43" s="3">
        <v>25010104875</v>
      </c>
      <c r="E43" s="7" t="s">
        <v>9</v>
      </c>
      <c r="F43" s="7" t="s">
        <v>10</v>
      </c>
    </row>
    <row x14ac:dyDescent="0.25" r="44" customHeight="1" ht="18.75">
      <c r="A44" s="3">
        <v>590026626</v>
      </c>
      <c r="B44" s="7" t="s">
        <v>99</v>
      </c>
      <c r="C44" s="7" t="s">
        <v>100</v>
      </c>
      <c r="D44" s="3">
        <v>25010104601</v>
      </c>
      <c r="E44" s="7" t="s">
        <v>9</v>
      </c>
      <c r="F44" s="7" t="s">
        <v>70</v>
      </c>
    </row>
    <row x14ac:dyDescent="0.25" r="45" customHeight="1" ht="18.75">
      <c r="A45" s="3">
        <v>590029310</v>
      </c>
      <c r="B45" s="7" t="s">
        <v>101</v>
      </c>
      <c r="C45" s="7" t="s">
        <v>102</v>
      </c>
      <c r="D45" s="3">
        <v>25010104970</v>
      </c>
      <c r="E45" s="7" t="s">
        <v>9</v>
      </c>
      <c r="F45" s="7" t="s">
        <v>70</v>
      </c>
    </row>
    <row x14ac:dyDescent="0.25" r="46" customHeight="1" ht="18.75">
      <c r="A46" s="3">
        <v>590029319</v>
      </c>
      <c r="B46" s="7" t="s">
        <v>103</v>
      </c>
      <c r="C46" s="7" t="s">
        <v>104</v>
      </c>
      <c r="D46" s="3">
        <v>25010105008</v>
      </c>
      <c r="E46" s="7" t="s">
        <v>9</v>
      </c>
      <c r="F46" s="7" t="s">
        <v>70</v>
      </c>
    </row>
    <row x14ac:dyDescent="0.25" r="47" customHeight="1" ht="18.75" hidden="1">
      <c r="A47" s="3">
        <v>590029048</v>
      </c>
      <c r="B47" s="7" t="s">
        <v>64</v>
      </c>
      <c r="C47" s="7" t="s">
        <v>65</v>
      </c>
      <c r="D47" s="3">
        <v>25010104925</v>
      </c>
      <c r="E47" s="7" t="s">
        <v>9</v>
      </c>
      <c r="F47" s="7" t="s">
        <v>10</v>
      </c>
    </row>
    <row x14ac:dyDescent="0.25" r="48" customHeight="1" ht="18.75" hidden="1">
      <c r="A48" s="3">
        <v>590029184</v>
      </c>
      <c r="B48" s="7" t="s">
        <v>66</v>
      </c>
      <c r="C48" s="7" t="s">
        <v>67</v>
      </c>
      <c r="D48" s="3">
        <v>25010104879</v>
      </c>
      <c r="E48" s="7" t="s">
        <v>9</v>
      </c>
      <c r="F48" s="7" t="s">
        <v>10</v>
      </c>
    </row>
    <row x14ac:dyDescent="0.25" r="49" customHeight="1" ht="18.75">
      <c r="A49" s="3">
        <v>590029339</v>
      </c>
      <c r="B49" s="7" t="s">
        <v>105</v>
      </c>
      <c r="C49" s="7" t="s">
        <v>106</v>
      </c>
      <c r="D49" s="3">
        <v>25010105011</v>
      </c>
      <c r="E49" s="7" t="s">
        <v>9</v>
      </c>
      <c r="F49" s="7" t="s">
        <v>70</v>
      </c>
    </row>
    <row x14ac:dyDescent="0.25" r="50" customHeight="1" ht="18.75">
      <c r="A50" s="3">
        <v>590029148</v>
      </c>
      <c r="B50" s="7" t="s">
        <v>107</v>
      </c>
      <c r="C50" s="7" t="s">
        <v>108</v>
      </c>
      <c r="D50" s="3">
        <v>25010104992</v>
      </c>
      <c r="E50" s="7" t="s">
        <v>9</v>
      </c>
      <c r="F50" s="7" t="s">
        <v>70</v>
      </c>
    </row>
    <row x14ac:dyDescent="0.25" r="51" customHeight="1" ht="18.75">
      <c r="A51" s="3">
        <v>590029309</v>
      </c>
      <c r="B51" s="7" t="s">
        <v>109</v>
      </c>
      <c r="C51" s="7" t="s">
        <v>110</v>
      </c>
      <c r="D51" s="3">
        <v>25010104979</v>
      </c>
      <c r="E51" s="7" t="s">
        <v>9</v>
      </c>
      <c r="F51" s="7" t="s">
        <v>70</v>
      </c>
    </row>
    <row x14ac:dyDescent="0.25" r="52" customHeight="1" ht="18.75">
      <c r="A52" s="3">
        <v>590028838</v>
      </c>
      <c r="B52" s="7" t="s">
        <v>111</v>
      </c>
      <c r="C52" s="7" t="s">
        <v>112</v>
      </c>
      <c r="D52" s="3">
        <v>25010104945</v>
      </c>
      <c r="E52" s="7" t="s">
        <v>9</v>
      </c>
      <c r="F52" s="7" t="s">
        <v>70</v>
      </c>
    </row>
    <row x14ac:dyDescent="0.25" r="53" customHeight="1" ht="18.75">
      <c r="A53" s="3">
        <v>590029107</v>
      </c>
      <c r="B53" s="7" t="s">
        <v>113</v>
      </c>
      <c r="C53" s="7" t="s">
        <v>114</v>
      </c>
      <c r="D53" s="3">
        <v>25010104988</v>
      </c>
      <c r="E53" s="7" t="s">
        <v>9</v>
      </c>
      <c r="F53" s="7" t="s">
        <v>70</v>
      </c>
    </row>
    <row x14ac:dyDescent="0.25" r="54" customHeight="1" ht="18.75">
      <c r="A54" s="3">
        <v>590029266</v>
      </c>
      <c r="B54" s="7" t="s">
        <v>115</v>
      </c>
      <c r="C54" s="7" t="s">
        <v>116</v>
      </c>
      <c r="D54" s="3">
        <v>25010104958</v>
      </c>
      <c r="E54" s="7" t="s">
        <v>9</v>
      </c>
      <c r="F54" s="7" t="s">
        <v>70</v>
      </c>
    </row>
    <row x14ac:dyDescent="0.25" r="55" customHeight="1" ht="18.75">
      <c r="A55" s="3">
        <v>590029354</v>
      </c>
      <c r="B55" s="7" t="s">
        <v>117</v>
      </c>
      <c r="C55" s="7" t="s">
        <v>118</v>
      </c>
      <c r="D55" s="3">
        <v>25010105018</v>
      </c>
      <c r="E55" s="7" t="s">
        <v>9</v>
      </c>
      <c r="F55" s="7" t="s">
        <v>70</v>
      </c>
    </row>
    <row x14ac:dyDescent="0.25" r="56" customHeight="1" ht="18.75">
      <c r="A56" s="3">
        <v>590029349</v>
      </c>
      <c r="B56" s="7" t="s">
        <v>119</v>
      </c>
      <c r="C56" s="7" t="s">
        <v>120</v>
      </c>
      <c r="D56" s="3">
        <v>25010105017</v>
      </c>
      <c r="E56" s="7" t="s">
        <v>9</v>
      </c>
      <c r="F56" s="7" t="s">
        <v>70</v>
      </c>
    </row>
    <row x14ac:dyDescent="0.25" r="57" customHeight="1" ht="18.75">
      <c r="A57" s="3">
        <v>590029302</v>
      </c>
      <c r="B57" s="7" t="s">
        <v>121</v>
      </c>
      <c r="C57" s="7" t="s">
        <v>122</v>
      </c>
      <c r="D57" s="3">
        <v>25010104954</v>
      </c>
      <c r="E57" s="7" t="s">
        <v>9</v>
      </c>
      <c r="F57" s="7" t="s">
        <v>70</v>
      </c>
    </row>
    <row x14ac:dyDescent="0.25" r="58" customHeight="1" ht="18.75">
      <c r="A58" s="3">
        <v>590029262</v>
      </c>
      <c r="B58" s="7" t="s">
        <v>123</v>
      </c>
      <c r="C58" s="7" t="s">
        <v>124</v>
      </c>
      <c r="D58" s="3">
        <v>25010104987</v>
      </c>
      <c r="E58" s="7" t="s">
        <v>9</v>
      </c>
      <c r="F58" s="7" t="s">
        <v>70</v>
      </c>
    </row>
    <row x14ac:dyDescent="0.25" r="59" customHeight="1" ht="18.75">
      <c r="A59" s="3">
        <v>590029285</v>
      </c>
      <c r="B59" s="7" t="s">
        <v>125</v>
      </c>
      <c r="C59" s="7" t="s">
        <v>126</v>
      </c>
      <c r="D59" s="3">
        <v>25010104949</v>
      </c>
      <c r="E59" s="7" t="s">
        <v>9</v>
      </c>
      <c r="F59" s="7" t="s">
        <v>70</v>
      </c>
    </row>
    <row x14ac:dyDescent="0.25" r="60" customHeight="1" ht="18.75">
      <c r="A60" s="3">
        <v>590029353</v>
      </c>
      <c r="B60" s="7" t="s">
        <v>127</v>
      </c>
      <c r="C60" s="7" t="s">
        <v>128</v>
      </c>
      <c r="D60" s="3">
        <v>122514758</v>
      </c>
      <c r="E60" s="7" t="s">
        <v>9</v>
      </c>
      <c r="F60" s="7" t="s">
        <v>70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60"/>
  <sheetViews>
    <sheetView workbookViewId="0"/>
  </sheetViews>
  <sheetFormatPr defaultRowHeight="15" x14ac:dyDescent="0.25"/>
  <cols>
    <col min="1" max="1" style="4" width="10.005" customWidth="1" bestFit="1"/>
    <col min="2" max="2" style="5" width="21.862142857142857" customWidth="1" bestFit="1"/>
    <col min="3" max="3" style="5" width="33.43357142857143" customWidth="1" bestFit="1"/>
    <col min="4" max="4" style="4" width="12.005" customWidth="1" bestFit="1"/>
    <col min="5" max="5" style="5" width="8.862142857142858" customWidth="1" bestFit="1"/>
    <col min="6" max="6" style="5" width="42.71928571428572" customWidth="1" bestFit="1"/>
    <col min="7" max="7" style="4" width="13.576428571428572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x14ac:dyDescent="0.25" r="2" customHeight="1" ht="18.75">
      <c r="A2" s="3">
        <v>590029213</v>
      </c>
      <c r="B2" s="2" t="s">
        <v>7</v>
      </c>
      <c r="C2" s="2" t="s">
        <v>8</v>
      </c>
      <c r="D2" s="3">
        <v>122507103</v>
      </c>
      <c r="E2" s="2" t="s">
        <v>9</v>
      </c>
      <c r="F2" s="2" t="s">
        <v>10</v>
      </c>
      <c r="G2" s="1"/>
    </row>
    <row x14ac:dyDescent="0.25" r="3" customHeight="1" ht="18.75">
      <c r="A3" s="3">
        <v>590029270</v>
      </c>
      <c r="B3" s="2" t="s">
        <v>11</v>
      </c>
      <c r="C3" s="2" t="s">
        <v>12</v>
      </c>
      <c r="D3" s="3">
        <v>25010104938</v>
      </c>
      <c r="E3" s="2" t="s">
        <v>9</v>
      </c>
      <c r="F3" s="2" t="s">
        <v>10</v>
      </c>
      <c r="G3" s="1"/>
    </row>
    <row x14ac:dyDescent="0.25" r="4" customHeight="1" ht="18.75">
      <c r="A4" s="3">
        <v>590029204</v>
      </c>
      <c r="B4" s="2" t="s">
        <v>13</v>
      </c>
      <c r="C4" s="2" t="s">
        <v>14</v>
      </c>
      <c r="D4" s="3">
        <v>25010104918</v>
      </c>
      <c r="E4" s="2" t="s">
        <v>9</v>
      </c>
      <c r="F4" s="2" t="s">
        <v>10</v>
      </c>
      <c r="G4" s="1"/>
    </row>
    <row x14ac:dyDescent="0.25" r="5" customHeight="1" ht="18.75">
      <c r="A5" s="3">
        <v>590029109</v>
      </c>
      <c r="B5" s="2" t="s">
        <v>15</v>
      </c>
      <c r="C5" s="2" t="s">
        <v>16</v>
      </c>
      <c r="D5" s="3">
        <v>25010104943</v>
      </c>
      <c r="E5" s="2" t="s">
        <v>9</v>
      </c>
      <c r="F5" s="2" t="s">
        <v>10</v>
      </c>
      <c r="G5" s="1"/>
    </row>
    <row x14ac:dyDescent="0.25" r="6" customHeight="1" ht="18.75">
      <c r="A6" s="3">
        <v>590029070</v>
      </c>
      <c r="B6" s="2" t="s">
        <v>17</v>
      </c>
      <c r="C6" s="2" t="s">
        <v>18</v>
      </c>
      <c r="D6" s="3">
        <v>25010104926</v>
      </c>
      <c r="E6" s="2" t="s">
        <v>9</v>
      </c>
      <c r="F6" s="2" t="s">
        <v>10</v>
      </c>
      <c r="G6" s="1"/>
    </row>
    <row x14ac:dyDescent="0.25" r="7" customHeight="1" ht="18.75">
      <c r="A7" s="3">
        <v>590029157</v>
      </c>
      <c r="B7" s="2" t="s">
        <v>19</v>
      </c>
      <c r="C7" s="2" t="s">
        <v>20</v>
      </c>
      <c r="D7" s="3">
        <v>25010104890</v>
      </c>
      <c r="E7" s="2" t="s">
        <v>9</v>
      </c>
      <c r="F7" s="2" t="s">
        <v>10</v>
      </c>
      <c r="G7" s="1"/>
    </row>
    <row x14ac:dyDescent="0.25" r="8" customHeight="1" ht="18.75">
      <c r="A8" s="3">
        <v>590027157</v>
      </c>
      <c r="B8" s="2" t="s">
        <v>21</v>
      </c>
      <c r="C8" s="2" t="s">
        <v>22</v>
      </c>
      <c r="D8" s="3">
        <v>25010104880</v>
      </c>
      <c r="E8" s="2" t="s">
        <v>9</v>
      </c>
      <c r="F8" s="2" t="s">
        <v>10</v>
      </c>
      <c r="G8" s="1"/>
    </row>
    <row x14ac:dyDescent="0.25" r="9" customHeight="1" ht="18.75">
      <c r="A9" s="3">
        <v>590029274</v>
      </c>
      <c r="B9" s="2" t="s">
        <v>23</v>
      </c>
      <c r="C9" s="2" t="s">
        <v>24</v>
      </c>
      <c r="D9" s="3">
        <v>25010104928</v>
      </c>
      <c r="E9" s="2" t="s">
        <v>9</v>
      </c>
      <c r="F9" s="2" t="s">
        <v>10</v>
      </c>
      <c r="G9" s="1"/>
    </row>
    <row x14ac:dyDescent="0.25" r="10" customHeight="1" ht="18.75">
      <c r="A10" s="3">
        <v>590028572</v>
      </c>
      <c r="B10" s="2" t="s">
        <v>25</v>
      </c>
      <c r="C10" s="2" t="s">
        <v>26</v>
      </c>
      <c r="D10" s="3">
        <v>25010104903</v>
      </c>
      <c r="E10" s="2" t="s">
        <v>9</v>
      </c>
      <c r="F10" s="2" t="s">
        <v>10</v>
      </c>
      <c r="G10" s="1"/>
    </row>
    <row x14ac:dyDescent="0.25" r="11" customHeight="1" ht="18.75">
      <c r="A11" s="3">
        <v>590029230</v>
      </c>
      <c r="B11" s="2" t="s">
        <v>27</v>
      </c>
      <c r="C11" s="2" t="s">
        <v>28</v>
      </c>
      <c r="D11" s="3">
        <v>25010104910</v>
      </c>
      <c r="E11" s="2" t="s">
        <v>9</v>
      </c>
      <c r="F11" s="2" t="s">
        <v>10</v>
      </c>
      <c r="G11" s="1"/>
    </row>
    <row x14ac:dyDescent="0.25" r="12" customHeight="1" ht="18.75">
      <c r="A12" s="3">
        <v>590029169</v>
      </c>
      <c r="B12" s="2" t="s">
        <v>29</v>
      </c>
      <c r="C12" s="2" t="s">
        <v>30</v>
      </c>
      <c r="D12" s="3">
        <v>25010104944</v>
      </c>
      <c r="E12" s="2" t="s">
        <v>9</v>
      </c>
      <c r="F12" s="2" t="s">
        <v>10</v>
      </c>
      <c r="G12" s="1"/>
    </row>
    <row x14ac:dyDescent="0.25" r="13" customHeight="1" ht="18.75">
      <c r="A13" s="3">
        <v>590029112</v>
      </c>
      <c r="B13" s="2" t="s">
        <v>31</v>
      </c>
      <c r="C13" s="2" t="s">
        <v>32</v>
      </c>
      <c r="D13" s="3">
        <v>25010104876</v>
      </c>
      <c r="E13" s="2" t="s">
        <v>9</v>
      </c>
      <c r="F13" s="2" t="s">
        <v>10</v>
      </c>
      <c r="G13" s="1"/>
    </row>
    <row x14ac:dyDescent="0.25" r="14" customHeight="1" ht="18.75">
      <c r="A14" s="3">
        <v>590025556</v>
      </c>
      <c r="B14" s="2" t="s">
        <v>33</v>
      </c>
      <c r="C14" s="2" t="s">
        <v>34</v>
      </c>
      <c r="D14" s="3">
        <v>122515743</v>
      </c>
      <c r="E14" s="2" t="s">
        <v>9</v>
      </c>
      <c r="F14" s="2" t="s">
        <v>10</v>
      </c>
      <c r="G14" s="1"/>
    </row>
    <row x14ac:dyDescent="0.25" r="15" customHeight="1" ht="18.75">
      <c r="A15" s="3">
        <v>590027830</v>
      </c>
      <c r="B15" s="2" t="s">
        <v>35</v>
      </c>
      <c r="C15" s="2" t="s">
        <v>36</v>
      </c>
      <c r="D15" s="3">
        <v>25010104886</v>
      </c>
      <c r="E15" s="2" t="s">
        <v>9</v>
      </c>
      <c r="F15" s="2" t="s">
        <v>10</v>
      </c>
      <c r="G15" s="1"/>
    </row>
    <row x14ac:dyDescent="0.25" r="16" customHeight="1" ht="18.75">
      <c r="A16" s="3">
        <v>590028360</v>
      </c>
      <c r="B16" s="2" t="s">
        <v>37</v>
      </c>
      <c r="C16" s="2" t="s">
        <v>38</v>
      </c>
      <c r="D16" s="3">
        <v>25010104881</v>
      </c>
      <c r="E16" s="2" t="s">
        <v>9</v>
      </c>
      <c r="F16" s="2" t="s">
        <v>10</v>
      </c>
      <c r="G16" s="1"/>
    </row>
    <row x14ac:dyDescent="0.25" r="17" customHeight="1" ht="18.75">
      <c r="A17" s="3">
        <v>590029237</v>
      </c>
      <c r="B17" s="2" t="s">
        <v>39</v>
      </c>
      <c r="C17" s="2" t="s">
        <v>40</v>
      </c>
      <c r="D17" s="3">
        <v>25010104909</v>
      </c>
      <c r="E17" s="2" t="s">
        <v>9</v>
      </c>
      <c r="F17" s="2" t="s">
        <v>10</v>
      </c>
      <c r="G17" s="1"/>
    </row>
    <row x14ac:dyDescent="0.25" r="18" customHeight="1" ht="18.75">
      <c r="A18" s="3">
        <v>590029079</v>
      </c>
      <c r="B18" s="2" t="s">
        <v>41</v>
      </c>
      <c r="C18" s="2" t="s">
        <v>42</v>
      </c>
      <c r="D18" s="3">
        <v>25010104906</v>
      </c>
      <c r="E18" s="2" t="s">
        <v>9</v>
      </c>
      <c r="F18" s="2" t="s">
        <v>10</v>
      </c>
      <c r="G18" s="1"/>
    </row>
    <row x14ac:dyDescent="0.25" r="19" customHeight="1" ht="18.75">
      <c r="A19" s="3">
        <v>590029145</v>
      </c>
      <c r="B19" s="2" t="s">
        <v>43</v>
      </c>
      <c r="C19" s="2" t="s">
        <v>44</v>
      </c>
      <c r="D19" s="3">
        <v>25010104892</v>
      </c>
      <c r="E19" s="2" t="s">
        <v>9</v>
      </c>
      <c r="F19" s="2" t="s">
        <v>10</v>
      </c>
      <c r="G19" s="1"/>
    </row>
    <row x14ac:dyDescent="0.25" r="20" customHeight="1" ht="18.75">
      <c r="A20" s="3">
        <v>590029209</v>
      </c>
      <c r="B20" s="2" t="s">
        <v>45</v>
      </c>
      <c r="C20" s="2" t="s">
        <v>46</v>
      </c>
      <c r="D20" s="3">
        <v>25010104887</v>
      </c>
      <c r="E20" s="2" t="s">
        <v>9</v>
      </c>
      <c r="F20" s="2" t="s">
        <v>10</v>
      </c>
      <c r="G20" s="1"/>
    </row>
    <row x14ac:dyDescent="0.25" r="21" customHeight="1" ht="18.75">
      <c r="A21" s="3">
        <v>590027268</v>
      </c>
      <c r="B21" s="2" t="s">
        <v>47</v>
      </c>
      <c r="C21" s="2" t="s">
        <v>48</v>
      </c>
      <c r="D21" s="3">
        <v>25010104933</v>
      </c>
      <c r="E21" s="2" t="s">
        <v>49</v>
      </c>
      <c r="F21" s="2" t="s">
        <v>10</v>
      </c>
      <c r="G21" s="1"/>
    </row>
    <row x14ac:dyDescent="0.25" r="22" customHeight="1" ht="18.75">
      <c r="A22" s="3">
        <v>590029227</v>
      </c>
      <c r="B22" s="2" t="s">
        <v>50</v>
      </c>
      <c r="C22" s="2" t="s">
        <v>51</v>
      </c>
      <c r="D22" s="3">
        <v>25010104900</v>
      </c>
      <c r="E22" s="2" t="s">
        <v>9</v>
      </c>
      <c r="F22" s="2" t="s">
        <v>10</v>
      </c>
      <c r="G22" s="1"/>
    </row>
    <row x14ac:dyDescent="0.25" r="23" customHeight="1" ht="18.75">
      <c r="A23" s="3">
        <v>590029241</v>
      </c>
      <c r="B23" s="2" t="s">
        <v>52</v>
      </c>
      <c r="C23" s="2" t="s">
        <v>53</v>
      </c>
      <c r="D23" s="3">
        <v>25010104915</v>
      </c>
      <c r="E23" s="2" t="s">
        <v>9</v>
      </c>
      <c r="F23" s="2" t="s">
        <v>10</v>
      </c>
      <c r="G23" s="1"/>
    </row>
    <row x14ac:dyDescent="0.25" r="24" customHeight="1" ht="18.75">
      <c r="A24" s="3">
        <v>590023855</v>
      </c>
      <c r="B24" s="2" t="s">
        <v>54</v>
      </c>
      <c r="C24" s="2" t="s">
        <v>55</v>
      </c>
      <c r="D24" s="3">
        <v>25010104868</v>
      </c>
      <c r="E24" s="2" t="s">
        <v>9</v>
      </c>
      <c r="F24" s="2" t="s">
        <v>10</v>
      </c>
      <c r="G24" s="1"/>
    </row>
    <row x14ac:dyDescent="0.25" r="25" customHeight="1" ht="18.75">
      <c r="A25" s="3">
        <v>590029215</v>
      </c>
      <c r="B25" s="2" t="s">
        <v>56</v>
      </c>
      <c r="C25" s="2" t="s">
        <v>57</v>
      </c>
      <c r="D25" s="3">
        <v>25010104884</v>
      </c>
      <c r="E25" s="2" t="s">
        <v>9</v>
      </c>
      <c r="F25" s="2" t="s">
        <v>10</v>
      </c>
      <c r="G25" s="1"/>
    </row>
    <row x14ac:dyDescent="0.25" r="26" customHeight="1" ht="18.75">
      <c r="A26" s="3">
        <v>590029111</v>
      </c>
      <c r="B26" s="2" t="s">
        <v>58</v>
      </c>
      <c r="C26" s="2" t="s">
        <v>59</v>
      </c>
      <c r="D26" s="3">
        <v>25010104888</v>
      </c>
      <c r="E26" s="2" t="s">
        <v>9</v>
      </c>
      <c r="F26" s="2" t="s">
        <v>10</v>
      </c>
      <c r="G26" s="1"/>
    </row>
    <row x14ac:dyDescent="0.25" r="27" customHeight="1" ht="18.75">
      <c r="A27" s="3">
        <v>590028683</v>
      </c>
      <c r="B27" s="2" t="s">
        <v>60</v>
      </c>
      <c r="C27" s="2" t="s">
        <v>61</v>
      </c>
      <c r="D27" s="3">
        <v>25010104936</v>
      </c>
      <c r="E27" s="2" t="s">
        <v>9</v>
      </c>
      <c r="F27" s="2" t="s">
        <v>10</v>
      </c>
      <c r="G27" s="1"/>
    </row>
    <row x14ac:dyDescent="0.25" r="28" customHeight="1" ht="18.75">
      <c r="A28" s="3">
        <v>590029121</v>
      </c>
      <c r="B28" s="2" t="s">
        <v>62</v>
      </c>
      <c r="C28" s="2" t="s">
        <v>63</v>
      </c>
      <c r="D28" s="3">
        <v>25010104875</v>
      </c>
      <c r="E28" s="2" t="s">
        <v>9</v>
      </c>
      <c r="F28" s="2" t="s">
        <v>10</v>
      </c>
      <c r="G28" s="1"/>
    </row>
    <row x14ac:dyDescent="0.25" r="29" customHeight="1" ht="18.75">
      <c r="A29" s="3">
        <v>590029048</v>
      </c>
      <c r="B29" s="2" t="s">
        <v>64</v>
      </c>
      <c r="C29" s="2" t="s">
        <v>65</v>
      </c>
      <c r="D29" s="3">
        <v>25010104925</v>
      </c>
      <c r="E29" s="2" t="s">
        <v>9</v>
      </c>
      <c r="F29" s="2" t="s">
        <v>10</v>
      </c>
      <c r="G29" s="1"/>
    </row>
    <row x14ac:dyDescent="0.25" r="30" customHeight="1" ht="18.75">
      <c r="A30" s="3">
        <v>590029184</v>
      </c>
      <c r="B30" s="2" t="s">
        <v>66</v>
      </c>
      <c r="C30" s="2" t="s">
        <v>67</v>
      </c>
      <c r="D30" s="3">
        <v>25010104879</v>
      </c>
      <c r="E30" s="2" t="s">
        <v>9</v>
      </c>
      <c r="F30" s="2" t="s">
        <v>10</v>
      </c>
      <c r="G30" s="1"/>
    </row>
    <row x14ac:dyDescent="0.25" r="31" customHeight="1" ht="18.75">
      <c r="A31" s="3">
        <v>590029330</v>
      </c>
      <c r="B31" s="2" t="s">
        <v>68</v>
      </c>
      <c r="C31" s="2" t="s">
        <v>69</v>
      </c>
      <c r="D31" s="3">
        <v>25010104997</v>
      </c>
      <c r="E31" s="2" t="s">
        <v>9</v>
      </c>
      <c r="F31" s="2" t="s">
        <v>70</v>
      </c>
      <c r="G31" s="3">
        <v>1</v>
      </c>
    </row>
    <row x14ac:dyDescent="0.25" r="32" customHeight="1" ht="18.75">
      <c r="A32" s="3">
        <v>590027630</v>
      </c>
      <c r="B32" s="2" t="s">
        <v>71</v>
      </c>
      <c r="C32" s="2" t="s">
        <v>72</v>
      </c>
      <c r="D32" s="3">
        <v>25010105001</v>
      </c>
      <c r="E32" s="2" t="s">
        <v>9</v>
      </c>
      <c r="F32" s="2" t="s">
        <v>70</v>
      </c>
      <c r="G32" s="3">
        <v>1</v>
      </c>
    </row>
    <row x14ac:dyDescent="0.25" r="33" customHeight="1" ht="18.75">
      <c r="A33" s="3">
        <v>590029219</v>
      </c>
      <c r="B33" s="2" t="s">
        <v>73</v>
      </c>
      <c r="C33" s="2" t="s">
        <v>74</v>
      </c>
      <c r="D33" s="3">
        <v>25010104956</v>
      </c>
      <c r="E33" s="2" t="s">
        <v>9</v>
      </c>
      <c r="F33" s="2" t="s">
        <v>70</v>
      </c>
      <c r="G33" s="3">
        <v>1</v>
      </c>
    </row>
    <row x14ac:dyDescent="0.25" r="34" customHeight="1" ht="18.75">
      <c r="A34" s="3">
        <v>590028933</v>
      </c>
      <c r="B34" s="2" t="s">
        <v>75</v>
      </c>
      <c r="C34" s="2" t="s">
        <v>76</v>
      </c>
      <c r="D34" s="3">
        <v>25010104948</v>
      </c>
      <c r="E34" s="2" t="s">
        <v>9</v>
      </c>
      <c r="F34" s="2" t="s">
        <v>70</v>
      </c>
      <c r="G34" s="3">
        <v>1</v>
      </c>
    </row>
    <row x14ac:dyDescent="0.25" r="35" customHeight="1" ht="18.75">
      <c r="A35" s="3">
        <v>590027859</v>
      </c>
      <c r="B35" s="2" t="s">
        <v>77</v>
      </c>
      <c r="C35" s="2" t="s">
        <v>78</v>
      </c>
      <c r="D35" s="3">
        <v>25010104974</v>
      </c>
      <c r="E35" s="2" t="s">
        <v>9</v>
      </c>
      <c r="F35" s="2" t="s">
        <v>70</v>
      </c>
      <c r="G35" s="3">
        <v>1</v>
      </c>
    </row>
    <row x14ac:dyDescent="0.25" r="36" customHeight="1" ht="18.75">
      <c r="A36" s="3">
        <v>590028682</v>
      </c>
      <c r="B36" s="2" t="s">
        <v>79</v>
      </c>
      <c r="C36" s="2" t="s">
        <v>80</v>
      </c>
      <c r="D36" s="3">
        <v>25010104995</v>
      </c>
      <c r="E36" s="2" t="s">
        <v>9</v>
      </c>
      <c r="F36" s="2" t="s">
        <v>70</v>
      </c>
      <c r="G36" s="3">
        <v>2</v>
      </c>
    </row>
    <row x14ac:dyDescent="0.25" r="37" customHeight="1" ht="18.75">
      <c r="A37" s="3">
        <v>590023917</v>
      </c>
      <c r="B37" s="2" t="s">
        <v>81</v>
      </c>
      <c r="C37" s="2" t="s">
        <v>82</v>
      </c>
      <c r="D37" s="3">
        <v>25010105012</v>
      </c>
      <c r="E37" s="2" t="s">
        <v>9</v>
      </c>
      <c r="F37" s="2" t="s">
        <v>70</v>
      </c>
      <c r="G37" s="3">
        <v>2</v>
      </c>
    </row>
    <row x14ac:dyDescent="0.25" r="38" customHeight="1" ht="18.75">
      <c r="A38" s="3">
        <v>590023785</v>
      </c>
      <c r="B38" s="2" t="s">
        <v>83</v>
      </c>
      <c r="C38" s="2" t="s">
        <v>84</v>
      </c>
      <c r="D38" s="3">
        <v>25010104947</v>
      </c>
      <c r="E38" s="2" t="s">
        <v>9</v>
      </c>
      <c r="F38" s="2" t="s">
        <v>70</v>
      </c>
      <c r="G38" s="3">
        <v>2</v>
      </c>
    </row>
    <row x14ac:dyDescent="0.25" r="39" customHeight="1" ht="18.75">
      <c r="A39" s="3">
        <v>590029264</v>
      </c>
      <c r="B39" s="2" t="s">
        <v>85</v>
      </c>
      <c r="C39" s="2" t="s">
        <v>86</v>
      </c>
      <c r="D39" s="3">
        <v>25010104986</v>
      </c>
      <c r="E39" s="2" t="s">
        <v>9</v>
      </c>
      <c r="F39" s="2" t="s">
        <v>70</v>
      </c>
      <c r="G39" s="3">
        <v>2</v>
      </c>
    </row>
    <row x14ac:dyDescent="0.25" r="40" customHeight="1" ht="18.75">
      <c r="A40" s="3">
        <v>590029042</v>
      </c>
      <c r="B40" s="2" t="s">
        <v>87</v>
      </c>
      <c r="C40" s="2" t="s">
        <v>88</v>
      </c>
      <c r="D40" s="3">
        <v>25010104982</v>
      </c>
      <c r="E40" s="2" t="s">
        <v>9</v>
      </c>
      <c r="F40" s="2" t="s">
        <v>70</v>
      </c>
      <c r="G40" s="3">
        <v>2</v>
      </c>
    </row>
    <row x14ac:dyDescent="0.25" r="41" customHeight="1" ht="18.75">
      <c r="A41" s="3">
        <v>590029336</v>
      </c>
      <c r="B41" s="2" t="s">
        <v>89</v>
      </c>
      <c r="C41" s="2" t="s">
        <v>90</v>
      </c>
      <c r="D41" s="3">
        <v>25010104998</v>
      </c>
      <c r="E41" s="2" t="s">
        <v>9</v>
      </c>
      <c r="F41" s="2" t="s">
        <v>70</v>
      </c>
      <c r="G41" s="3">
        <v>3</v>
      </c>
    </row>
    <row x14ac:dyDescent="0.25" r="42" customHeight="1" ht="18.75">
      <c r="A42" s="3">
        <v>590029233</v>
      </c>
      <c r="B42" s="2" t="s">
        <v>91</v>
      </c>
      <c r="C42" s="2" t="s">
        <v>92</v>
      </c>
      <c r="D42" s="3">
        <v>25010104996</v>
      </c>
      <c r="E42" s="2" t="s">
        <v>9</v>
      </c>
      <c r="F42" s="2" t="s">
        <v>70</v>
      </c>
      <c r="G42" s="3">
        <v>3</v>
      </c>
    </row>
    <row x14ac:dyDescent="0.25" r="43" customHeight="1" ht="18.75">
      <c r="A43" s="3">
        <v>590029328</v>
      </c>
      <c r="B43" s="2" t="s">
        <v>93</v>
      </c>
      <c r="C43" s="2" t="s">
        <v>94</v>
      </c>
      <c r="D43" s="3">
        <v>25010105010</v>
      </c>
      <c r="E43" s="2" t="s">
        <v>9</v>
      </c>
      <c r="F43" s="2" t="s">
        <v>70</v>
      </c>
      <c r="G43" s="3">
        <v>3</v>
      </c>
    </row>
    <row x14ac:dyDescent="0.25" r="44" customHeight="1" ht="18.75">
      <c r="A44" s="3">
        <v>590028608</v>
      </c>
      <c r="B44" s="2" t="s">
        <v>95</v>
      </c>
      <c r="C44" s="2" t="s">
        <v>96</v>
      </c>
      <c r="D44" s="3">
        <v>25010104999</v>
      </c>
      <c r="E44" s="2" t="s">
        <v>9</v>
      </c>
      <c r="F44" s="2" t="s">
        <v>70</v>
      </c>
      <c r="G44" s="3">
        <v>3</v>
      </c>
    </row>
    <row x14ac:dyDescent="0.25" r="45" customHeight="1" ht="18.75">
      <c r="A45" s="3">
        <v>590028605</v>
      </c>
      <c r="B45" s="2" t="s">
        <v>97</v>
      </c>
      <c r="C45" s="2" t="s">
        <v>98</v>
      </c>
      <c r="D45" s="3">
        <v>25010104326</v>
      </c>
      <c r="E45" s="2" t="s">
        <v>9</v>
      </c>
      <c r="F45" s="2" t="s">
        <v>70</v>
      </c>
      <c r="G45" s="3">
        <v>3</v>
      </c>
    </row>
    <row x14ac:dyDescent="0.25" r="46" customHeight="1" ht="18.75">
      <c r="A46" s="3">
        <v>590026626</v>
      </c>
      <c r="B46" s="2" t="s">
        <v>99</v>
      </c>
      <c r="C46" s="2" t="s">
        <v>100</v>
      </c>
      <c r="D46" s="3">
        <v>25010104601</v>
      </c>
      <c r="E46" s="2" t="s">
        <v>9</v>
      </c>
      <c r="F46" s="2" t="s">
        <v>70</v>
      </c>
      <c r="G46" s="3">
        <v>4</v>
      </c>
    </row>
    <row x14ac:dyDescent="0.25" r="47" customHeight="1" ht="18.75">
      <c r="A47" s="3">
        <v>590029310</v>
      </c>
      <c r="B47" s="2" t="s">
        <v>101</v>
      </c>
      <c r="C47" s="2" t="s">
        <v>102</v>
      </c>
      <c r="D47" s="3">
        <v>25010104970</v>
      </c>
      <c r="E47" s="2" t="s">
        <v>9</v>
      </c>
      <c r="F47" s="2" t="s">
        <v>70</v>
      </c>
      <c r="G47" s="3">
        <v>4</v>
      </c>
    </row>
    <row x14ac:dyDescent="0.25" r="48" customHeight="1" ht="18.75">
      <c r="A48" s="3">
        <v>590029319</v>
      </c>
      <c r="B48" s="2" t="s">
        <v>103</v>
      </c>
      <c r="C48" s="2" t="s">
        <v>104</v>
      </c>
      <c r="D48" s="3">
        <v>25010105008</v>
      </c>
      <c r="E48" s="2" t="s">
        <v>9</v>
      </c>
      <c r="F48" s="2" t="s">
        <v>70</v>
      </c>
      <c r="G48" s="3">
        <v>4</v>
      </c>
    </row>
    <row x14ac:dyDescent="0.25" r="49" customHeight="1" ht="18.75">
      <c r="A49" s="3">
        <v>590029339</v>
      </c>
      <c r="B49" s="2" t="s">
        <v>105</v>
      </c>
      <c r="C49" s="2" t="s">
        <v>106</v>
      </c>
      <c r="D49" s="3">
        <v>25010105011</v>
      </c>
      <c r="E49" s="2" t="s">
        <v>9</v>
      </c>
      <c r="F49" s="2" t="s">
        <v>70</v>
      </c>
      <c r="G49" s="3">
        <v>4</v>
      </c>
    </row>
    <row x14ac:dyDescent="0.25" r="50" customHeight="1" ht="18.75">
      <c r="A50" s="3">
        <v>590029148</v>
      </c>
      <c r="B50" s="2" t="s">
        <v>107</v>
      </c>
      <c r="C50" s="2" t="s">
        <v>108</v>
      </c>
      <c r="D50" s="3">
        <v>25010104992</v>
      </c>
      <c r="E50" s="2" t="s">
        <v>9</v>
      </c>
      <c r="F50" s="2" t="s">
        <v>70</v>
      </c>
      <c r="G50" s="3">
        <v>4</v>
      </c>
    </row>
    <row x14ac:dyDescent="0.25" r="51" customHeight="1" ht="18.75">
      <c r="A51" s="3">
        <v>590029309</v>
      </c>
      <c r="B51" s="2" t="s">
        <v>109</v>
      </c>
      <c r="C51" s="2" t="s">
        <v>110</v>
      </c>
      <c r="D51" s="3">
        <v>25010104979</v>
      </c>
      <c r="E51" s="2" t="s">
        <v>9</v>
      </c>
      <c r="F51" s="2" t="s">
        <v>70</v>
      </c>
      <c r="G51" s="3">
        <v>5</v>
      </c>
    </row>
    <row x14ac:dyDescent="0.25" r="52" customHeight="1" ht="18.75">
      <c r="A52" s="3">
        <v>590028838</v>
      </c>
      <c r="B52" s="2" t="s">
        <v>111</v>
      </c>
      <c r="C52" s="2" t="s">
        <v>112</v>
      </c>
      <c r="D52" s="3">
        <v>25010104945</v>
      </c>
      <c r="E52" s="2" t="s">
        <v>9</v>
      </c>
      <c r="F52" s="2" t="s">
        <v>70</v>
      </c>
      <c r="G52" s="3">
        <v>5</v>
      </c>
    </row>
    <row x14ac:dyDescent="0.25" r="53" customHeight="1" ht="18.75">
      <c r="A53" s="3">
        <v>590029107</v>
      </c>
      <c r="B53" s="2" t="s">
        <v>113</v>
      </c>
      <c r="C53" s="2" t="s">
        <v>114</v>
      </c>
      <c r="D53" s="3">
        <v>25010104988</v>
      </c>
      <c r="E53" s="2" t="s">
        <v>9</v>
      </c>
      <c r="F53" s="2" t="s">
        <v>70</v>
      </c>
      <c r="G53" s="3">
        <v>5</v>
      </c>
    </row>
    <row x14ac:dyDescent="0.25" r="54" customHeight="1" ht="18.75">
      <c r="A54" s="3">
        <v>590029266</v>
      </c>
      <c r="B54" s="2" t="s">
        <v>115</v>
      </c>
      <c r="C54" s="2" t="s">
        <v>116</v>
      </c>
      <c r="D54" s="3">
        <v>25010104958</v>
      </c>
      <c r="E54" s="2" t="s">
        <v>9</v>
      </c>
      <c r="F54" s="2" t="s">
        <v>70</v>
      </c>
      <c r="G54" s="3">
        <v>5</v>
      </c>
    </row>
    <row x14ac:dyDescent="0.25" r="55" customHeight="1" ht="18.75">
      <c r="A55" s="3">
        <v>590029354</v>
      </c>
      <c r="B55" s="2" t="s">
        <v>117</v>
      </c>
      <c r="C55" s="2" t="s">
        <v>118</v>
      </c>
      <c r="D55" s="3">
        <v>25010105018</v>
      </c>
      <c r="E55" s="2" t="s">
        <v>9</v>
      </c>
      <c r="F55" s="2" t="s">
        <v>70</v>
      </c>
      <c r="G55" s="3">
        <v>5</v>
      </c>
    </row>
    <row x14ac:dyDescent="0.25" r="56" customHeight="1" ht="18.75">
      <c r="A56" s="3">
        <v>590029349</v>
      </c>
      <c r="B56" s="2" t="s">
        <v>119</v>
      </c>
      <c r="C56" s="2" t="s">
        <v>120</v>
      </c>
      <c r="D56" s="3">
        <v>25010105017</v>
      </c>
      <c r="E56" s="2" t="s">
        <v>9</v>
      </c>
      <c r="F56" s="2" t="s">
        <v>70</v>
      </c>
      <c r="G56" s="3">
        <v>6</v>
      </c>
    </row>
    <row x14ac:dyDescent="0.25" r="57" customHeight="1" ht="18.75">
      <c r="A57" s="3">
        <v>590029302</v>
      </c>
      <c r="B57" s="2" t="s">
        <v>121</v>
      </c>
      <c r="C57" s="2" t="s">
        <v>122</v>
      </c>
      <c r="D57" s="3">
        <v>25010104954</v>
      </c>
      <c r="E57" s="2" t="s">
        <v>9</v>
      </c>
      <c r="F57" s="2" t="s">
        <v>70</v>
      </c>
      <c r="G57" s="3">
        <v>6</v>
      </c>
    </row>
    <row x14ac:dyDescent="0.25" r="58" customHeight="1" ht="18.75">
      <c r="A58" s="3">
        <v>590029262</v>
      </c>
      <c r="B58" s="2" t="s">
        <v>123</v>
      </c>
      <c r="C58" s="2" t="s">
        <v>124</v>
      </c>
      <c r="D58" s="3">
        <v>25010104987</v>
      </c>
      <c r="E58" s="2" t="s">
        <v>9</v>
      </c>
      <c r="F58" s="2" t="s">
        <v>70</v>
      </c>
      <c r="G58" s="3">
        <v>6</v>
      </c>
    </row>
    <row x14ac:dyDescent="0.25" r="59" customHeight="1" ht="18.75">
      <c r="A59" s="3">
        <v>590029285</v>
      </c>
      <c r="B59" s="2" t="s">
        <v>125</v>
      </c>
      <c r="C59" s="2" t="s">
        <v>126</v>
      </c>
      <c r="D59" s="3">
        <v>25010104949</v>
      </c>
      <c r="E59" s="2" t="s">
        <v>9</v>
      </c>
      <c r="F59" s="2" t="s">
        <v>70</v>
      </c>
      <c r="G59" s="3">
        <v>6</v>
      </c>
    </row>
    <row x14ac:dyDescent="0.25" r="60" customHeight="1" ht="18.75">
      <c r="A60" s="3">
        <v>590029353</v>
      </c>
      <c r="B60" s="2" t="s">
        <v>127</v>
      </c>
      <c r="C60" s="2" t="s">
        <v>128</v>
      </c>
      <c r="D60" s="3">
        <v>122514758</v>
      </c>
      <c r="E60" s="2" t="s">
        <v>9</v>
      </c>
      <c r="F60" s="2" t="s">
        <v>70</v>
      </c>
      <c r="G60" s="3">
        <v>6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2026-04-20T19:09:45.838Z</dcterms:created>
  <dcterms:modified xsi:type="dcterms:W3CDTF">2026-04-20T19:09:45.838Z</dcterms:modified>
</cp:coreProperties>
</file>