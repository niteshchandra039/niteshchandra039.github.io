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Aug-Dec-2025/Computational Techniques/Marks/"/>
    </mc:Choice>
  </mc:AlternateContent>
  <xr:revisionPtr revIDLastSave="1899" documentId="11_3FC952BF37FB7C428065D6D94F732ED04C5A5A3E" xr6:coauthVersionLast="47" xr6:coauthVersionMax="47" xr10:uidLastSave="{7449C301-9A22-4E85-8CBD-55B595D16712}"/>
  <bookViews>
    <workbookView xWindow="-120" yWindow="-120" windowWidth="20730" windowHeight="11040" tabRatio="553" firstSheet="4" activeTab="2" xr2:uid="{00000000-000D-0000-FFFF-FFFF00000000}"/>
  </bookViews>
  <sheets>
    <sheet name="Marksheet" sheetId="2" r:id="rId1"/>
    <sheet name="Quiz_1" sheetId="10" r:id="rId2"/>
    <sheet name="Class Test 1" sheetId="11" r:id="rId3"/>
    <sheet name="Class Test 2" sheetId="8" r:id="rId4"/>
    <sheet name="Final Presentation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N4" i="2" a="1"/>
  <c r="N4" i="2" s="1"/>
  <c r="E48" i="2" a="1"/>
  <c r="E48" i="2"/>
  <c r="N49" i="8"/>
  <c r="F48" i="2" a="1"/>
  <c r="F48" i="2"/>
  <c r="G48" i="2"/>
  <c r="L48" i="2"/>
  <c r="N48" i="2" a="1"/>
  <c r="N48" i="2"/>
  <c r="E49" i="2" a="1"/>
  <c r="E49" i="2"/>
  <c r="F49" i="2" a="1"/>
  <c r="F49" i="2"/>
  <c r="G49" i="2"/>
  <c r="L49" i="2"/>
  <c r="N49" i="2" a="1"/>
  <c r="N49" i="2" s="1"/>
  <c r="E50" i="2" a="1"/>
  <c r="E50" i="2"/>
  <c r="N51" i="8"/>
  <c r="F50" i="2" a="1"/>
  <c r="F50" i="2" s="1"/>
  <c r="L50" i="2" s="1"/>
  <c r="N50" i="2" s="1" a="1"/>
  <c r="N50" i="2" s="1"/>
  <c r="G50" i="2"/>
  <c r="E51" i="2" a="1"/>
  <c r="E51" i="2" s="1"/>
  <c r="N52" i="8"/>
  <c r="F51" i="2" a="1"/>
  <c r="F51" i="2" s="1"/>
  <c r="G51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I5" i="2"/>
  <c r="H5" i="2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N6" i="8"/>
  <c r="N7" i="8"/>
  <c r="N8" i="8"/>
  <c r="N9" i="8"/>
  <c r="N10" i="8"/>
  <c r="N11" i="8"/>
  <c r="N12" i="8"/>
  <c r="F11" i="2" s="1" a="1"/>
  <c r="F11" i="2" s="1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50" i="8"/>
  <c r="E6" i="2" a="1"/>
  <c r="E6" i="2" s="1"/>
  <c r="E7" i="2" a="1"/>
  <c r="E7" i="2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/>
  <c r="E35" i="2" a="1"/>
  <c r="E35" i="2" s="1"/>
  <c r="E36" i="2" a="1"/>
  <c r="E36" i="2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/>
  <c r="E44" i="2" a="1"/>
  <c r="E44" i="2" s="1"/>
  <c r="E45" i="2" a="1"/>
  <c r="E45" i="2"/>
  <c r="E46" i="2" a="1"/>
  <c r="E46" i="2" s="1"/>
  <c r="L46" i="2" s="1"/>
  <c r="N46" i="2" s="1" a="1"/>
  <c r="N46" i="2" s="1"/>
  <c r="E47" i="2" a="1"/>
  <c r="E47" i="2" s="1"/>
  <c r="L47" i="2" s="1"/>
  <c r="N47" i="2" s="1" a="1"/>
  <c r="N47" i="2" s="1"/>
  <c r="E5" i="2" a="1"/>
  <c r="E5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E5" i="13"/>
  <c r="A2" i="13"/>
  <c r="B7" i="8"/>
  <c r="F6" i="2" a="1"/>
  <c r="F6" i="2" s="1"/>
  <c r="B8" i="8"/>
  <c r="F7" i="2" a="1"/>
  <c r="F7" i="2" s="1"/>
  <c r="L7" i="2" s="1"/>
  <c r="N7" i="2" s="1" a="1"/>
  <c r="N7" i="2" s="1"/>
  <c r="B9" i="8"/>
  <c r="F8" i="2" a="1"/>
  <c r="F8" i="2"/>
  <c r="B10" i="8"/>
  <c r="F9" i="2" a="1"/>
  <c r="F9" i="2"/>
  <c r="B11" i="8"/>
  <c r="F10" i="2" a="1"/>
  <c r="F10" i="2" s="1"/>
  <c r="B12" i="8"/>
  <c r="B13" i="8"/>
  <c r="F12" i="2" a="1"/>
  <c r="F12" i="2" s="1"/>
  <c r="B14" i="8"/>
  <c r="F13" i="2" a="1"/>
  <c r="F13" i="2" s="1"/>
  <c r="B15" i="8"/>
  <c r="F14" i="2" a="1"/>
  <c r="F14" i="2"/>
  <c r="B16" i="8"/>
  <c r="F15" i="2" a="1"/>
  <c r="F15" i="2"/>
  <c r="B17" i="8"/>
  <c r="F16" i="2" a="1"/>
  <c r="F16" i="2" s="1"/>
  <c r="L16" i="2" s="1"/>
  <c r="N16" i="2" s="1" a="1"/>
  <c r="N16" i="2" s="1"/>
  <c r="B18" i="8"/>
  <c r="F17" i="2" a="1"/>
  <c r="F17" i="2" s="1"/>
  <c r="B19" i="8"/>
  <c r="F18" i="2" a="1"/>
  <c r="F18" i="2" s="1"/>
  <c r="B20" i="8"/>
  <c r="F19" i="2" a="1"/>
  <c r="F19" i="2" s="1"/>
  <c r="L19" i="2" s="1"/>
  <c r="N19" i="2" s="1" a="1"/>
  <c r="N19" i="2" s="1"/>
  <c r="B21" i="8"/>
  <c r="F20" i="2" a="1"/>
  <c r="F20" i="2" s="1"/>
  <c r="B22" i="8"/>
  <c r="F21" i="2" a="1"/>
  <c r="F21" i="2" s="1"/>
  <c r="B23" i="8"/>
  <c r="F22" i="2" a="1"/>
  <c r="F22" i="2"/>
  <c r="B24" i="8"/>
  <c r="F23" i="2" a="1"/>
  <c r="F23" i="2"/>
  <c r="B25" i="8"/>
  <c r="F24" i="2" a="1"/>
  <c r="F24" i="2"/>
  <c r="B26" i="8"/>
  <c r="F25" i="2" a="1"/>
  <c r="F25" i="2" s="1"/>
  <c r="B27" i="8"/>
  <c r="F26" i="2" a="1"/>
  <c r="F26" i="2" s="1"/>
  <c r="B28" i="8"/>
  <c r="F27" i="2" a="1"/>
  <c r="F27" i="2" s="1"/>
  <c r="B29" i="8"/>
  <c r="F28" i="2" a="1"/>
  <c r="F28" i="2"/>
  <c r="B30" i="8"/>
  <c r="F29" i="2" a="1"/>
  <c r="F29" i="2"/>
  <c r="B31" i="8"/>
  <c r="F30" i="2" a="1"/>
  <c r="F30" i="2"/>
  <c r="B32" i="8"/>
  <c r="F31" i="2" a="1"/>
  <c r="F31" i="2" s="1"/>
  <c r="B33" i="8"/>
  <c r="F32" i="2" a="1"/>
  <c r="F32" i="2" s="1"/>
  <c r="B34" i="8"/>
  <c r="F33" i="2" a="1"/>
  <c r="F33" i="2" s="1"/>
  <c r="B35" i="8"/>
  <c r="F34" i="2" a="1"/>
  <c r="F34" i="2" s="1"/>
  <c r="B36" i="8"/>
  <c r="F35" i="2" a="1"/>
  <c r="F35" i="2" s="1"/>
  <c r="B37" i="8"/>
  <c r="F36" i="2" a="1"/>
  <c r="F36" i="2" s="1"/>
  <c r="B38" i="8"/>
  <c r="F37" i="2" a="1"/>
  <c r="F37" i="2"/>
  <c r="B39" i="8"/>
  <c r="F38" i="2" a="1"/>
  <c r="F38" i="2" s="1"/>
  <c r="B40" i="8"/>
  <c r="F39" i="2" a="1"/>
  <c r="F39" i="2" s="1"/>
  <c r="B41" i="8"/>
  <c r="F40" i="2" a="1"/>
  <c r="F40" i="2"/>
  <c r="B42" i="8"/>
  <c r="F41" i="2" a="1"/>
  <c r="F41" i="2"/>
  <c r="B43" i="8"/>
  <c r="F42" i="2" a="1"/>
  <c r="F42" i="2"/>
  <c r="B44" i="8"/>
  <c r="F43" i="2" a="1"/>
  <c r="F43" i="2"/>
  <c r="B45" i="8"/>
  <c r="F44" i="2" a="1"/>
  <c r="F44" i="2"/>
  <c r="B46" i="8"/>
  <c r="F45" i="2" a="1"/>
  <c r="F45" i="2"/>
  <c r="B47" i="8"/>
  <c r="F46" i="2" a="1"/>
  <c r="F46" i="2"/>
  <c r="B48" i="8"/>
  <c r="F47" i="2" a="1"/>
  <c r="F47" i="2"/>
  <c r="B49" i="8"/>
  <c r="B50" i="8"/>
  <c r="B51" i="8"/>
  <c r="B52" i="8"/>
  <c r="B53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B6" i="8"/>
  <c r="F5" i="2" a="1"/>
  <c r="F5" i="2" s="1"/>
  <c r="A6" i="8"/>
  <c r="C40" i="10"/>
  <c r="C11" i="10"/>
  <c r="C14" i="10"/>
  <c r="C43" i="10"/>
  <c r="C37" i="10"/>
  <c r="C12" i="10"/>
  <c r="C26" i="10"/>
  <c r="C5" i="10"/>
  <c r="C9" i="10"/>
  <c r="C38" i="10"/>
  <c r="C19" i="10"/>
  <c r="C17" i="10"/>
  <c r="C7" i="10"/>
  <c r="C36" i="10"/>
  <c r="C33" i="10"/>
  <c r="C34" i="10"/>
  <c r="C42" i="10"/>
  <c r="C28" i="10"/>
  <c r="C6" i="10"/>
  <c r="C18" i="10"/>
  <c r="C15" i="10"/>
  <c r="C24" i="10"/>
  <c r="C35" i="10"/>
  <c r="C29" i="10"/>
  <c r="C13" i="10"/>
  <c r="C27" i="10"/>
  <c r="C30" i="10"/>
  <c r="C20" i="10"/>
  <c r="C8" i="10"/>
  <c r="C23" i="10"/>
  <c r="C22" i="10"/>
  <c r="C3" i="10"/>
  <c r="C21" i="10"/>
  <c r="C41" i="10"/>
  <c r="C25" i="10"/>
  <c r="C31" i="10"/>
  <c r="C32" i="10"/>
  <c r="C10" i="10"/>
  <c r="C39" i="10"/>
  <c r="C44" i="10"/>
  <c r="C16" i="10"/>
  <c r="C2" i="10"/>
  <c r="C4" i="10"/>
  <c r="N5" i="8"/>
  <c r="A2" i="8"/>
  <c r="L13" i="2" l="1"/>
  <c r="N13" i="2" s="1" a="1"/>
  <c r="N13" i="2" s="1"/>
  <c r="L6" i="2"/>
  <c r="N6" i="2" s="1" a="1"/>
  <c r="N6" i="2" s="1"/>
  <c r="L33" i="2"/>
  <c r="N33" i="2" s="1" a="1"/>
  <c r="N33" i="2" s="1"/>
  <c r="L24" i="2"/>
  <c r="N24" i="2" s="1" a="1"/>
  <c r="N24" i="2" s="1"/>
  <c r="L45" i="2"/>
  <c r="N45" i="2" s="1" a="1"/>
  <c r="N45" i="2" s="1"/>
  <c r="L23" i="2"/>
  <c r="N23" i="2" s="1" a="1"/>
  <c r="N23" i="2" s="1"/>
  <c r="L14" i="2"/>
  <c r="N14" i="2" s="1" a="1"/>
  <c r="N14" i="2" s="1"/>
  <c r="L51" i="2"/>
  <c r="N51" i="2" s="1" a="1"/>
  <c r="N51" i="2" s="1"/>
  <c r="L22" i="2"/>
  <c r="N22" i="2" s="1" a="1"/>
  <c r="N22" i="2" s="1"/>
  <c r="L32" i="2"/>
  <c r="N32" i="2" s="1" a="1"/>
  <c r="N32" i="2" s="1"/>
  <c r="L10" i="2"/>
  <c r="N10" i="2" s="1" a="1"/>
  <c r="N10" i="2" s="1"/>
  <c r="L41" i="2"/>
  <c r="N41" i="2" s="1" a="1"/>
  <c r="N41" i="2" s="1"/>
  <c r="L40" i="2"/>
  <c r="N40" i="2" s="1" a="1"/>
  <c r="N40" i="2" s="1"/>
  <c r="L44" i="2"/>
  <c r="N44" i="2" s="1" a="1"/>
  <c r="N44" i="2" s="1"/>
  <c r="L43" i="2"/>
  <c r="N43" i="2" s="1" a="1"/>
  <c r="N43" i="2" s="1"/>
  <c r="L42" i="2"/>
  <c r="N42" i="2" s="1" a="1"/>
  <c r="N42" i="2" s="1"/>
  <c r="L39" i="2"/>
  <c r="N39" i="2" s="1" a="1"/>
  <c r="N39" i="2" s="1"/>
  <c r="L31" i="2"/>
  <c r="N31" i="2" s="1" a="1"/>
  <c r="N31" i="2" s="1"/>
  <c r="L38" i="2"/>
  <c r="N38" i="2" s="1" a="1"/>
  <c r="N38" i="2" s="1"/>
  <c r="L30" i="2"/>
  <c r="N30" i="2" s="1" a="1"/>
  <c r="N30" i="2" s="1"/>
  <c r="L37" i="2"/>
  <c r="N37" i="2" s="1" a="1"/>
  <c r="N37" i="2" s="1"/>
  <c r="L36" i="2"/>
  <c r="N36" i="2" s="1" a="1"/>
  <c r="N36" i="2" s="1"/>
  <c r="L35" i="2"/>
  <c r="N35" i="2" s="1" a="1"/>
  <c r="N35" i="2" s="1"/>
  <c r="L34" i="2"/>
  <c r="N34" i="2" s="1" a="1"/>
  <c r="N34" i="2" s="1"/>
  <c r="L29" i="2"/>
  <c r="N29" i="2" s="1" a="1"/>
  <c r="N29" i="2" s="1"/>
  <c r="L28" i="2"/>
  <c r="N28" i="2" s="1" a="1"/>
  <c r="N28" i="2" s="1"/>
  <c r="L27" i="2"/>
  <c r="N27" i="2" s="1" a="1"/>
  <c r="N27" i="2" s="1"/>
  <c r="L26" i="2"/>
  <c r="N26" i="2" s="1" a="1"/>
  <c r="N26" i="2" s="1"/>
  <c r="L21" i="2"/>
  <c r="N21" i="2" s="1" a="1"/>
  <c r="N21" i="2" s="1"/>
  <c r="L25" i="2"/>
  <c r="N25" i="2" s="1" a="1"/>
  <c r="N25" i="2" s="1"/>
  <c r="L12" i="2"/>
  <c r="N12" i="2" s="1" a="1"/>
  <c r="N12" i="2" s="1"/>
  <c r="L20" i="2"/>
  <c r="N20" i="2" s="1" a="1"/>
  <c r="N20" i="2" s="1"/>
  <c r="L15" i="2"/>
  <c r="N15" i="2" s="1" a="1"/>
  <c r="N15" i="2" s="1"/>
  <c r="L18" i="2"/>
  <c r="N18" i="2" s="1" a="1"/>
  <c r="N18" i="2" s="1"/>
  <c r="L17" i="2"/>
  <c r="N17" i="2" s="1" a="1"/>
  <c r="N17" i="2" s="1"/>
  <c r="L11" i="2"/>
  <c r="N11" i="2" s="1" a="1"/>
  <c r="N11" i="2" s="1"/>
  <c r="L9" i="2"/>
  <c r="N9" i="2" s="1" a="1"/>
  <c r="N9" i="2" s="1"/>
  <c r="L8" i="2"/>
  <c r="N8" i="2" s="1" a="1"/>
  <c r="N8" i="2" s="1"/>
  <c r="L5" i="2"/>
  <c r="N5" i="2" s="1" a="1"/>
  <c r="N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<sst xmlns="http://schemas.openxmlformats.org/spreadsheetml/2006/main" count="743" uniqueCount="172">
  <si>
    <t>Final Marks</t>
  </si>
  <si>
    <t xml:space="preserve">Computational Techniques (CSEG 1023) </t>
  </si>
  <si>
    <t>Cohort Name</t>
  </si>
  <si>
    <t xml:space="preserve">Name </t>
  </si>
  <si>
    <t>SAP ID</t>
  </si>
  <si>
    <t>Column1</t>
  </si>
  <si>
    <t>CT 1</t>
  </si>
  <si>
    <t>CT 2</t>
  </si>
  <si>
    <t>Quiz 1</t>
  </si>
  <si>
    <t>File</t>
  </si>
  <si>
    <t>Presentation</t>
  </si>
  <si>
    <t>Column7</t>
  </si>
  <si>
    <t>Column8</t>
  </si>
  <si>
    <t>Total</t>
  </si>
  <si>
    <t>Sign</t>
  </si>
  <si>
    <t>Grade</t>
  </si>
  <si>
    <t>Max Marks</t>
  </si>
  <si>
    <t>Aanya  Nautiyal</t>
  </si>
  <si>
    <t>Aaryan Choubey</t>
  </si>
  <si>
    <t>Aarye  Singhal</t>
  </si>
  <si>
    <t xml:space="preserve">Abhijay  </t>
  </si>
  <si>
    <t>Adarsh Xavier Dadel</t>
  </si>
  <si>
    <t>Aditya  Guleriya</t>
  </si>
  <si>
    <t>Akhil  Kumar</t>
  </si>
  <si>
    <t>Arpit  Arpit</t>
  </si>
  <si>
    <t>Ayan  Roy</t>
  </si>
  <si>
    <t>Bhavuk  Kakkar</t>
  </si>
  <si>
    <t>Chandan  Kumar</t>
  </si>
  <si>
    <t xml:space="preserve">Chimmay  </t>
  </si>
  <si>
    <t>Dakshita  Sharma</t>
  </si>
  <si>
    <t>Dhairya Yogesh Gandhe</t>
  </si>
  <si>
    <t>Gerudra Pratap Sharma</t>
  </si>
  <si>
    <t xml:space="preserve">Harshit  </t>
  </si>
  <si>
    <t>Hemant Kumar Patel</t>
  </si>
  <si>
    <t>Irfan Mustafa Mir</t>
  </si>
  <si>
    <t>Keshav  Dhumas</t>
  </si>
  <si>
    <t>Krish  Kumar</t>
  </si>
  <si>
    <t>Kunal</t>
  </si>
  <si>
    <t>Mahak  Makheja</t>
  </si>
  <si>
    <t>Manasvi  Dhaundiyal</t>
  </si>
  <si>
    <t>Nainala  Parthu</t>
  </si>
  <si>
    <t>Navya  Kwatra</t>
  </si>
  <si>
    <t>Navya  Sagar</t>
  </si>
  <si>
    <t>Onjoli G Shinde</t>
  </si>
  <si>
    <t>Pakhi  Dhanai</t>
  </si>
  <si>
    <t>Prabhakar  Singh</t>
  </si>
  <si>
    <t>Rachit  Bhatia</t>
  </si>
  <si>
    <t>Ritika  Saini</t>
  </si>
  <si>
    <t>Rohit  Tiwari</t>
  </si>
  <si>
    <t>Sachwlang  Debbarma</t>
  </si>
  <si>
    <t>Saksham  Mahto</t>
  </si>
  <si>
    <t>Samarjeet  Lawankar</t>
  </si>
  <si>
    <t>Shivani  Bajpai</t>
  </si>
  <si>
    <t>Shobin M Shibu</t>
  </si>
  <si>
    <t>Shreyansh  Soni</t>
  </si>
  <si>
    <t>Siddhika  Gupta</t>
  </si>
  <si>
    <t>Souradeep  Saha</t>
  </si>
  <si>
    <t>Sunny  Tomar</t>
  </si>
  <si>
    <t>Suryansh Singh Manwal</t>
  </si>
  <si>
    <t>Tanishka  Pokhriyal</t>
  </si>
  <si>
    <t>Telikicherla V R R S Sritodbhav</t>
  </si>
  <si>
    <t>Vaishnavi  Rawat</t>
  </si>
  <si>
    <t xml:space="preserve">Vivek  </t>
  </si>
  <si>
    <t>Yashi  Sharma</t>
  </si>
  <si>
    <t>First name</t>
  </si>
  <si>
    <t>Last name</t>
  </si>
  <si>
    <t>Name</t>
  </si>
  <si>
    <t>Grade/10.00</t>
  </si>
  <si>
    <t>Aanya</t>
  </si>
  <si>
    <t>Nautiyal</t>
  </si>
  <si>
    <t>Aaryan</t>
  </si>
  <si>
    <t>Choubey</t>
  </si>
  <si>
    <t>Aarye</t>
  </si>
  <si>
    <t>Singhal</t>
  </si>
  <si>
    <t>Abhijay</t>
  </si>
  <si>
    <t>.</t>
  </si>
  <si>
    <t>Adarsh Xavier</t>
  </si>
  <si>
    <t>Dadel</t>
  </si>
  <si>
    <t>Aditya</t>
  </si>
  <si>
    <t>Guleriya</t>
  </si>
  <si>
    <t>Akhil</t>
  </si>
  <si>
    <t>Kumar</t>
  </si>
  <si>
    <t>Arpit</t>
  </si>
  <si>
    <t>AYAN</t>
  </si>
  <si>
    <t>ROY</t>
  </si>
  <si>
    <t>Bhavuk</t>
  </si>
  <si>
    <t>Kakkar</t>
  </si>
  <si>
    <t>Chandan</t>
  </si>
  <si>
    <t>Chinmay</t>
  </si>
  <si>
    <t>Dakshita</t>
  </si>
  <si>
    <t>Sharma</t>
  </si>
  <si>
    <t>Dhairya Yogesh</t>
  </si>
  <si>
    <t>Gandhe</t>
  </si>
  <si>
    <t>Gerudra Pratap</t>
  </si>
  <si>
    <t>Harshit</t>
  </si>
  <si>
    <t>Hemant Kumar</t>
  </si>
  <si>
    <t>Patel</t>
  </si>
  <si>
    <t>Irfan Mustafa</t>
  </si>
  <si>
    <t>Mir</t>
  </si>
  <si>
    <t>Keshav</t>
  </si>
  <si>
    <t>Dhumas</t>
  </si>
  <si>
    <t>krish</t>
  </si>
  <si>
    <t>kumar</t>
  </si>
  <si>
    <t>Mahak</t>
  </si>
  <si>
    <t>Makheja</t>
  </si>
  <si>
    <t>MANASVI</t>
  </si>
  <si>
    <t>DHAUNDIYAL</t>
  </si>
  <si>
    <t>Nainala</t>
  </si>
  <si>
    <t>parthu</t>
  </si>
  <si>
    <t>Navya</t>
  </si>
  <si>
    <t>Sagar</t>
  </si>
  <si>
    <t>Onjoli G</t>
  </si>
  <si>
    <t>Shinde</t>
  </si>
  <si>
    <t>Pakhi</t>
  </si>
  <si>
    <t>Dhanai</t>
  </si>
  <si>
    <t>Prabhakar</t>
  </si>
  <si>
    <t>Singh</t>
  </si>
  <si>
    <t>Rachit</t>
  </si>
  <si>
    <t>Bhatia</t>
  </si>
  <si>
    <t>RITIKA</t>
  </si>
  <si>
    <t>SAINI</t>
  </si>
  <si>
    <t>Rohit</t>
  </si>
  <si>
    <t>Tiwari</t>
  </si>
  <si>
    <t>Sachwlang</t>
  </si>
  <si>
    <t>DEBBARMA</t>
  </si>
  <si>
    <t>Saksham</t>
  </si>
  <si>
    <t>Mahto</t>
  </si>
  <si>
    <t>Samarjeet</t>
  </si>
  <si>
    <t>Lawankar</t>
  </si>
  <si>
    <t>Shivani</t>
  </si>
  <si>
    <t>Bajpai</t>
  </si>
  <si>
    <t>Shobin M</t>
  </si>
  <si>
    <t>Shibu</t>
  </si>
  <si>
    <t>Shreyansh</t>
  </si>
  <si>
    <t>Soni</t>
  </si>
  <si>
    <t>Souradeep</t>
  </si>
  <si>
    <t>Saha</t>
  </si>
  <si>
    <t>Sunny</t>
  </si>
  <si>
    <t>Tomar</t>
  </si>
  <si>
    <t>Suryansh Singh</t>
  </si>
  <si>
    <t>Manwal</t>
  </si>
  <si>
    <t>Tanishka</t>
  </si>
  <si>
    <t>Pokhriyal</t>
  </si>
  <si>
    <t>Telikicherla V R R S</t>
  </si>
  <si>
    <t>Sritodbhav</t>
  </si>
  <si>
    <t>Vivek</t>
  </si>
  <si>
    <t>Yashi</t>
  </si>
  <si>
    <t>sharma</t>
  </si>
  <si>
    <t>Class Test 1</t>
  </si>
  <si>
    <t>CO1</t>
  </si>
  <si>
    <t>CO2</t>
  </si>
  <si>
    <t>Student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</si>
  <si>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</si>
  <si>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</si>
  <si>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</si>
  <si>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</si>
  <si>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</si>
  <si>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</si>
  <si>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</si>
  <si>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</si>
  <si>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</si>
  <si>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</si>
  <si>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</si>
  <si>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TOT</t>
  </si>
  <si>
    <t>F</t>
  </si>
  <si>
    <t>T</t>
  </si>
  <si>
    <t>N</t>
  </si>
  <si>
    <t>Class Test 2</t>
  </si>
  <si>
    <t>CO3</t>
  </si>
  <si>
    <t>AB</t>
  </si>
  <si>
    <t>Final Presentation</t>
  </si>
  <si>
    <t xml:space="preserve">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</si>
</sst>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A7A7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6" xfId="0" applyBorder="1"/>
    <xf numFmtId="0" fontId="0" fillId="6" borderId="0" xfId="0" applyFill="1"/>
    <xf numFmtId="0" fontId="0" fillId="0" borderId="5" xfId="0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16">
    <dxf>
      <numFmt numFmtId="1" formatCode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C99F2-49E1-47C7-9539-BC3C4901BFE4}" name="Table1" displayName="Table1" ref="A3:N51" totalsRowShown="0" headerRowDxfId="15" dataDxfId="14" tableBorderDxfId="13">
  <autoFilter ref="A3:N51" xr:uid="{AD1C99F2-49E1-47C7-9539-BC3C4901BFE4}"/>
  <tableColumns count="14">
    <tableColumn id="1" xr3:uid="{F1675DF6-137A-4DB0-B97C-09AD8863BB2C}" name="Cohort Name" dataDxfId="12"/>
    <tableColumn id="2" xr3:uid="{2E25CA89-CBA3-4CA7-B09B-72E8FDE3537D}" name="Name "/>
    <tableColumn id="3" xr3:uid="{DED4EE2F-64D6-4325-977F-7147133C7B39}" name="SAP ID"/>
    <tableColumn id="4" xr3:uid="{FA2ED2E0-1681-443A-98FA-ACA596285528}" name="Column1" dataDxfId="11"/>
    <tableColumn id="5" xr3:uid="{9531F7E9-F084-426F-B0CE-2E660AC76AA7}" name="CT 1" dataDxfId="10"/>
    <tableColumn id="6" xr3:uid="{2D796CF8-F00F-4BEF-BFB6-B1ABDF3616A8}" name="CT 2" dataDxfId="9"/>
    <tableColumn id="7" xr3:uid="{E4E75E96-66F2-45EB-BA12-74CBCF76180B}" name="Quiz 1" dataDxfId="8">
      <calculatedColumnFormula>Quiz_1!D1</calculatedColumnFormula>
    </tableColumn>
    <tableColumn id="8" xr3:uid="{6C347F7B-DCE8-43FE-807D-4ACAAAB77693}" name="File" dataDxfId="7"/>
    <tableColumn id="9" xr3:uid="{2729977B-8274-46AB-ABBD-74F0AA5ACBD5}" name="Presentation" dataDxfId="6"/>
    <tableColumn id="10" xr3:uid="{1DC0CBAB-F95E-4C38-A3C4-9FA1AD2331E8}" name="Column7" dataDxfId="5"/>
    <tableColumn id="11" xr3:uid="{51405C47-F403-42F1-B0DB-7CD107113104}" name="Column8" dataDxfId="4"/>
    <tableColumn id="12" xr3:uid="{79CF149F-1366-45FE-B7E8-52E3B2CC5588}" name="Total" dataDxfId="3">
      <calculatedColumnFormula>SUM(Table1[[#This Row],[CT 1]]/2, Table1[[#This Row],[CT 2]]/2, Table1[[#This Row],[Quiz 1]], Table1[[#This Row],[File]], Table1[[#This Row],[Presentation]])</calculatedColumnFormula>
    </tableColumn>
    <tableColumn id="13" xr3:uid="{C49B01B7-118E-45C6-BDEF-7E2A6C79A7A3}" name="Sign" dataDxfId="2"/>
    <tableColumn id="14" xr3:uid="{36CB9C30-46BE-41D7-A1E4-49D25132C740}" name="Grade" dataDxfId="1">
      <calculatedColumnFormula array="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C2D2F-8D87-4752-8AF4-1DE020B03EF1}" name="Table2" displayName="Table2" ref="A1:D44" totalsRowShown="0">
  <autoFilter ref="A1:D44" xr:uid="{0FCC2D2F-8D87-4752-8AF4-1DE020B03EF1}"/>
  <sortState xmlns:xlrd2="http://schemas.microsoft.com/office/spreadsheetml/2017/richdata2" ref="A2:D44">
    <sortCondition ref="C1:C44"/>
  </sortState>
  <tableColumns count="4">
    <tableColumn id="1" xr3:uid="{7CFA8153-7C64-43C6-84F2-1C17E8A7F158}" name="First name"/>
    <tableColumn id="2" xr3:uid="{4E293C79-0C16-424F-B488-92C950F93A09}" name="Last name"/>
    <tableColumn id="3" xr3:uid="{9B84C57B-3B41-44C1-A2CD-B482ABF09460}" name="Name">
      <calculatedColumnFormula>_xlfn.TEXTJOIN(" ", TRUE, A2, B2)</calculatedColumnFormula>
    </tableColumn>
    <tableColumn id="4" xr3:uid="{11CA68D9-0A54-4322-93F8-3ED2C82E55AE}" name="Grade/10.00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6612D5-A95A-4501-AADB-EEF0EDC8631E}" name="Table3" displayName="Table3" ref="A4:O52" totalsRowShown="0">
  <autoFilter ref="A4:O52" xr:uid="{836612D5-A95A-4501-AADB-EEF0EDC8631E}"/>
  <sortState xmlns:xlrd2="http://schemas.microsoft.com/office/spreadsheetml/2017/richdata2" ref="A5:O52">
    <sortCondition ref="B4:B52"/>
  </sortState>
  <tableColumns count="15">
    <tableColumn id="1" xr3:uid="{83B43237-5033-4079-B5C4-0A850AB8EC68}" name="Student Id"/>
    <tableColumn id="2" xr3:uid="{A82DE71D-C416-4618-A29B-FD34777D8394}" name="Name"/>
    <tableColumn id="3" xr3:uid="{34318DF9-DAAA-4786-BB26-432C1983787D}" name="Q1"/>
    <tableColumn id="4" xr3:uid="{E3337CA7-0B55-4514-A6A1-5B557A4E9A6F}" name="Q2"/>
    <tableColumn id="5" xr3:uid="{D0400A17-DCCE-47C8-9BE6-7D491EED4CF9}" name="Q3"/>
    <tableColumn id="6" xr3:uid="{5185EB97-9E15-4F4E-B877-D47C0D0B2D99}" name="Q4"/>
    <tableColumn id="7" xr3:uid="{6105E3C1-85F9-4E69-924C-E5E859FE8009}" name="Q5"/>
    <tableColumn id="8" xr3:uid="{89E6F10C-0464-457D-BBEA-8587C158592B}" name="Q6"/>
    <tableColumn id="9" xr3:uid="{811362CD-915B-4B4B-AE1B-F191C23BD11E}" name="Q7"/>
    <tableColumn id="10" xr3:uid="{31408A90-4DA5-46F1-9BEB-84CC8087B279}" name="Q8"/>
    <tableColumn id="11" xr3:uid="{A24F4955-8174-4A2C-AC38-B5F1FA636C99}" name="Q9"/>
    <tableColumn id="12" xr3:uid="{E31A9AC8-0BE5-4816-B6AB-781AB34B188E}" name="Q10"/>
    <tableColumn id="13" xr3:uid="{5FBB58F7-69AC-4A7F-BBBB-F008ABB7E811}" name="Q11"/>
    <tableColumn id="14" xr3:uid="{F45BFFC3-FC90-472E-B80D-E46E828326CC}" name="TOT"/>
    <tableColumn id="15" xr3:uid="{B47D0F22-4926-4DAA-A41A-4CA3B492ECDB}" nam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O51"/>
  <sheetViews>
    <sheetView topLeftCell="A2" zoomScale="99" workbookViewId="0">
      <selection activeCell="E10" sqref="E10"/>
    </sheetView>
  </sheetViews>
  <sheetFormatPr defaultRowHeight="15"/>
  <cols>
    <col min="1" max="1" width="18.28515625" customWidth="1"/>
    <col min="2" max="2" width="19.7109375" customWidth="1"/>
    <col min="3" max="3" width="17.85546875" style="9" customWidth="1"/>
    <col min="4" max="4" width="11.28515625" customWidth="1"/>
    <col min="5" max="6" width="15.7109375" customWidth="1"/>
    <col min="7" max="7" width="16.140625" customWidth="1"/>
    <col min="8" max="8" width="14.42578125" customWidth="1"/>
    <col min="9" max="9" width="11.85546875" customWidth="1"/>
    <col min="10" max="12" width="13.42578125" customWidth="1"/>
    <col min="13" max="13" width="12.5703125" customWidth="1"/>
    <col min="14" max="14" width="9.140625" style="9"/>
  </cols>
  <sheetData>
    <row r="1" spans="1:15" ht="24.7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5" ht="24.7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5" ht="15.75">
      <c r="A3" s="10" t="s">
        <v>2</v>
      </c>
      <c r="B3" s="11" t="s">
        <v>3</v>
      </c>
      <c r="C3" s="12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26" t="s">
        <v>15</v>
      </c>
    </row>
    <row r="4" spans="1:15">
      <c r="A4" s="13"/>
      <c r="B4" s="13"/>
      <c r="C4" s="14" t="s">
        <v>16</v>
      </c>
      <c r="D4" s="13"/>
      <c r="E4" s="13">
        <v>40</v>
      </c>
      <c r="F4" s="13">
        <v>40</v>
      </c>
      <c r="G4" s="13">
        <v>10</v>
      </c>
      <c r="H4" s="13">
        <v>25</v>
      </c>
      <c r="I4" s="13">
        <v>25</v>
      </c>
      <c r="J4" s="13"/>
      <c r="K4" s="13"/>
      <c r="L4" s="13">
        <f>SUM(Table1[[#This Row],[CT 1]]/2, Table1[[#This Row],[CT 2]]/2, Table1[[#This Row],[Quiz 1]], Table1[[#This Row],[File]], Table1[[#This Row],[Presentation]])</f>
        <v>100</v>
      </c>
      <c r="M4" s="15"/>
      <c r="N4" s="27" t="str" cm="1">
        <f t="array" ref="N4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O</v>
      </c>
      <c r="O4" s="8"/>
    </row>
    <row r="5" spans="1:15" ht="17.25" customHeight="1">
      <c r="A5" s="16"/>
      <c r="B5" s="21" t="s">
        <v>17</v>
      </c>
      <c r="C5" s="23">
        <v>590027532</v>
      </c>
      <c r="D5" s="17"/>
      <c r="E5" s="1" cm="1">
        <f t="array" ref="E5">_xlfn.XLOOKUP(
  TRIM(Table1[[#This Row],[Name ]]),
  TRIM('Class Test 1'!B:B),
  'Class Test 1'!N:N,
  ""
)</f>
        <v>9</v>
      </c>
      <c r="F5" s="1" cm="1">
        <f t="array" ref="F5">_xlfn.XLOOKUP(
  TRIM(Table1[[#This Row],[Name ]]),
  TRIM('Class Test 2'!B6:B52),
  'Class Test 2'!N6:N52,
  "")</f>
        <v>0</v>
      </c>
      <c r="G5" s="25">
        <f>_xlfn.XLOOKUP(
    LEFT(Table1[[#This Row],[Name ]], FIND(" ", Table1[[#This Row],[Name ]] &amp; " ") - 1),
    Table2[First name],
    Table2[Grade/10.00],
    ""
)</f>
        <v>9</v>
      </c>
      <c r="H5" s="1">
        <f>'Final Presentation'!C6</f>
        <v>22</v>
      </c>
      <c r="I5" s="1">
        <f>'Final Presentation'!D6</f>
        <v>19</v>
      </c>
      <c r="J5" s="2"/>
      <c r="K5" s="1"/>
      <c r="L5" s="13">
        <f>SUM(Table1[[#This Row],[CT 1]]/2, Table1[[#This Row],[CT 2]]/2, Table1[[#This Row],[Quiz 1]], Table1[[#This Row],[File]], Table1[[#This Row],[Presentation]])</f>
        <v>54.5</v>
      </c>
      <c r="M5" s="18"/>
      <c r="N5" s="28" t="str" cm="1">
        <f t="array" ref="N5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6" spans="1:15" ht="15.75">
      <c r="A6" s="19"/>
      <c r="B6" s="21" t="s">
        <v>18</v>
      </c>
      <c r="C6" s="23">
        <v>590021539</v>
      </c>
      <c r="D6" s="17"/>
      <c r="E6" s="1" cm="1">
        <f t="array" ref="E6">_xlfn.XLOOKUP(
  TRIM(Table1[[#This Row],[Name ]]),
  TRIM('Class Test 1'!B:B),
  'Class Test 1'!N:N,
  ""
)</f>
        <v>0</v>
      </c>
      <c r="F6" s="1" cm="1">
        <f t="array" ref="F6">_xlfn.XLOOKUP(
  TRIM(Table1[[#This Row],[Name ]]),
  TRIM('Class Test 2'!B7:B53),
  'Class Test 2'!N7:N53,
  "")</f>
        <v>21</v>
      </c>
      <c r="G6" s="25">
        <f>_xlfn.XLOOKUP(
    LEFT(Table1[[#This Row],[Name ]], FIND(" ", Table1[[#This Row],[Name ]] &amp; " ") - 1),
    Table2[First name],
    Table2[Grade/10.00],
    ""
)</f>
        <v>10</v>
      </c>
      <c r="H6" s="1">
        <f>'Final Presentation'!C7</f>
        <v>23</v>
      </c>
      <c r="I6" s="1">
        <f>'Final Presentation'!D7</f>
        <v>24</v>
      </c>
      <c r="J6" s="2"/>
      <c r="K6" s="2"/>
      <c r="L6" s="13">
        <f>SUM(Table1[[#This Row],[CT 1]]/2, Table1[[#This Row],[CT 2]]/2, Table1[[#This Row],[Quiz 1]], Table1[[#This Row],[File]], Table1[[#This Row],[Presentation]])</f>
        <v>67.5</v>
      </c>
      <c r="M6" s="18"/>
      <c r="N6" s="28" t="str" cm="1">
        <f t="array" ref="N6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7" spans="1:15" ht="15.75">
      <c r="A7" s="16"/>
      <c r="B7" s="21" t="s">
        <v>19</v>
      </c>
      <c r="C7" s="23">
        <v>590021092</v>
      </c>
      <c r="D7" s="17"/>
      <c r="E7" s="1" cm="1">
        <f t="array" ref="E7">_xlfn.XLOOKUP(
  TRIM(Table1[[#This Row],[Name ]]),
  TRIM('Class Test 1'!B:B),
  'Class Test 1'!N:N,
  ""
)</f>
        <v>30</v>
      </c>
      <c r="F7" s="1" cm="1">
        <f t="array" ref="F7">_xlfn.XLOOKUP(
  TRIM(Table1[[#This Row],[Name ]]),
  TRIM('Class Test 2'!B8:B54),
  'Class Test 2'!N8:N54,
  "")</f>
        <v>29</v>
      </c>
      <c r="G7" s="25">
        <f>_xlfn.XLOOKUP(
    LEFT(Table1[[#This Row],[Name ]], FIND(" ", Table1[[#This Row],[Name ]] &amp; " ") - 1),
    Table2[First name],
    Table2[Grade/10.00],
    ""
)</f>
        <v>10</v>
      </c>
      <c r="H7" s="1">
        <f>'Final Presentation'!C8</f>
        <v>21</v>
      </c>
      <c r="I7" s="1">
        <f>'Final Presentation'!D8</f>
        <v>23</v>
      </c>
      <c r="J7" s="2"/>
      <c r="K7" s="2"/>
      <c r="L7" s="13">
        <f>SUM(Table1[[#This Row],[CT 1]]/2, Table1[[#This Row],[CT 2]]/2, Table1[[#This Row],[Quiz 1]], Table1[[#This Row],[File]], Table1[[#This Row],[Presentation]])</f>
        <v>83.5</v>
      </c>
      <c r="M7" s="18"/>
      <c r="N7" s="28" t="str" cm="1">
        <f t="array" ref="N7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A</v>
      </c>
    </row>
    <row r="8" spans="1:15" ht="15.75">
      <c r="A8" s="19"/>
      <c r="B8" s="21" t="s">
        <v>20</v>
      </c>
      <c r="C8" s="23">
        <v>590028566</v>
      </c>
      <c r="D8" s="17"/>
      <c r="E8" s="1" cm="1">
        <f t="array" ref="E8">_xlfn.XLOOKUP(
  TRIM(Table1[[#This Row],[Name ]]),
  TRIM('Class Test 1'!B:B),
  'Class Test 1'!N:N,
  ""
)</f>
        <v>16</v>
      </c>
      <c r="F8" s="1" cm="1">
        <f t="array" ref="F8">_xlfn.XLOOKUP(
  TRIM(Table1[[#This Row],[Name ]]),
  TRIM('Class Test 2'!B9:B55),
  'Class Test 2'!N9:N55,
  "")</f>
        <v>19</v>
      </c>
      <c r="G8" s="25">
        <f>_xlfn.XLOOKUP(
    LEFT(Table1[[#This Row],[Name ]], FIND(" ", Table1[[#This Row],[Name ]] &amp; " ") - 1),
    Table2[First name],
    Table2[Grade/10.00],
    ""
)</f>
        <v>10</v>
      </c>
      <c r="H8" s="1">
        <f>'Final Presentation'!C9</f>
        <v>21</v>
      </c>
      <c r="I8" s="1">
        <f>'Final Presentation'!D9</f>
        <v>24</v>
      </c>
      <c r="J8" s="2"/>
      <c r="K8" s="2"/>
      <c r="L8" s="13">
        <f>SUM(Table1[[#This Row],[CT 1]]/2, Table1[[#This Row],[CT 2]]/2, Table1[[#This Row],[Quiz 1]], Table1[[#This Row],[File]], Table1[[#This Row],[Presentation]])</f>
        <v>72.5</v>
      </c>
      <c r="M8" s="18"/>
      <c r="N8" s="28" t="str" cm="1">
        <f t="array" ref="N8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9" spans="1:15" ht="15.75">
      <c r="A9" s="16"/>
      <c r="B9" s="21" t="s">
        <v>21</v>
      </c>
      <c r="C9" s="23">
        <v>590027262</v>
      </c>
      <c r="D9" s="17"/>
      <c r="E9" s="1" cm="1">
        <f t="array" ref="E9">_xlfn.XLOOKUP(
  TRIM(Table1[[#This Row],[Name ]]),
  TRIM('Class Test 1'!B:B),
  'Class Test 1'!N:N,
  ""
)</f>
        <v>14</v>
      </c>
      <c r="F9" s="1" cm="1">
        <f t="array" ref="F9">_xlfn.XLOOKUP(
  TRIM(Table1[[#This Row],[Name ]]),
  TRIM('Class Test 2'!B10:B56),
  'Class Test 2'!N10:N56,
  "")</f>
        <v>18</v>
      </c>
      <c r="G9" s="25" t="str">
        <f>_xlfn.XLOOKUP(
    LEFT(Table1[[#This Row],[Name ]], FIND(" ", Table1[[#This Row],[Name ]] &amp; " ") - 1),
    Table2[First name],
    Table2[Grade/10.00],
    ""
)</f>
        <v/>
      </c>
      <c r="H9" s="1">
        <f>'Final Presentation'!C10</f>
        <v>22</v>
      </c>
      <c r="I9" s="1">
        <f>'Final Presentation'!D10</f>
        <v>15</v>
      </c>
      <c r="J9" s="2"/>
      <c r="K9" s="2"/>
      <c r="L9" s="13">
        <f>SUM(Table1[[#This Row],[CT 1]]/2, Table1[[#This Row],[CT 2]]/2, Table1[[#This Row],[Quiz 1]], Table1[[#This Row],[File]], Table1[[#This Row],[Presentation]])</f>
        <v>53</v>
      </c>
      <c r="M9" s="18"/>
      <c r="N9" s="28" t="str" cm="1">
        <f t="array" ref="N9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10" spans="1:15" ht="15.75">
      <c r="A10" s="19"/>
      <c r="B10" s="21" t="s">
        <v>22</v>
      </c>
      <c r="C10" s="23">
        <v>590025408</v>
      </c>
      <c r="D10" s="17"/>
      <c r="E10" s="1" cm="1">
        <f t="array" ref="E10">_xlfn.XLOOKUP(
  TRIM(Table1[[#This Row],[Name ]]),
  TRIM('Class Test 1'!B:B),
  'Class Test 1'!N:N,
  ""
)</f>
        <v>9</v>
      </c>
      <c r="F10" s="1" cm="1">
        <f t="array" ref="F10">_xlfn.XLOOKUP(
  TRIM(Table1[[#This Row],[Name ]]),
  TRIM('Class Test 2'!B11:B57),
  'Class Test 2'!N11:N57,
  "")</f>
        <v>0</v>
      </c>
      <c r="G10" s="25">
        <f>_xlfn.XLOOKUP(
    LEFT(Table1[[#This Row],[Name ]], FIND(" ", Table1[[#This Row],[Name ]] &amp; " ") - 1),
    Table2[First name],
    Table2[Grade/10.00],
    ""
)</f>
        <v>10</v>
      </c>
      <c r="H10" s="1">
        <f>'Final Presentation'!C11</f>
        <v>21</v>
      </c>
      <c r="I10" s="1">
        <f>'Final Presentation'!D11</f>
        <v>20</v>
      </c>
      <c r="J10" s="2"/>
      <c r="K10" s="2"/>
      <c r="L10" s="13">
        <f>SUM(Table1[[#This Row],[CT 1]]/2, Table1[[#This Row],[CT 2]]/2, Table1[[#This Row],[Quiz 1]], Table1[[#This Row],[File]], Table1[[#This Row],[Presentation]])</f>
        <v>55.5</v>
      </c>
      <c r="M10" s="18"/>
      <c r="N10" s="28" t="str" cm="1">
        <f t="array" ref="N10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11" spans="1:15" ht="15.75">
      <c r="A11" s="16"/>
      <c r="B11" s="21" t="s">
        <v>23</v>
      </c>
      <c r="C11" s="23">
        <v>590028353</v>
      </c>
      <c r="D11" s="17"/>
      <c r="E11" s="1" cm="1">
        <f t="array" ref="E11">_xlfn.XLOOKUP(
  TRIM(Table1[[#This Row],[Name ]]),
  TRIM('Class Test 1'!B:B),
  'Class Test 1'!N:N,
  ""
)</f>
        <v>19</v>
      </c>
      <c r="F11" s="1" cm="1">
        <f t="array" ref="F11">_xlfn.XLOOKUP(
  TRIM(Table1[[#This Row],[Name ]]),
  TRIM('Class Test 2'!B12:B58),
  'Class Test 2'!N12:N58,
  "")</f>
        <v>0</v>
      </c>
      <c r="G11" s="25">
        <f>_xlfn.XLOOKUP(
    LEFT(Table1[[#This Row],[Name ]], FIND(" ", Table1[[#This Row],[Name ]] &amp; " ") - 1),
    Table2[First name],
    Table2[Grade/10.00],
    ""
)</f>
        <v>8</v>
      </c>
      <c r="H11" s="1" t="str">
        <f>'Final Presentation'!C12</f>
        <v>AB</v>
      </c>
      <c r="I11" s="1" t="str">
        <f>'Final Presentation'!D12</f>
        <v>AB</v>
      </c>
      <c r="J11" s="2"/>
      <c r="K11" s="2"/>
      <c r="L11" s="13">
        <f>SUM(Table1[[#This Row],[CT 1]]/2, Table1[[#This Row],[CT 2]]/2, Table1[[#This Row],[Quiz 1]], Table1[[#This Row],[File]], Table1[[#This Row],[Presentation]])</f>
        <v>17.5</v>
      </c>
      <c r="M11" s="18"/>
      <c r="N11" s="28" t="str" cm="1">
        <f t="array" ref="N1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F</v>
      </c>
    </row>
    <row r="12" spans="1:15" ht="15.75">
      <c r="A12" s="19"/>
      <c r="B12" s="21" t="s">
        <v>24</v>
      </c>
      <c r="C12" s="23">
        <v>590027987</v>
      </c>
      <c r="D12" s="17"/>
      <c r="E12" s="1" cm="1">
        <f t="array" ref="E12">_xlfn.XLOOKUP(
  TRIM(Table1[[#This Row],[Name ]]),
  TRIM('Class Test 1'!B:B),
  'Class Test 1'!N:N,
  ""
)</f>
        <v>27</v>
      </c>
      <c r="F12" s="1" cm="1">
        <f t="array" ref="F12">_xlfn.XLOOKUP(
  TRIM(Table1[[#This Row],[Name ]]),
  TRIM('Class Test 2'!B13:B59),
  'Class Test 2'!N13:N59,
  "")</f>
        <v>12</v>
      </c>
      <c r="G12" s="25">
        <f>_xlfn.XLOOKUP(
    LEFT(Table1[[#This Row],[Name ]], FIND(" ", Table1[[#This Row],[Name ]] &amp; " ") - 1),
    Table2[First name],
    Table2[Grade/10.00],
    ""
)</f>
        <v>9</v>
      </c>
      <c r="H12" s="1">
        <f>'Final Presentation'!C13</f>
        <v>23</v>
      </c>
      <c r="I12" s="1" t="str">
        <f>'Final Presentation'!D13</f>
        <v>AB</v>
      </c>
      <c r="J12" s="2"/>
      <c r="K12" s="2"/>
      <c r="L12" s="13">
        <f>SUM(Table1[[#This Row],[CT 1]]/2, Table1[[#This Row],[CT 2]]/2, Table1[[#This Row],[Quiz 1]], Table1[[#This Row],[File]], Table1[[#This Row],[Presentation]])</f>
        <v>51.5</v>
      </c>
      <c r="M12" s="18"/>
      <c r="N12" s="28" t="str" cm="1">
        <f t="array" ref="N12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13" spans="1:15" ht="15.75">
      <c r="A13" s="16"/>
      <c r="B13" s="21" t="s">
        <v>25</v>
      </c>
      <c r="C13" s="23">
        <v>590023231</v>
      </c>
      <c r="D13" s="17"/>
      <c r="E13" s="1" cm="1">
        <f t="array" ref="E13">_xlfn.XLOOKUP(
  TRIM(Table1[[#This Row],[Name ]]),
  TRIM('Class Test 1'!B:B),
  'Class Test 1'!N:N,
  ""
)</f>
        <v>0</v>
      </c>
      <c r="F13" s="1" cm="1">
        <f t="array" ref="F13">_xlfn.XLOOKUP(
  TRIM(Table1[[#This Row],[Name ]]),
  TRIM('Class Test 2'!B14:B60),
  'Class Test 2'!N14:N60,
  "")</f>
        <v>0</v>
      </c>
      <c r="G13" s="25">
        <f>_xlfn.XLOOKUP(
    LEFT(Table1[[#This Row],[Name ]], FIND(" ", Table1[[#This Row],[Name ]] &amp; " ") - 1),
    Table2[First name],
    Table2[Grade/10.00],
    ""
)</f>
        <v>9</v>
      </c>
      <c r="H13" s="1">
        <f>'Final Presentation'!C14</f>
        <v>23</v>
      </c>
      <c r="I13" s="1">
        <f>'Final Presentation'!D14</f>
        <v>22</v>
      </c>
      <c r="J13" s="2"/>
      <c r="K13" s="2"/>
      <c r="L13" s="13">
        <f>SUM(Table1[[#This Row],[CT 1]]/2, Table1[[#This Row],[CT 2]]/2, Table1[[#This Row],[Quiz 1]], Table1[[#This Row],[File]], Table1[[#This Row],[Presentation]])</f>
        <v>54</v>
      </c>
      <c r="M13" s="18"/>
      <c r="N13" s="28" t="str" cm="1">
        <f t="array" ref="N13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14" spans="1:15" ht="15.75">
      <c r="A14" s="19"/>
      <c r="B14" s="21" t="s">
        <v>26</v>
      </c>
      <c r="C14" s="23">
        <v>590028954</v>
      </c>
      <c r="D14" s="17"/>
      <c r="E14" s="1" cm="1">
        <f t="array" ref="E14">_xlfn.XLOOKUP(
  TRIM(Table1[[#This Row],[Name ]]),
  TRIM('Class Test 1'!B:B),
  'Class Test 1'!N:N,
  ""
)</f>
        <v>3</v>
      </c>
      <c r="F14" s="1" cm="1">
        <f t="array" ref="F14">_xlfn.XLOOKUP(
  TRIM(Table1[[#This Row],[Name ]]),
  TRIM('Class Test 2'!B15:B61),
  'Class Test 2'!N15:N61,
  "")</f>
        <v>0</v>
      </c>
      <c r="G14" s="25">
        <f>_xlfn.XLOOKUP(
    LEFT(Table1[[#This Row],[Name ]], FIND(" ", Table1[[#This Row],[Name ]] &amp; " ") - 1),
    Table2[First name],
    Table2[Grade/10.00],
    ""
)</f>
        <v>9</v>
      </c>
      <c r="H14" s="1">
        <f>'Final Presentation'!C15</f>
        <v>23</v>
      </c>
      <c r="I14" s="1">
        <f>'Final Presentation'!D15</f>
        <v>21</v>
      </c>
      <c r="J14" s="2"/>
      <c r="K14" s="2"/>
      <c r="L14" s="13">
        <f>SUM(Table1[[#This Row],[CT 1]]/2, Table1[[#This Row],[CT 2]]/2, Table1[[#This Row],[Quiz 1]], Table1[[#This Row],[File]], Table1[[#This Row],[Presentation]])</f>
        <v>54.5</v>
      </c>
      <c r="M14" s="18"/>
      <c r="N14" s="28" t="str" cm="1">
        <f t="array" ref="N14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15" spans="1:15" ht="15.75">
      <c r="A15" s="16"/>
      <c r="B15" s="21" t="s">
        <v>27</v>
      </c>
      <c r="C15" s="23">
        <v>590021623</v>
      </c>
      <c r="D15" s="17"/>
      <c r="E15" s="1" cm="1">
        <f t="array" ref="E15">_xlfn.XLOOKUP(
  TRIM(Table1[[#This Row],[Name ]]),
  TRIM('Class Test 1'!B:B),
  'Class Test 1'!N:N,
  ""
)</f>
        <v>16</v>
      </c>
      <c r="F15" s="1" cm="1">
        <f t="array" ref="F15">_xlfn.XLOOKUP(
  TRIM(Table1[[#This Row],[Name ]]),
  TRIM('Class Test 2'!B16:B62),
  'Class Test 2'!N16:N62,
  "")</f>
        <v>14</v>
      </c>
      <c r="G15" s="25">
        <f>_xlfn.XLOOKUP(
    LEFT(Table1[[#This Row],[Name ]], FIND(" ", Table1[[#This Row],[Name ]] &amp; " ") - 1),
    Table2[First name],
    Table2[Grade/10.00],
    ""
)</f>
        <v>10</v>
      </c>
      <c r="H15" s="1">
        <f>'Final Presentation'!C16</f>
        <v>23</v>
      </c>
      <c r="I15" s="1">
        <f>'Final Presentation'!D16</f>
        <v>18</v>
      </c>
      <c r="J15" s="2"/>
      <c r="K15" s="2"/>
      <c r="L15" s="13">
        <f>SUM(Table1[[#This Row],[CT 1]]/2, Table1[[#This Row],[CT 2]]/2, Table1[[#This Row],[Quiz 1]], Table1[[#This Row],[File]], Table1[[#This Row],[Presentation]])</f>
        <v>66</v>
      </c>
      <c r="M15" s="18"/>
      <c r="N15" s="28" t="str" cm="1">
        <f t="array" ref="N15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16" spans="1:15" ht="15.75">
      <c r="A16" s="19"/>
      <c r="B16" s="21" t="s">
        <v>28</v>
      </c>
      <c r="C16" s="23">
        <v>590027316</v>
      </c>
      <c r="D16" s="17"/>
      <c r="E16" s="1" cm="1">
        <f t="array" ref="E16">_xlfn.XLOOKUP(
  TRIM(Table1[[#This Row],[Name ]]),
  TRIM('Class Test 1'!B:B),
  'Class Test 1'!N:N,
  ""
)</f>
        <v>19</v>
      </c>
      <c r="F16" s="1" cm="1">
        <f t="array" ref="F16">_xlfn.XLOOKUP(
  TRIM(Table1[[#This Row],[Name ]]),
  TRIM('Class Test 2'!B17:B63),
  'Class Test 2'!N17:N63,
  "")</f>
        <v>14</v>
      </c>
      <c r="G16" s="25" t="str">
        <f>_xlfn.XLOOKUP(
    LEFT(Table1[[#This Row],[Name ]], FIND(" ", Table1[[#This Row],[Name ]] &amp; " ") - 1),
    Table2[First name],
    Table2[Grade/10.00],
    ""
)</f>
        <v/>
      </c>
      <c r="H16" s="1">
        <f>'Final Presentation'!C17</f>
        <v>23</v>
      </c>
      <c r="I16" s="1">
        <f>'Final Presentation'!D17</f>
        <v>23</v>
      </c>
      <c r="J16" s="2"/>
      <c r="K16" s="2"/>
      <c r="L16" s="13">
        <f>SUM(Table1[[#This Row],[CT 1]]/2, Table1[[#This Row],[CT 2]]/2, Table1[[#This Row],[Quiz 1]], Table1[[#This Row],[File]], Table1[[#This Row],[Presentation]])</f>
        <v>62.5</v>
      </c>
      <c r="M16" s="18"/>
      <c r="N16" s="28" t="str" cm="1">
        <f t="array" ref="N16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17" spans="1:14" ht="15.75">
      <c r="A17" s="16"/>
      <c r="B17" s="21" t="s">
        <v>29</v>
      </c>
      <c r="C17" s="23">
        <v>590021231</v>
      </c>
      <c r="D17" s="17"/>
      <c r="E17" s="1" cm="1">
        <f t="array" ref="E17">_xlfn.XLOOKUP(
  TRIM(Table1[[#This Row],[Name ]]),
  TRIM('Class Test 1'!B:B),
  'Class Test 1'!N:N,
  ""
)</f>
        <v>16</v>
      </c>
      <c r="F17" s="1" cm="1">
        <f t="array" ref="F17">_xlfn.XLOOKUP(
  TRIM(Table1[[#This Row],[Name ]]),
  TRIM('Class Test 2'!B18:B64),
  'Class Test 2'!N18:N64,
  "")</f>
        <v>16</v>
      </c>
      <c r="G17" s="25">
        <f>_xlfn.XLOOKUP(
    LEFT(Table1[[#This Row],[Name ]], FIND(" ", Table1[[#This Row],[Name ]] &amp; " ") - 1),
    Table2[First name],
    Table2[Grade/10.00],
    ""
)</f>
        <v>8</v>
      </c>
      <c r="H17" s="1">
        <f>'Final Presentation'!C18</f>
        <v>23</v>
      </c>
      <c r="I17" s="1">
        <f>'Final Presentation'!D18</f>
        <v>22</v>
      </c>
      <c r="J17" s="2"/>
      <c r="K17" s="2"/>
      <c r="L17" s="13">
        <f>SUM(Table1[[#This Row],[CT 1]]/2, Table1[[#This Row],[CT 2]]/2, Table1[[#This Row],[Quiz 1]], Table1[[#This Row],[File]], Table1[[#This Row],[Presentation]])</f>
        <v>69</v>
      </c>
      <c r="M17" s="18"/>
      <c r="N17" s="28" t="str" cm="1">
        <f t="array" ref="N17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18" spans="1:14" ht="15.75">
      <c r="A18" s="19"/>
      <c r="B18" s="21" t="s">
        <v>30</v>
      </c>
      <c r="C18" s="23">
        <v>590020769</v>
      </c>
      <c r="D18" s="17"/>
      <c r="E18" s="1" cm="1">
        <f t="array" ref="E18">_xlfn.XLOOKUP(
  TRIM(Table1[[#This Row],[Name ]]),
  TRIM('Class Test 1'!B:B),
  'Class Test 1'!N:N,
  ""
)</f>
        <v>22</v>
      </c>
      <c r="F18" s="1" cm="1">
        <f t="array" ref="F18">_xlfn.XLOOKUP(
  TRIM(Table1[[#This Row],[Name ]]),
  TRIM('Class Test 2'!B19:B65),
  'Class Test 2'!N19:N65,
  "")</f>
        <v>5</v>
      </c>
      <c r="G18" s="25" t="str">
        <f>_xlfn.XLOOKUP(
    LEFT(Table1[[#This Row],[Name ]], FIND(" ", Table1[[#This Row],[Name ]] &amp; " ") - 1),
    Table2[First name],
    Table2[Grade/10.00],
    ""
)</f>
        <v/>
      </c>
      <c r="H18" s="1">
        <f>'Final Presentation'!C19</f>
        <v>21</v>
      </c>
      <c r="I18" s="1">
        <f>'Final Presentation'!D19</f>
        <v>20</v>
      </c>
      <c r="J18" s="17"/>
      <c r="K18" s="17"/>
      <c r="L18" s="13">
        <f>SUM(Table1[[#This Row],[CT 1]]/2, Table1[[#This Row],[CT 2]]/2, Table1[[#This Row],[Quiz 1]], Table1[[#This Row],[File]], Table1[[#This Row],[Presentation]])</f>
        <v>54.5</v>
      </c>
      <c r="M18" s="17"/>
      <c r="N18" s="28" t="str" cm="1">
        <f t="array" ref="N18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19" spans="1:14" ht="15.75">
      <c r="A19" s="16"/>
      <c r="B19" s="21" t="s">
        <v>31</v>
      </c>
      <c r="C19" s="23">
        <v>590027689</v>
      </c>
      <c r="D19" s="17"/>
      <c r="E19" s="1" cm="1">
        <f t="array" ref="E19">_xlfn.XLOOKUP(
  TRIM(Table1[[#This Row],[Name ]]),
  TRIM('Class Test 1'!B:B),
  'Class Test 1'!N:N,
  ""
)</f>
        <v>0</v>
      </c>
      <c r="F19" s="1" cm="1">
        <f t="array" ref="F19">_xlfn.XLOOKUP(
  TRIM(Table1[[#This Row],[Name ]]),
  TRIM('Class Test 2'!B20:B66),
  'Class Test 2'!N20:N66,
  "")</f>
        <v>0</v>
      </c>
      <c r="G19" s="25" t="str">
        <f>_xlfn.XLOOKUP(
    LEFT(Table1[[#This Row],[Name ]], FIND(" ", Table1[[#This Row],[Name ]] &amp; " ") - 1),
    Table2[First name],
    Table2[Grade/10.00],
    ""
)</f>
        <v/>
      </c>
      <c r="H19" s="1">
        <f>'Final Presentation'!C20</f>
        <v>23</v>
      </c>
      <c r="I19" s="1">
        <f>'Final Presentation'!D20</f>
        <v>19</v>
      </c>
      <c r="J19" s="17"/>
      <c r="K19" s="17"/>
      <c r="L19" s="13">
        <f>SUM(Table1[[#This Row],[CT 1]]/2, Table1[[#This Row],[CT 2]]/2, Table1[[#This Row],[Quiz 1]], Table1[[#This Row],[File]], Table1[[#This Row],[Presentation]])</f>
        <v>42</v>
      </c>
      <c r="M19" s="17"/>
      <c r="N19" s="28" t="str" cm="1">
        <f t="array" ref="N19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E</v>
      </c>
    </row>
    <row r="20" spans="1:14" ht="15.75">
      <c r="A20" s="20"/>
      <c r="B20" s="21" t="s">
        <v>32</v>
      </c>
      <c r="C20" s="23">
        <v>590028120</v>
      </c>
      <c r="D20" s="17"/>
      <c r="E20" s="1" cm="1">
        <f t="array" ref="E20">_xlfn.XLOOKUP(
  TRIM(Table1[[#This Row],[Name ]]),
  TRIM('Class Test 1'!B:B),
  'Class Test 1'!N:N,
  ""
)</f>
        <v>11</v>
      </c>
      <c r="F20" s="1" cm="1">
        <f t="array" ref="F20">_xlfn.XLOOKUP(
  TRIM(Table1[[#This Row],[Name ]]),
  TRIM('Class Test 2'!B21:B67),
  'Class Test 2'!N21:N67,
  "")</f>
        <v>12</v>
      </c>
      <c r="G20" s="25">
        <f>_xlfn.XLOOKUP(
    LEFT(Table1[[#This Row],[Name ]], FIND(" ", Table1[[#This Row],[Name ]] &amp; " ") - 1),
    Table2[First name],
    Table2[Grade/10.00],
    ""
)</f>
        <v>8</v>
      </c>
      <c r="H20" s="1">
        <f>'Final Presentation'!C21</f>
        <v>21</v>
      </c>
      <c r="I20" s="1">
        <f>'Final Presentation'!D21</f>
        <v>23</v>
      </c>
      <c r="J20" s="17"/>
      <c r="K20" s="17"/>
      <c r="L20" s="13">
        <f>SUM(Table1[[#This Row],[CT 1]]/2, Table1[[#This Row],[CT 2]]/2, Table1[[#This Row],[Quiz 1]], Table1[[#This Row],[File]], Table1[[#This Row],[Presentation]])</f>
        <v>63.5</v>
      </c>
      <c r="M20" s="17"/>
      <c r="N20" s="28" t="str" cm="1">
        <f t="array" ref="N20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21" spans="1:14" ht="15.75">
      <c r="A21" s="16"/>
      <c r="B21" s="21" t="s">
        <v>33</v>
      </c>
      <c r="C21" s="23">
        <v>590029323</v>
      </c>
      <c r="D21" s="17"/>
      <c r="E21" s="1" cm="1">
        <f t="array" ref="E21">_xlfn.XLOOKUP(
  TRIM(Table1[[#This Row],[Name ]]),
  TRIM('Class Test 1'!B:B),
  'Class Test 1'!N:N,
  ""
)</f>
        <v>6</v>
      </c>
      <c r="F21" s="1" cm="1">
        <f t="array" ref="F21">_xlfn.XLOOKUP(
  TRIM(Table1[[#This Row],[Name ]]),
  TRIM('Class Test 2'!B22:B68),
  'Class Test 2'!N22:N68,
  "")</f>
        <v>14</v>
      </c>
      <c r="G21" s="25" t="str">
        <f>_xlfn.XLOOKUP(
    LEFT(Table1[[#This Row],[Name ]], FIND(" ", Table1[[#This Row],[Name ]] &amp; " ") - 1),
    Table2[First name],
    Table2[Grade/10.00],
    ""
)</f>
        <v/>
      </c>
      <c r="H21" s="1">
        <f>'Final Presentation'!C22</f>
        <v>23</v>
      </c>
      <c r="I21" s="1">
        <f>'Final Presentation'!D22</f>
        <v>19</v>
      </c>
      <c r="J21" s="17"/>
      <c r="K21" s="17"/>
      <c r="L21" s="13">
        <f>SUM(Table1[[#This Row],[CT 1]]/2, Table1[[#This Row],[CT 2]]/2, Table1[[#This Row],[Quiz 1]], Table1[[#This Row],[File]], Table1[[#This Row],[Presentation]])</f>
        <v>52</v>
      </c>
      <c r="M21" s="17"/>
      <c r="N21" s="28" t="str" cm="1">
        <f t="array" ref="N2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22" spans="1:14" ht="15.75">
      <c r="A22" s="19"/>
      <c r="B22" s="21" t="s">
        <v>34</v>
      </c>
      <c r="C22" s="23">
        <v>590025404</v>
      </c>
      <c r="D22" s="17"/>
      <c r="E22" s="1" cm="1">
        <f t="array" ref="E22">_xlfn.XLOOKUP(
  TRIM(Table1[[#This Row],[Name ]]),
  TRIM('Class Test 1'!B:B),
  'Class Test 1'!N:N,
  ""
)</f>
        <v>0</v>
      </c>
      <c r="F22" s="1" cm="1">
        <f t="array" ref="F22">_xlfn.XLOOKUP(
  TRIM(Table1[[#This Row],[Name ]]),
  TRIM('Class Test 2'!B23:B69),
  'Class Test 2'!N23:N69,
  "")</f>
        <v>0</v>
      </c>
      <c r="G22" s="25" t="str">
        <f>_xlfn.XLOOKUP(
    LEFT(Table1[[#This Row],[Name ]], FIND(" ", Table1[[#This Row],[Name ]] &amp; " ") - 1),
    Table2[First name],
    Table2[Grade/10.00],
    ""
)</f>
        <v/>
      </c>
      <c r="H22" s="1" t="str">
        <f>'Final Presentation'!C23</f>
        <v>AB</v>
      </c>
      <c r="I22" s="1" t="str">
        <f>'Final Presentation'!D23</f>
        <v>AB</v>
      </c>
      <c r="J22" s="17"/>
      <c r="K22" s="17"/>
      <c r="L22" s="13">
        <f>SUM(Table1[[#This Row],[CT 1]]/2, Table1[[#This Row],[CT 2]]/2, Table1[[#This Row],[Quiz 1]], Table1[[#This Row],[File]], Table1[[#This Row],[Presentation]])</f>
        <v>0</v>
      </c>
      <c r="M22" s="17"/>
      <c r="N22" s="28" t="str" cm="1">
        <f t="array" ref="N22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F</v>
      </c>
    </row>
    <row r="23" spans="1:14" ht="15.75">
      <c r="A23" s="16"/>
      <c r="B23" s="21" t="s">
        <v>35</v>
      </c>
      <c r="C23" s="23">
        <v>590024999</v>
      </c>
      <c r="D23" s="17"/>
      <c r="E23" s="1" cm="1">
        <f t="array" ref="E23">_xlfn.XLOOKUP(
  TRIM(Table1[[#This Row],[Name ]]),
  TRIM('Class Test 1'!B:B),
  'Class Test 1'!N:N,
  ""
)</f>
        <v>16</v>
      </c>
      <c r="F23" s="1" cm="1">
        <f t="array" ref="F23">_xlfn.XLOOKUP(
  TRIM(Table1[[#This Row],[Name ]]),
  TRIM('Class Test 2'!B24:B70),
  'Class Test 2'!N24:N70,
  "")</f>
        <v>10</v>
      </c>
      <c r="G23" s="25">
        <f>_xlfn.XLOOKUP(
    LEFT(Table1[[#This Row],[Name ]], FIND(" ", Table1[[#This Row],[Name ]] &amp; " ") - 1),
    Table2[First name],
    Table2[Grade/10.00],
    ""
)</f>
        <v>9</v>
      </c>
      <c r="H23" s="1">
        <f>'Final Presentation'!C24</f>
        <v>23</v>
      </c>
      <c r="I23" s="1">
        <f>'Final Presentation'!D24</f>
        <v>20</v>
      </c>
      <c r="J23" s="17"/>
      <c r="K23" s="17"/>
      <c r="L23" s="13">
        <f>SUM(Table1[[#This Row],[CT 1]]/2, Table1[[#This Row],[CT 2]]/2, Table1[[#This Row],[Quiz 1]], Table1[[#This Row],[File]], Table1[[#This Row],[Presentation]])</f>
        <v>65</v>
      </c>
      <c r="M23" s="17"/>
      <c r="N23" s="28" t="str" cm="1">
        <f t="array" ref="N23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24" spans="1:14" ht="15.75">
      <c r="A24" s="19"/>
      <c r="B24" s="21" t="s">
        <v>36</v>
      </c>
      <c r="C24" s="23">
        <v>590028089</v>
      </c>
      <c r="D24" s="17"/>
      <c r="E24" s="1" cm="1">
        <f t="array" ref="E24">_xlfn.XLOOKUP(
  TRIM(Table1[[#This Row],[Name ]]),
  TRIM('Class Test 1'!B:B),
  'Class Test 1'!N:N,
  ""
)</f>
        <v>3</v>
      </c>
      <c r="F24" s="1" cm="1">
        <f t="array" ref="F24">_xlfn.XLOOKUP(
  TRIM(Table1[[#This Row],[Name ]]),
  TRIM('Class Test 2'!B25:B71),
  'Class Test 2'!N25:N71,
  "")</f>
        <v>0</v>
      </c>
      <c r="G24" s="25">
        <f>_xlfn.XLOOKUP(
    LEFT(Table1[[#This Row],[Name ]], FIND(" ", Table1[[#This Row],[Name ]] &amp; " ") - 1),
    Table2[First name],
    Table2[Grade/10.00],
    ""
)</f>
        <v>9</v>
      </c>
      <c r="H24" s="1">
        <f>'Final Presentation'!C25</f>
        <v>24</v>
      </c>
      <c r="I24" s="1">
        <f>'Final Presentation'!D25</f>
        <v>21</v>
      </c>
      <c r="J24" s="17"/>
      <c r="K24" s="17"/>
      <c r="L24" s="13">
        <f>SUM(Table1[[#This Row],[CT 1]]/2, Table1[[#This Row],[CT 2]]/2, Table1[[#This Row],[Quiz 1]], Table1[[#This Row],[File]], Table1[[#This Row],[Presentation]])</f>
        <v>55.5</v>
      </c>
      <c r="M24" s="17"/>
      <c r="N24" s="28" t="str" cm="1">
        <f t="array" ref="N24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25" spans="1:14" ht="15.75">
      <c r="A25" s="16"/>
      <c r="B25" s="21" t="s">
        <v>37</v>
      </c>
      <c r="C25" s="23">
        <v>590029095</v>
      </c>
      <c r="D25" s="17"/>
      <c r="E25" s="1" cm="1">
        <f t="array" ref="E25">_xlfn.XLOOKUP(
  TRIM(Table1[[#This Row],[Name ]]),
  TRIM('Class Test 1'!B:B),
  'Class Test 1'!N:N,
  ""
)</f>
        <v>0</v>
      </c>
      <c r="F25" s="1" cm="1">
        <f t="array" ref="F25">_xlfn.XLOOKUP(
  TRIM(Table1[[#This Row],[Name ]]),
  TRIM('Class Test 2'!B26:B72),
  'Class Test 2'!N26:N72,
  "")</f>
        <v>0</v>
      </c>
      <c r="G25" s="25" t="str">
        <f>_xlfn.XLOOKUP(
    LEFT(Table1[[#This Row],[Name ]], FIND(" ", Table1[[#This Row],[Name ]] &amp; " ") - 1),
    Table2[First name],
    Table2[Grade/10.00],
    ""
)</f>
        <v/>
      </c>
      <c r="H25" s="1">
        <f>'Final Presentation'!C26</f>
        <v>22</v>
      </c>
      <c r="I25" s="1">
        <f>'Final Presentation'!D26</f>
        <v>15</v>
      </c>
      <c r="J25" s="17"/>
      <c r="K25" s="17"/>
      <c r="L25" s="13">
        <f>SUM(Table1[[#This Row],[CT 1]]/2, Table1[[#This Row],[CT 2]]/2, Table1[[#This Row],[Quiz 1]], Table1[[#This Row],[File]], Table1[[#This Row],[Presentation]])</f>
        <v>37</v>
      </c>
      <c r="M25" s="17"/>
      <c r="N25" s="28" t="str" cm="1">
        <f t="array" ref="N25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E</v>
      </c>
    </row>
    <row r="26" spans="1:14" ht="15.75">
      <c r="A26" s="19"/>
      <c r="B26" s="21" t="s">
        <v>38</v>
      </c>
      <c r="C26" s="23">
        <v>590021216</v>
      </c>
      <c r="D26" s="17"/>
      <c r="E26" s="1" cm="1">
        <f t="array" ref="E26">_xlfn.XLOOKUP(
  TRIM(Table1[[#This Row],[Name ]]),
  TRIM('Class Test 1'!B:B),
  'Class Test 1'!N:N,
  ""
)</f>
        <v>0</v>
      </c>
      <c r="F26" s="1" cm="1">
        <f t="array" ref="F26">_xlfn.XLOOKUP(
  TRIM(Table1[[#This Row],[Name ]]),
  TRIM('Class Test 2'!B27:B73),
  'Class Test 2'!N27:N73,
  "")</f>
        <v>10</v>
      </c>
      <c r="G26" s="25">
        <f>_xlfn.XLOOKUP(
    LEFT(Table1[[#This Row],[Name ]], FIND(" ", Table1[[#This Row],[Name ]] &amp; " ") - 1),
    Table2[First name],
    Table2[Grade/10.00],
    ""
)</f>
        <v>10</v>
      </c>
      <c r="H26" s="1">
        <f>'Final Presentation'!C27</f>
        <v>23</v>
      </c>
      <c r="I26" s="1">
        <f>'Final Presentation'!D27</f>
        <v>19</v>
      </c>
      <c r="J26" s="17"/>
      <c r="K26" s="17"/>
      <c r="L26" s="13">
        <f>SUM(Table1[[#This Row],[CT 1]]/2, Table1[[#This Row],[CT 2]]/2, Table1[[#This Row],[Quiz 1]], Table1[[#This Row],[File]], Table1[[#This Row],[Presentation]])</f>
        <v>57</v>
      </c>
      <c r="M26" s="17"/>
      <c r="N26" s="28" t="str" cm="1">
        <f t="array" ref="N26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27" spans="1:14" ht="15.75">
      <c r="A27" s="16"/>
      <c r="B27" s="21" t="s">
        <v>39</v>
      </c>
      <c r="C27" s="23">
        <v>590028121</v>
      </c>
      <c r="D27" s="17"/>
      <c r="E27" s="1" cm="1">
        <f t="array" ref="E27">_xlfn.XLOOKUP(
  TRIM(Table1[[#This Row],[Name ]]),
  TRIM('Class Test 1'!B:B),
  'Class Test 1'!N:N,
  ""
)</f>
        <v>27</v>
      </c>
      <c r="F27" s="1" cm="1">
        <f t="array" ref="F27">_xlfn.XLOOKUP(
  TRIM(Table1[[#This Row],[Name ]]),
  TRIM('Class Test 2'!B28:B74),
  'Class Test 2'!N28:N74,
  "")</f>
        <v>16</v>
      </c>
      <c r="G27" s="25">
        <f>_xlfn.XLOOKUP(
    LEFT(Table1[[#This Row],[Name ]], FIND(" ", Table1[[#This Row],[Name ]] &amp; " ") - 1),
    Table2[First name],
    Table2[Grade/10.00],
    ""
)</f>
        <v>9</v>
      </c>
      <c r="H27" s="1">
        <f>'Final Presentation'!C28</f>
        <v>23</v>
      </c>
      <c r="I27" s="1">
        <f>'Final Presentation'!D28</f>
        <v>21</v>
      </c>
      <c r="J27" s="17"/>
      <c r="K27" s="17"/>
      <c r="L27" s="13">
        <f>SUM(Table1[[#This Row],[CT 1]]/2, Table1[[#This Row],[CT 2]]/2, Table1[[#This Row],[Quiz 1]], Table1[[#This Row],[File]], Table1[[#This Row],[Presentation]])</f>
        <v>74.5</v>
      </c>
      <c r="M27" s="17"/>
      <c r="N27" s="28" t="str" cm="1">
        <f t="array" ref="N27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28" spans="1:14" ht="15.75">
      <c r="A28" s="19"/>
      <c r="B28" s="21" t="s">
        <v>40</v>
      </c>
      <c r="C28" s="23">
        <v>590024606</v>
      </c>
      <c r="D28" s="17"/>
      <c r="E28" s="1" cm="1">
        <f t="array" ref="E28">_xlfn.XLOOKUP(
  TRIM(Table1[[#This Row],[Name ]]),
  TRIM('Class Test 1'!B:B),
  'Class Test 1'!N:N,
  ""
)</f>
        <v>8</v>
      </c>
      <c r="F28" s="1" cm="1">
        <f t="array" ref="F28">_xlfn.XLOOKUP(
  TRIM(Table1[[#This Row],[Name ]]),
  TRIM('Class Test 2'!B29:B75),
  'Class Test 2'!N29:N75,
  "")</f>
        <v>2</v>
      </c>
      <c r="G28" s="25">
        <f>_xlfn.XLOOKUP(
    LEFT(Table1[[#This Row],[Name ]], FIND(" ", Table1[[#This Row],[Name ]] &amp; " ") - 1),
    Table2[First name],
    Table2[Grade/10.00],
    ""
)</f>
        <v>9</v>
      </c>
      <c r="H28" s="1">
        <f>'Final Presentation'!C29</f>
        <v>24</v>
      </c>
      <c r="I28" s="1">
        <f>'Final Presentation'!D29</f>
        <v>22</v>
      </c>
      <c r="J28" s="17"/>
      <c r="K28" s="17"/>
      <c r="L28" s="13">
        <f>SUM(Table1[[#This Row],[CT 1]]/2, Table1[[#This Row],[CT 2]]/2, Table1[[#This Row],[Quiz 1]], Table1[[#This Row],[File]], Table1[[#This Row],[Presentation]])</f>
        <v>60</v>
      </c>
      <c r="M28" s="17"/>
      <c r="N28" s="28" t="str" cm="1">
        <f t="array" ref="N28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29" spans="1:14" ht="15.75">
      <c r="A29" s="16"/>
      <c r="B29" s="21" t="s">
        <v>41</v>
      </c>
      <c r="C29" s="23">
        <v>590024262</v>
      </c>
      <c r="D29" s="17"/>
      <c r="E29" s="1" cm="1">
        <f t="array" ref="E29">_xlfn.XLOOKUP(
  TRIM(Table1[[#This Row],[Name ]]),
  TRIM('Class Test 1'!B:B),
  'Class Test 1'!N:N,
  ""
)</f>
        <v>0</v>
      </c>
      <c r="F29" s="1" cm="1">
        <f t="array" ref="F29">_xlfn.XLOOKUP(
  TRIM(Table1[[#This Row],[Name ]]),
  TRIM('Class Test 2'!B30:B76),
  'Class Test 2'!N30:N76,
  "")</f>
        <v>0</v>
      </c>
      <c r="G29" s="25">
        <f>_xlfn.XLOOKUP(
    LEFT(Table1[[#This Row],[Name ]], FIND(" ", Table1[[#This Row],[Name ]] &amp; " ") - 1),
    Table2[First name],
    Table2[Grade/10.00],
    ""
)</f>
        <v>9</v>
      </c>
      <c r="H29" s="1" t="str">
        <f>'Final Presentation'!C30</f>
        <v>AB</v>
      </c>
      <c r="I29" s="1" t="str">
        <f>'Final Presentation'!D30</f>
        <v>AB</v>
      </c>
      <c r="J29" s="17"/>
      <c r="K29" s="17"/>
      <c r="L29" s="13">
        <f>SUM(Table1[[#This Row],[CT 1]]/2, Table1[[#This Row],[CT 2]]/2, Table1[[#This Row],[Quiz 1]], Table1[[#This Row],[File]], Table1[[#This Row],[Presentation]])</f>
        <v>9</v>
      </c>
      <c r="M29" s="17"/>
      <c r="N29" s="28" t="str" cm="1">
        <f t="array" ref="N29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F</v>
      </c>
    </row>
    <row r="30" spans="1:14" ht="15.75">
      <c r="A30" s="19"/>
      <c r="B30" s="21" t="s">
        <v>42</v>
      </c>
      <c r="C30" s="23">
        <v>590021484</v>
      </c>
      <c r="D30" s="17"/>
      <c r="E30" s="1" cm="1">
        <f t="array" ref="E30">_xlfn.XLOOKUP(
  TRIM(Table1[[#This Row],[Name ]]),
  TRIM('Class Test 1'!B:B),
  'Class Test 1'!N:N,
  ""
)</f>
        <v>8</v>
      </c>
      <c r="F30" s="1" cm="1">
        <f t="array" ref="F30">_xlfn.XLOOKUP(
  TRIM(Table1[[#This Row],[Name ]]),
  TRIM('Class Test 2'!B31:B77),
  'Class Test 2'!N31:N77,
  "")</f>
        <v>9</v>
      </c>
      <c r="G30" s="25">
        <f>_xlfn.XLOOKUP(
    LEFT(Table1[[#This Row],[Name ]], FIND(" ", Table1[[#This Row],[Name ]] &amp; " ") - 1),
    Table2[First name],
    Table2[Grade/10.00],
    ""
)</f>
        <v>9</v>
      </c>
      <c r="H30" s="1">
        <f>'Final Presentation'!C31</f>
        <v>24</v>
      </c>
      <c r="I30" s="1">
        <f>'Final Presentation'!D31</f>
        <v>23</v>
      </c>
      <c r="J30" s="17"/>
      <c r="K30" s="17"/>
      <c r="L30" s="13">
        <f>SUM(Table1[[#This Row],[CT 1]]/2, Table1[[#This Row],[CT 2]]/2, Table1[[#This Row],[Quiz 1]], Table1[[#This Row],[File]], Table1[[#This Row],[Presentation]])</f>
        <v>64.5</v>
      </c>
      <c r="M30" s="17"/>
      <c r="N30" s="28" t="str" cm="1">
        <f t="array" ref="N30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1" spans="1:14" ht="15.75">
      <c r="A31" s="16"/>
      <c r="B31" s="21" t="s">
        <v>43</v>
      </c>
      <c r="C31" s="23">
        <v>590027317</v>
      </c>
      <c r="D31" s="17"/>
      <c r="E31" s="1" cm="1">
        <f t="array" ref="E31">_xlfn.XLOOKUP(
  TRIM(Table1[[#This Row],[Name ]]),
  TRIM('Class Test 1'!B:B),
  'Class Test 1'!N:N,
  ""
)</f>
        <v>3</v>
      </c>
      <c r="F31" s="1" cm="1">
        <f t="array" ref="F31">_xlfn.XLOOKUP(
  TRIM(Table1[[#This Row],[Name ]]),
  TRIM('Class Test 2'!B32:B78),
  'Class Test 2'!N32:N78,
  "")</f>
        <v>15</v>
      </c>
      <c r="G31" s="25" t="str">
        <f>_xlfn.XLOOKUP(
    LEFT(Table1[[#This Row],[Name ]], FIND(" ", Table1[[#This Row],[Name ]] &amp; " ") - 1),
    Table2[First name],
    Table2[Grade/10.00],
    ""
)</f>
        <v/>
      </c>
      <c r="H31" s="1">
        <f>'Final Presentation'!C32</f>
        <v>23</v>
      </c>
      <c r="I31" s="1">
        <f>'Final Presentation'!D32</f>
        <v>23</v>
      </c>
      <c r="J31" s="17"/>
      <c r="K31" s="17"/>
      <c r="L31" s="13">
        <f>SUM(Table1[[#This Row],[CT 1]]/2, Table1[[#This Row],[CT 2]]/2, Table1[[#This Row],[Quiz 1]], Table1[[#This Row],[File]], Table1[[#This Row],[Presentation]])</f>
        <v>55</v>
      </c>
      <c r="M31" s="17"/>
      <c r="N31" s="28" t="str" cm="1">
        <f t="array" ref="N3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2" spans="1:14" ht="15.75">
      <c r="A32" s="19"/>
      <c r="B32" s="21" t="s">
        <v>44</v>
      </c>
      <c r="C32" s="23">
        <v>590022345</v>
      </c>
      <c r="D32" s="17"/>
      <c r="E32" s="1" cm="1">
        <f t="array" ref="E32">_xlfn.XLOOKUP(
  TRIM(Table1[[#This Row],[Name ]]),
  TRIM('Class Test 1'!B:B),
  'Class Test 1'!N:N,
  ""
)</f>
        <v>13</v>
      </c>
      <c r="F32" s="1" cm="1">
        <f t="array" ref="F32">_xlfn.XLOOKUP(
  TRIM(Table1[[#This Row],[Name ]]),
  TRIM('Class Test 2'!B33:B79),
  'Class Test 2'!N33:N79,
  "")</f>
        <v>10</v>
      </c>
      <c r="G32" s="25">
        <f>_xlfn.XLOOKUP(
    LEFT(Table1[[#This Row],[Name ]], FIND(" ", Table1[[#This Row],[Name ]] &amp; " ") - 1),
    Table2[First name],
    Table2[Grade/10.00],
    ""
)</f>
        <v>6</v>
      </c>
      <c r="H32" s="1">
        <f>'Final Presentation'!C33</f>
        <v>23</v>
      </c>
      <c r="I32" s="1">
        <f>'Final Presentation'!D33</f>
        <v>21</v>
      </c>
      <c r="J32" s="17"/>
      <c r="K32" s="17"/>
      <c r="L32" s="13">
        <f>SUM(Table1[[#This Row],[CT 1]]/2, Table1[[#This Row],[CT 2]]/2, Table1[[#This Row],[Quiz 1]], Table1[[#This Row],[File]], Table1[[#This Row],[Presentation]])</f>
        <v>61.5</v>
      </c>
      <c r="M32" s="17"/>
      <c r="N32" s="28" t="str" cm="1">
        <f t="array" ref="N32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3" spans="1:14" ht="15.75">
      <c r="A33" s="16"/>
      <c r="B33" s="21" t="s">
        <v>45</v>
      </c>
      <c r="C33" s="23">
        <v>590028128</v>
      </c>
      <c r="D33" s="17"/>
      <c r="E33" s="1" cm="1">
        <f t="array" ref="E33">_xlfn.XLOOKUP(
  TRIM(Table1[[#This Row],[Name ]]),
  TRIM('Class Test 1'!B:B),
  'Class Test 1'!N:N,
  ""
)</f>
        <v>0</v>
      </c>
      <c r="F33" s="1" cm="1">
        <f t="array" ref="F33">_xlfn.XLOOKUP(
  TRIM(Table1[[#This Row],[Name ]]),
  TRIM('Class Test 2'!B34:B80),
  'Class Test 2'!N34:N80,
  "")</f>
        <v>16</v>
      </c>
      <c r="G33" s="25">
        <f>_xlfn.XLOOKUP(
    LEFT(Table1[[#This Row],[Name ]], FIND(" ", Table1[[#This Row],[Name ]] &amp; " ") - 1),
    Table2[First name],
    Table2[Grade/10.00],
    ""
)</f>
        <v>9</v>
      </c>
      <c r="H33" s="1">
        <f>'Final Presentation'!C34</f>
        <v>21</v>
      </c>
      <c r="I33" s="1">
        <f>'Final Presentation'!D34</f>
        <v>23</v>
      </c>
      <c r="J33" s="17"/>
      <c r="K33" s="17"/>
      <c r="L33" s="13">
        <f>SUM(Table1[[#This Row],[CT 1]]/2, Table1[[#This Row],[CT 2]]/2, Table1[[#This Row],[Quiz 1]], Table1[[#This Row],[File]], Table1[[#This Row],[Presentation]])</f>
        <v>61</v>
      </c>
      <c r="M33" s="17"/>
      <c r="N33" s="28" t="str" cm="1">
        <f t="array" ref="N33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4" spans="1:14" ht="15.75">
      <c r="A34" s="19"/>
      <c r="B34" s="21" t="s">
        <v>46</v>
      </c>
      <c r="C34" s="23">
        <v>590027661</v>
      </c>
      <c r="D34" s="17"/>
      <c r="E34" s="1" cm="1">
        <f t="array" ref="E34">_xlfn.XLOOKUP(
  TRIM(Table1[[#This Row],[Name ]]),
  TRIM('Class Test 1'!B:B),
  'Class Test 1'!N:N,
  ""
)</f>
        <v>0</v>
      </c>
      <c r="F34" s="1" cm="1">
        <f t="array" ref="F34">_xlfn.XLOOKUP(
  TRIM(Table1[[#This Row],[Name ]]),
  TRIM('Class Test 2'!B35:B81),
  'Class Test 2'!N35:N81,
  "")</f>
        <v>1</v>
      </c>
      <c r="G34" s="25">
        <f>_xlfn.XLOOKUP(
    LEFT(Table1[[#This Row],[Name ]], FIND(" ", Table1[[#This Row],[Name ]] &amp; " ") - 1),
    Table2[First name],
    Table2[Grade/10.00],
    ""
)</f>
        <v>10</v>
      </c>
      <c r="H34" s="1">
        <f>'Final Presentation'!C35</f>
        <v>21</v>
      </c>
      <c r="I34" s="1">
        <f>'Final Presentation'!D35</f>
        <v>24</v>
      </c>
      <c r="J34" s="17"/>
      <c r="K34" s="17"/>
      <c r="L34" s="13">
        <f>SUM(Table1[[#This Row],[CT 1]]/2, Table1[[#This Row],[CT 2]]/2, Table1[[#This Row],[Quiz 1]], Table1[[#This Row],[File]], Table1[[#This Row],[Presentation]])</f>
        <v>55.5</v>
      </c>
      <c r="M34" s="17"/>
      <c r="N34" s="28" t="str" cm="1">
        <f t="array" ref="N34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5" spans="1:14" ht="15.75">
      <c r="A35" s="16"/>
      <c r="B35" s="21" t="s">
        <v>47</v>
      </c>
      <c r="C35" s="23">
        <v>590024854</v>
      </c>
      <c r="D35" s="17"/>
      <c r="E35" s="1" cm="1">
        <f t="array" ref="E35">_xlfn.XLOOKUP(
  TRIM(Table1[[#This Row],[Name ]]),
  TRIM('Class Test 1'!B:B),
  'Class Test 1'!N:N,
  ""
)</f>
        <v>14</v>
      </c>
      <c r="F35" s="1" cm="1">
        <f t="array" ref="F35">_xlfn.XLOOKUP(
  TRIM(Table1[[#This Row],[Name ]]),
  TRIM('Class Test 2'!B36:B82),
  'Class Test 2'!N36:N82,
  "")</f>
        <v>25</v>
      </c>
      <c r="G35" s="25">
        <f>_xlfn.XLOOKUP(
    LEFT(Table1[[#This Row],[Name ]], FIND(" ", Table1[[#This Row],[Name ]] &amp; " ") - 1),
    Table2[First name],
    Table2[Grade/10.00],
    ""
)</f>
        <v>9</v>
      </c>
      <c r="H35" s="1">
        <f>'Final Presentation'!C36</f>
        <v>23</v>
      </c>
      <c r="I35" s="1">
        <f>'Final Presentation'!D36</f>
        <v>20</v>
      </c>
      <c r="J35" s="17"/>
      <c r="K35" s="17"/>
      <c r="L35" s="13">
        <f>SUM(Table1[[#This Row],[CT 1]]/2, Table1[[#This Row],[CT 2]]/2, Table1[[#This Row],[Quiz 1]], Table1[[#This Row],[File]], Table1[[#This Row],[Presentation]])</f>
        <v>71.5</v>
      </c>
      <c r="M35" s="17"/>
      <c r="N35" s="28" t="str" cm="1">
        <f t="array" ref="N35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36" spans="1:14" ht="15.75">
      <c r="A36" s="19"/>
      <c r="B36" s="21" t="s">
        <v>48</v>
      </c>
      <c r="C36" s="23">
        <v>590027466</v>
      </c>
      <c r="D36" s="17"/>
      <c r="E36" s="1" cm="1">
        <f t="array" ref="E36">_xlfn.XLOOKUP(
  TRIM(Table1[[#This Row],[Name ]]),
  TRIM('Class Test 1'!B:B),
  'Class Test 1'!N:N,
  ""
)</f>
        <v>3</v>
      </c>
      <c r="F36" s="1" cm="1">
        <f t="array" ref="F36">_xlfn.XLOOKUP(
  TRIM(Table1[[#This Row],[Name ]]),
  TRIM('Class Test 2'!B37:B83),
  'Class Test 2'!N37:N83,
  "")</f>
        <v>6</v>
      </c>
      <c r="G36" s="25">
        <f>_xlfn.XLOOKUP(
    LEFT(Table1[[#This Row],[Name ]], FIND(" ", Table1[[#This Row],[Name ]] &amp; " ") - 1),
    Table2[First name],
    Table2[Grade/10.00],
    ""
)</f>
        <v>9</v>
      </c>
      <c r="H36" s="1">
        <f>'Final Presentation'!C37</f>
        <v>24</v>
      </c>
      <c r="I36" s="1">
        <f>'Final Presentation'!D37</f>
        <v>20</v>
      </c>
      <c r="J36" s="17"/>
      <c r="K36" s="17"/>
      <c r="L36" s="13">
        <f>SUM(Table1[[#This Row],[CT 1]]/2, Table1[[#This Row],[CT 2]]/2, Table1[[#This Row],[Quiz 1]], Table1[[#This Row],[File]], Table1[[#This Row],[Presentation]])</f>
        <v>57.5</v>
      </c>
      <c r="M36" s="17"/>
      <c r="N36" s="28" t="str" cm="1">
        <f t="array" ref="N36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7" spans="1:14" ht="15.75">
      <c r="A37" s="16"/>
      <c r="B37" s="21" t="s">
        <v>49</v>
      </c>
      <c r="C37" s="23">
        <v>590025203</v>
      </c>
      <c r="D37" s="17"/>
      <c r="E37" s="1" cm="1">
        <f t="array" ref="E37">_xlfn.XLOOKUP(
  TRIM(Table1[[#This Row],[Name ]]),
  TRIM('Class Test 1'!B:B),
  'Class Test 1'!N:N,
  ""
)</f>
        <v>6</v>
      </c>
      <c r="F37" s="1" cm="1">
        <f t="array" ref="F37">_xlfn.XLOOKUP(
  TRIM(Table1[[#This Row],[Name ]]),
  TRIM('Class Test 2'!B38:B84),
  'Class Test 2'!N38:N84,
  "")</f>
        <v>0</v>
      </c>
      <c r="G37" s="25">
        <f>_xlfn.XLOOKUP(
    LEFT(Table1[[#This Row],[Name ]], FIND(" ", Table1[[#This Row],[Name ]] &amp; " ") - 1),
    Table2[First name],
    Table2[Grade/10.00],
    ""
)</f>
        <v>10</v>
      </c>
      <c r="H37" s="1">
        <f>'Final Presentation'!C38</f>
        <v>24</v>
      </c>
      <c r="I37" s="1">
        <f>'Final Presentation'!D38</f>
        <v>23</v>
      </c>
      <c r="J37" s="17"/>
      <c r="K37" s="17"/>
      <c r="L37" s="13">
        <f>SUM(Table1[[#This Row],[CT 1]]/2, Table1[[#This Row],[CT 2]]/2, Table1[[#This Row],[Quiz 1]], Table1[[#This Row],[File]], Table1[[#This Row],[Presentation]])</f>
        <v>60</v>
      </c>
      <c r="M37" s="17"/>
      <c r="N37" s="28" t="str" cm="1">
        <f t="array" ref="N37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8" spans="1:14" ht="15.75">
      <c r="A38" s="19"/>
      <c r="B38" s="21" t="s">
        <v>50</v>
      </c>
      <c r="C38" s="23">
        <v>590026536</v>
      </c>
      <c r="D38" s="17"/>
      <c r="E38" s="1" cm="1">
        <f t="array" ref="E38">_xlfn.XLOOKUP(
  TRIM(Table1[[#This Row],[Name ]]),
  TRIM('Class Test 1'!B:B),
  'Class Test 1'!N:N,
  ""
)</f>
        <v>10</v>
      </c>
      <c r="F38" s="1" cm="1">
        <f t="array" ref="F38">_xlfn.XLOOKUP(
  TRIM(Table1[[#This Row],[Name ]]),
  TRIM('Class Test 2'!B39:B85),
  'Class Test 2'!N39:N85,
  "")</f>
        <v>8</v>
      </c>
      <c r="G38" s="25">
        <f>_xlfn.XLOOKUP(
    LEFT(Table1[[#This Row],[Name ]], FIND(" ", Table1[[#This Row],[Name ]] &amp; " ") - 1),
    Table2[First name],
    Table2[Grade/10.00],
    ""
)</f>
        <v>10</v>
      </c>
      <c r="H38" s="1">
        <f>'Final Presentation'!C39</f>
        <v>21</v>
      </c>
      <c r="I38" s="1">
        <f>'Final Presentation'!D39</f>
        <v>24</v>
      </c>
      <c r="J38" s="17"/>
      <c r="K38" s="17"/>
      <c r="L38" s="13">
        <f>SUM(Table1[[#This Row],[CT 1]]/2, Table1[[#This Row],[CT 2]]/2, Table1[[#This Row],[Quiz 1]], Table1[[#This Row],[File]], Table1[[#This Row],[Presentation]])</f>
        <v>64</v>
      </c>
      <c r="M38" s="17"/>
      <c r="N38" s="28" t="str" cm="1">
        <f t="array" ref="N38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39" spans="1:14" ht="15.75">
      <c r="A39" s="16"/>
      <c r="B39" s="21" t="s">
        <v>51</v>
      </c>
      <c r="C39" s="23">
        <v>590024251</v>
      </c>
      <c r="D39" s="17"/>
      <c r="E39" s="1" cm="1">
        <f t="array" ref="E39">_xlfn.XLOOKUP(
  TRIM(Table1[[#This Row],[Name ]]),
  TRIM('Class Test 1'!B:B),
  'Class Test 1'!N:N,
  ""
)</f>
        <v>0</v>
      </c>
      <c r="F39" s="1" cm="1">
        <f t="array" ref="F39">_xlfn.XLOOKUP(
  TRIM(Table1[[#This Row],[Name ]]),
  TRIM('Class Test 2'!B40:B86),
  'Class Test 2'!N40:N86,
  "")</f>
        <v>4</v>
      </c>
      <c r="G39" s="25">
        <f>_xlfn.XLOOKUP(
    LEFT(Table1[[#This Row],[Name ]], FIND(" ", Table1[[#This Row],[Name ]] &amp; " ") - 1),
    Table2[First name],
    Table2[Grade/10.00],
    ""
)</f>
        <v>10</v>
      </c>
      <c r="H39" s="1">
        <f>'Final Presentation'!C40</f>
        <v>22</v>
      </c>
      <c r="I39" s="1">
        <f>'Final Presentation'!D40</f>
        <v>21</v>
      </c>
      <c r="J39" s="17"/>
      <c r="K39" s="17"/>
      <c r="L39" s="13">
        <f>SUM(Table1[[#This Row],[CT 1]]/2, Table1[[#This Row],[CT 2]]/2, Table1[[#This Row],[Quiz 1]], Table1[[#This Row],[File]], Table1[[#This Row],[Presentation]])</f>
        <v>55</v>
      </c>
      <c r="M39" s="17"/>
      <c r="N39" s="28" t="str" cm="1">
        <f t="array" ref="N39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0" spans="1:14" ht="15.75">
      <c r="A40" s="19"/>
      <c r="B40" s="21" t="s">
        <v>52</v>
      </c>
      <c r="C40" s="23">
        <v>590027669</v>
      </c>
      <c r="D40" s="17"/>
      <c r="E40" s="1" cm="1">
        <f t="array" ref="E40">_xlfn.XLOOKUP(
  TRIM(Table1[[#This Row],[Name ]]),
  TRIM('Class Test 1'!B:B),
  'Class Test 1'!N:N,
  ""
)</f>
        <v>27</v>
      </c>
      <c r="F40" s="1" cm="1">
        <f t="array" ref="F40">_xlfn.XLOOKUP(
  TRIM(Table1[[#This Row],[Name ]]),
  TRIM('Class Test 2'!B41:B87),
  'Class Test 2'!N41:N87,
  "")</f>
        <v>19</v>
      </c>
      <c r="G40" s="25">
        <f>_xlfn.XLOOKUP(
    LEFT(Table1[[#This Row],[Name ]], FIND(" ", Table1[[#This Row],[Name ]] &amp; " ") - 1),
    Table2[First name],
    Table2[Grade/10.00],
    ""
)</f>
        <v>9</v>
      </c>
      <c r="H40" s="1">
        <f>'Final Presentation'!C41</f>
        <v>23</v>
      </c>
      <c r="I40" s="1">
        <f>'Final Presentation'!D41</f>
        <v>21</v>
      </c>
      <c r="J40" s="17"/>
      <c r="K40" s="17"/>
      <c r="L40" s="13">
        <f>SUM(Table1[[#This Row],[CT 1]]/2, Table1[[#This Row],[CT 2]]/2, Table1[[#This Row],[Quiz 1]], Table1[[#This Row],[File]], Table1[[#This Row],[Presentation]])</f>
        <v>76</v>
      </c>
      <c r="M40" s="17"/>
      <c r="N40" s="28" t="str" cm="1">
        <f t="array" ref="N40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A</v>
      </c>
    </row>
    <row r="41" spans="1:14" ht="15.75">
      <c r="A41" s="16"/>
      <c r="B41" s="21" t="s">
        <v>53</v>
      </c>
      <c r="C41" s="23">
        <v>590024466</v>
      </c>
      <c r="D41" s="17"/>
      <c r="E41" s="1" cm="1">
        <f t="array" ref="E41">_xlfn.XLOOKUP(
  TRIM(Table1[[#This Row],[Name ]]),
  TRIM('Class Test 1'!B:B),
  'Class Test 1'!N:N,
  ""
)</f>
        <v>0</v>
      </c>
      <c r="F41" s="1" cm="1">
        <f t="array" ref="F41">_xlfn.XLOOKUP(
  TRIM(Table1[[#This Row],[Name ]]),
  TRIM('Class Test 2'!B42:B88),
  'Class Test 2'!N42:N88,
  "")</f>
        <v>0</v>
      </c>
      <c r="G41" s="25" t="str">
        <f>_xlfn.XLOOKUP(
    LEFT(Table1[[#This Row],[Name ]], FIND(" ", Table1[[#This Row],[Name ]] &amp; " ") - 1),
    Table2[First name],
    Table2[Grade/10.00],
    ""
)</f>
        <v/>
      </c>
      <c r="H41" s="1">
        <f>'Final Presentation'!C42</f>
        <v>21</v>
      </c>
      <c r="I41" s="1">
        <f>'Final Presentation'!D42</f>
        <v>15</v>
      </c>
      <c r="J41" s="17"/>
      <c r="K41" s="17"/>
      <c r="L41" s="13">
        <f>SUM(Table1[[#This Row],[CT 1]]/2, Table1[[#This Row],[CT 2]]/2, Table1[[#This Row],[Quiz 1]], Table1[[#This Row],[File]], Table1[[#This Row],[Presentation]])</f>
        <v>36</v>
      </c>
      <c r="M41" s="17"/>
      <c r="N41" s="28" t="str" cm="1">
        <f t="array" ref="N4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E</v>
      </c>
    </row>
    <row r="42" spans="1:14" ht="15.75">
      <c r="A42" s="19"/>
      <c r="B42" s="21" t="s">
        <v>54</v>
      </c>
      <c r="C42" s="23">
        <v>590024746</v>
      </c>
      <c r="D42" s="17"/>
      <c r="E42" s="1" cm="1">
        <f t="array" ref="E42">_xlfn.XLOOKUP(
  TRIM(Table1[[#This Row],[Name ]]),
  TRIM('Class Test 1'!B:B),
  'Class Test 1'!N:N,
  ""
)</f>
        <v>0</v>
      </c>
      <c r="F42" s="1" cm="1">
        <f t="array" ref="F42">_xlfn.XLOOKUP(
  TRIM(Table1[[#This Row],[Name ]]),
  TRIM('Class Test 2'!B43:B89),
  'Class Test 2'!N43:N89,
  "")</f>
        <v>17</v>
      </c>
      <c r="G42" s="25">
        <f>_xlfn.XLOOKUP(
    LEFT(Table1[[#This Row],[Name ]], FIND(" ", Table1[[#This Row],[Name ]] &amp; " ") - 1),
    Table2[First name],
    Table2[Grade/10.00],
    ""
)</f>
        <v>9</v>
      </c>
      <c r="H42" s="1">
        <f>'Final Presentation'!C43</f>
        <v>24</v>
      </c>
      <c r="I42" s="1">
        <f>'Final Presentation'!D43</f>
        <v>22</v>
      </c>
      <c r="J42" s="17"/>
      <c r="K42" s="17"/>
      <c r="L42" s="13">
        <f>SUM(Table1[[#This Row],[CT 1]]/2, Table1[[#This Row],[CT 2]]/2, Table1[[#This Row],[Quiz 1]], Table1[[#This Row],[File]], Table1[[#This Row],[Presentation]])</f>
        <v>63.5</v>
      </c>
      <c r="M42" s="17"/>
      <c r="N42" s="28" t="str" cm="1">
        <f t="array" ref="N42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3" spans="1:14" ht="15.75">
      <c r="A43" s="16"/>
      <c r="B43" s="21" t="s">
        <v>55</v>
      </c>
      <c r="C43" s="23">
        <v>590026532</v>
      </c>
      <c r="D43" s="17"/>
      <c r="E43" s="1" cm="1">
        <f t="array" ref="E43">_xlfn.XLOOKUP(
  TRIM(Table1[[#This Row],[Name ]]),
  TRIM('Class Test 1'!B:B),
  'Class Test 1'!N:N,
  ""
)</f>
        <v>30</v>
      </c>
      <c r="F43" s="1" cm="1">
        <f t="array" ref="F43">_xlfn.XLOOKUP(
  TRIM(Table1[[#This Row],[Name ]]),
  TRIM('Class Test 2'!B44:B90),
  'Class Test 2'!N44:N90,
  "")</f>
        <v>14</v>
      </c>
      <c r="G43" s="25" t="str">
        <f>_xlfn.XLOOKUP(
    LEFT(Table1[[#This Row],[Name ]], FIND(" ", Table1[[#This Row],[Name ]] &amp; " ") - 1),
    Table2[First name],
    Table2[Grade/10.00],
    ""
)</f>
        <v/>
      </c>
      <c r="H43" s="1">
        <f>'Final Presentation'!C44</f>
        <v>24</v>
      </c>
      <c r="I43" s="1">
        <f>'Final Presentation'!D44</f>
        <v>25</v>
      </c>
      <c r="J43" s="17"/>
      <c r="K43" s="17"/>
      <c r="L43" s="13">
        <f>SUM(Table1[[#This Row],[CT 1]]/2, Table1[[#This Row],[CT 2]]/2, Table1[[#This Row],[Quiz 1]], Table1[[#This Row],[File]], Table1[[#This Row],[Presentation]])</f>
        <v>71</v>
      </c>
      <c r="M43" s="17"/>
      <c r="N43" s="28" t="str" cm="1">
        <f t="array" ref="N43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B</v>
      </c>
    </row>
    <row r="44" spans="1:14" ht="15.75">
      <c r="A44" s="19"/>
      <c r="B44" s="21" t="s">
        <v>56</v>
      </c>
      <c r="C44" s="23">
        <v>590028022</v>
      </c>
      <c r="D44" s="17"/>
      <c r="E44" s="1" cm="1">
        <f t="array" ref="E44">_xlfn.XLOOKUP(
  TRIM(Table1[[#This Row],[Name ]]),
  TRIM('Class Test 1'!B:B),
  'Class Test 1'!N:N,
  ""
)</f>
        <v>16</v>
      </c>
      <c r="F44" s="1" cm="1">
        <f t="array" ref="F44">_xlfn.XLOOKUP(
  TRIM(Table1[[#This Row],[Name ]]),
  TRIM('Class Test 2'!B45:B91),
  'Class Test 2'!N45:N91,
  "")</f>
        <v>9</v>
      </c>
      <c r="G44" s="25">
        <f>_xlfn.XLOOKUP(
    LEFT(Table1[[#This Row],[Name ]], FIND(" ", Table1[[#This Row],[Name ]] &amp; " ") - 1),
    Table2[First name],
    Table2[Grade/10.00],
    ""
)</f>
        <v>9</v>
      </c>
      <c r="H44" s="1">
        <f>'Final Presentation'!C45</f>
        <v>21</v>
      </c>
      <c r="I44" s="1">
        <f>'Final Presentation'!D45</f>
        <v>21</v>
      </c>
      <c r="J44" s="17"/>
      <c r="K44" s="17"/>
      <c r="L44" s="13">
        <f>SUM(Table1[[#This Row],[CT 1]]/2, Table1[[#This Row],[CT 2]]/2, Table1[[#This Row],[Quiz 1]], Table1[[#This Row],[File]], Table1[[#This Row],[Presentation]])</f>
        <v>63.5</v>
      </c>
      <c r="M44" s="17"/>
      <c r="N44" s="28" t="str" cm="1">
        <f t="array" ref="N44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5" spans="1:14" ht="15.75">
      <c r="A45" s="16"/>
      <c r="B45" s="21" t="s">
        <v>57</v>
      </c>
      <c r="C45" s="23">
        <v>590027178</v>
      </c>
      <c r="D45" s="17"/>
      <c r="E45" s="1" cm="1">
        <f t="array" ref="E45">_xlfn.XLOOKUP(
  TRIM(Table1[[#This Row],[Name ]]),
  TRIM('Class Test 1'!B:B),
  'Class Test 1'!N:N,
  ""
)</f>
        <v>3</v>
      </c>
      <c r="F45" s="1" cm="1">
        <f t="array" ref="F45">_xlfn.XLOOKUP(
  TRIM(Table1[[#This Row],[Name ]]),
  TRIM('Class Test 2'!B46:B92),
  'Class Test 2'!N46:N92,
  "")</f>
        <v>0</v>
      </c>
      <c r="G45" s="25">
        <f>_xlfn.XLOOKUP(
    LEFT(Table1[[#This Row],[Name ]], FIND(" ", Table1[[#This Row],[Name ]] &amp; " ") - 1),
    Table2[First name],
    Table2[Grade/10.00],
    ""
)</f>
        <v>9</v>
      </c>
      <c r="H45" s="1">
        <f>'Final Presentation'!C46</f>
        <v>24</v>
      </c>
      <c r="I45" s="1">
        <f>'Final Presentation'!D46</f>
        <v>20</v>
      </c>
      <c r="J45" s="17"/>
      <c r="K45" s="17"/>
      <c r="L45" s="13">
        <f>SUM(Table1[[#This Row],[CT 1]]/2, Table1[[#This Row],[CT 2]]/2, Table1[[#This Row],[Quiz 1]], Table1[[#This Row],[File]], Table1[[#This Row],[Presentation]])</f>
        <v>54.5</v>
      </c>
      <c r="M45" s="17"/>
      <c r="N45" s="28" t="str" cm="1">
        <f t="array" ref="N45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46" spans="1:14" ht="15.75">
      <c r="A46" s="19"/>
      <c r="B46" s="21" t="s">
        <v>58</v>
      </c>
      <c r="C46" s="23">
        <v>590021377</v>
      </c>
      <c r="D46" s="17"/>
      <c r="E46" s="1" cm="1">
        <f t="array" ref="E46">_xlfn.XLOOKUP(
  TRIM(Table1[[#This Row],[Name ]]),
  TRIM('Class Test 1'!B:B),
  'Class Test 1'!N:N,
  ""
)</f>
        <v>24</v>
      </c>
      <c r="F46" s="1" cm="1">
        <f t="array" ref="F46">_xlfn.XLOOKUP(
  TRIM(Table1[[#This Row],[Name ]]),
  TRIM('Class Test 2'!B47:B93),
  'Class Test 2'!N47:N93,
  "")</f>
        <v>19</v>
      </c>
      <c r="G46" s="25" t="str">
        <f>_xlfn.XLOOKUP(
    LEFT(Table1[[#This Row],[Name ]], FIND(" ", Table1[[#This Row],[Name ]] &amp; " ") - 1),
    Table2[First name],
    Table2[Grade/10.00],
    ""
)</f>
        <v/>
      </c>
      <c r="H46" s="1">
        <f>'Final Presentation'!C47</f>
        <v>21</v>
      </c>
      <c r="I46" s="1">
        <f>'Final Presentation'!D47</f>
        <v>20</v>
      </c>
      <c r="J46" s="17"/>
      <c r="K46" s="17"/>
      <c r="L46" s="13">
        <f>SUM(Table1[[#This Row],[CT 1]]/2, Table1[[#This Row],[CT 2]]/2, Table1[[#This Row],[Quiz 1]], Table1[[#This Row],[File]], Table1[[#This Row],[Presentation]])</f>
        <v>62.5</v>
      </c>
      <c r="M46" s="17"/>
      <c r="N46" s="28" t="str" cm="1">
        <f t="array" ref="N46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7" spans="1:14" ht="15.75">
      <c r="A47" s="16"/>
      <c r="B47" s="21" t="s">
        <v>59</v>
      </c>
      <c r="C47" s="23">
        <v>590027323</v>
      </c>
      <c r="D47" s="17"/>
      <c r="E47" s="1" cm="1">
        <f t="array" ref="E47">_xlfn.XLOOKUP(
  TRIM(Table1[[#This Row],[Name ]]),
  TRIM('Class Test 1'!B:B),
  'Class Test 1'!N:N,
  ""
)</f>
        <v>8</v>
      </c>
      <c r="F47" s="1" cm="1">
        <f t="array" ref="F47">_xlfn.XLOOKUP(
  TRIM(Table1[[#This Row],[Name ]]),
  TRIM('Class Test 2'!B48:B94),
  'Class Test 2'!N48:N94,
  "")</f>
        <v>10</v>
      </c>
      <c r="G47" s="25">
        <f>_xlfn.XLOOKUP(
    LEFT(Table1[[#This Row],[Name ]], FIND(" ", Table1[[#This Row],[Name ]] &amp; " ") - 1),
    Table2[First name],
    Table2[Grade/10.00],
    ""
)</f>
        <v>10</v>
      </c>
      <c r="H47" s="1">
        <f>'Final Presentation'!C48</f>
        <v>24</v>
      </c>
      <c r="I47" s="1">
        <f>'Final Presentation'!D48</f>
        <v>20</v>
      </c>
      <c r="J47" s="17"/>
      <c r="K47" s="17"/>
      <c r="L47" s="13">
        <f>SUM(Table1[[#This Row],[CT 1]]/2, Table1[[#This Row],[CT 2]]/2, Table1[[#This Row],[Quiz 1]], Table1[[#This Row],[File]], Table1[[#This Row],[Presentation]])</f>
        <v>63</v>
      </c>
      <c r="M47" s="17"/>
      <c r="N47" s="28" t="str" cm="1">
        <f t="array" ref="N47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8" spans="1:14" ht="15.75">
      <c r="A48" s="19"/>
      <c r="B48" s="21" t="s">
        <v>60</v>
      </c>
      <c r="C48" s="23">
        <v>590020125</v>
      </c>
      <c r="D48" s="17"/>
      <c r="E48" s="1" cm="1">
        <f t="array" ref="E48">_xlfn.XLOOKUP(
  TRIM(Table1[[#This Row],[Name ]]),
  TRIM('Class Test 1'!B:B),
  'Class Test 1'!N:N,
  ""
)</f>
        <v>27</v>
      </c>
      <c r="F48" s="1" cm="1">
        <f t="array" ref="F48">_xlfn.XLOOKUP(
  TRIM(Table1[[#This Row],[Name ]]),
  TRIM('Class Test 2'!B49:B95),
  'Class Test 2'!N49:N95,
  "")</f>
        <v>13</v>
      </c>
      <c r="G48" s="25" t="str">
        <f>_xlfn.XLOOKUP(
    LEFT(Table1[[#This Row],[Name ]], FIND(" ", Table1[[#This Row],[Name ]] &amp; " ") - 1),
    Table2[First name],
    Table2[Grade/10.00],
    ""
)</f>
        <v/>
      </c>
      <c r="H48" s="1">
        <f>'Final Presentation'!C49</f>
        <v>21</v>
      </c>
      <c r="I48" s="1">
        <f>'Final Presentation'!D49</f>
        <v>23</v>
      </c>
      <c r="J48" s="17"/>
      <c r="K48" s="17"/>
      <c r="L48" s="13">
        <f>SUM(Table1[[#This Row],[CT 1]]/2, Table1[[#This Row],[CT 2]]/2, Table1[[#This Row],[Quiz 1]], Table1[[#This Row],[File]], Table1[[#This Row],[Presentation]])</f>
        <v>64</v>
      </c>
      <c r="M48" s="17"/>
      <c r="N48" s="28" t="str" cm="1">
        <f t="array" ref="N48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49" spans="1:14" ht="15.75">
      <c r="A49" s="16"/>
      <c r="B49" s="21" t="s">
        <v>61</v>
      </c>
      <c r="C49" s="23">
        <v>590028874</v>
      </c>
      <c r="D49" s="17"/>
      <c r="E49" s="1" cm="1">
        <f t="array" ref="E49">_xlfn.XLOOKUP(
  TRIM(Table1[[#This Row],[Name ]]),
  TRIM('Class Test 1'!B:B),
  'Class Test 1'!N:N,
  ""
)</f>
        <v>0</v>
      </c>
      <c r="F49" s="1" cm="1">
        <f t="array" ref="F49">_xlfn.XLOOKUP(
  TRIM(Table1[[#This Row],[Name ]]),
  TRIM('Class Test 2'!B50:B96),
  'Class Test 2'!N50:N96,
  "")</f>
        <v>4</v>
      </c>
      <c r="G49" s="25" t="str">
        <f>_xlfn.XLOOKUP(
    LEFT(Table1[[#This Row],[Name ]], FIND(" ", Table1[[#This Row],[Name ]] &amp; " ") - 1),
    Table2[First name],
    Table2[Grade/10.00],
    ""
)</f>
        <v/>
      </c>
      <c r="H49" s="1">
        <f>'Final Presentation'!C50</f>
        <v>23</v>
      </c>
      <c r="I49" s="1">
        <f>'Final Presentation'!D50</f>
        <v>20</v>
      </c>
      <c r="J49" s="17"/>
      <c r="K49" s="17"/>
      <c r="L49" s="13">
        <f>SUM(Table1[[#This Row],[CT 1]]/2, Table1[[#This Row],[CT 2]]/2, Table1[[#This Row],[Quiz 1]], Table1[[#This Row],[File]], Table1[[#This Row],[Presentation]])</f>
        <v>45</v>
      </c>
      <c r="M49" s="17"/>
      <c r="N49" s="28" t="str" cm="1">
        <f t="array" ref="N49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D</v>
      </c>
    </row>
    <row r="50" spans="1:14" ht="15.75">
      <c r="A50" s="19"/>
      <c r="B50" s="21" t="s">
        <v>62</v>
      </c>
      <c r="C50" s="23">
        <v>590027885</v>
      </c>
      <c r="D50" s="17"/>
      <c r="E50" s="1" cm="1">
        <f t="array" ref="E50">_xlfn.XLOOKUP(
  TRIM(Table1[[#This Row],[Name ]]),
  TRIM('Class Test 1'!B:B),
  'Class Test 1'!N:N,
  ""
)</f>
        <v>21</v>
      </c>
      <c r="F50" s="1" cm="1">
        <f t="array" ref="F50">_xlfn.XLOOKUP(
  TRIM(Table1[[#This Row],[Name ]]),
  TRIM('Class Test 2'!B51:B97),
  'Class Test 2'!N51:N97,
  "")</f>
        <v>15</v>
      </c>
      <c r="G50" s="25">
        <f>_xlfn.XLOOKUP(
    LEFT(Table1[[#This Row],[Name ]], FIND(" ", Table1[[#This Row],[Name ]] &amp; " ") - 1),
    Table2[First name],
    Table2[Grade/10.00],
    ""
)</f>
        <v>8</v>
      </c>
      <c r="H50" s="1">
        <f>'Final Presentation'!C51</f>
        <v>23</v>
      </c>
      <c r="I50" s="1">
        <f>'Final Presentation'!D51</f>
        <v>15</v>
      </c>
      <c r="J50" s="17"/>
      <c r="K50" s="17"/>
      <c r="L50" s="13">
        <f>SUM(Table1[[#This Row],[CT 1]]/2, Table1[[#This Row],[CT 2]]/2, Table1[[#This Row],[Quiz 1]], Table1[[#This Row],[File]], Table1[[#This Row],[Presentation]])</f>
        <v>64</v>
      </c>
      <c r="M50" s="17"/>
      <c r="N50" s="28" t="str" cm="1">
        <f t="array" ref="N50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  <row r="51" spans="1:14" ht="15.75">
      <c r="A51" s="16"/>
      <c r="B51" s="21" t="s">
        <v>63</v>
      </c>
      <c r="C51" s="23">
        <v>590026540</v>
      </c>
      <c r="D51" s="17"/>
      <c r="E51" s="1" cm="1">
        <f t="array" ref="E51">_xlfn.XLOOKUP(
  TRIM(Table1[[#This Row],[Name ]]),
  TRIM('Class Test 1'!B:B),
  'Class Test 1'!N:N,
  ""
)</f>
        <v>29</v>
      </c>
      <c r="F51" s="1" cm="1">
        <f t="array" ref="F51">_xlfn.XLOOKUP(
  TRIM(Table1[[#This Row],[Name ]]),
  TRIM('Class Test 2'!B52:B98),
  'Class Test 2'!N52:N98,
  "")</f>
        <v>0</v>
      </c>
      <c r="G51" s="25">
        <f>_xlfn.XLOOKUP(
    LEFT(Table1[[#This Row],[Name ]], FIND(" ", Table1[[#This Row],[Name ]] &amp; " ") - 1),
    Table2[First name],
    Table2[Grade/10.00],
    ""
)</f>
        <v>9</v>
      </c>
      <c r="H51" s="1">
        <f>'Final Presentation'!C52</f>
        <v>22</v>
      </c>
      <c r="I51" s="1">
        <f>'Final Presentation'!D52</f>
        <v>19</v>
      </c>
      <c r="J51" s="17"/>
      <c r="K51" s="17"/>
      <c r="L51" s="13">
        <f>SUM(Table1[[#This Row],[CT 1]]/2, Table1[[#This Row],[CT 2]]/2, Table1[[#This Row],[Quiz 1]], Table1[[#This Row],[File]], Table1[[#This Row],[Presentation]])</f>
        <v>64.5</v>
      </c>
      <c r="M51" s="17"/>
      <c r="N51" s="28" t="str" cm="1">
        <f t="array" ref="N51">_xlfn.IFS(
  Table1[[#This Row],[Total]]&gt;=85, "O",
  Table1[[#This Row],[Total]]&gt;=75, "A",
  Table1[[#This Row],[Total]]&gt;=65, "B",
  Table1[[#This Row],[Total]]&gt;=55, "C",
  Table1[[#This Row],[Total]]&gt;=45, "D",
  Table1[[#This Row],[Total]]&gt;=35, "E",
  TRUE, "F"
)</f>
        <v>C</v>
      </c>
    </row>
  </sheetData>
  <mergeCells count="2">
    <mergeCell ref="A1:N1"/>
    <mergeCell ref="A2:N2"/>
  </mergeCells>
  <conditionalFormatting sqref="L5:L51">
    <cfRule type="colorScale" priority="2">
      <colorScale>
        <cfvo type="num" val="34"/>
        <cfvo type="num" val="35"/>
        <color rgb="FFFF7128"/>
        <color rgb="FF92D050"/>
      </colorScale>
    </cfRule>
  </conditionalFormatting>
  <conditionalFormatting sqref="N5:N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" right="0.7" top="0.75" bottom="0.75" header="0.3" footer="0.3"/>
  <pageSetup paperSize="9" scale="8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E8EB-056D-48D0-B865-EB6472366E2F}">
  <dimension ref="A1:D44"/>
  <sheetViews>
    <sheetView workbookViewId="0">
      <selection activeCell="D42" sqref="D42"/>
    </sheetView>
  </sheetViews>
  <sheetFormatPr defaultRowHeight="15"/>
  <cols>
    <col min="1" max="1" width="17.85546875" bestFit="1" customWidth="1"/>
    <col min="2" max="2" width="12.5703125" bestFit="1" customWidth="1"/>
    <col min="3" max="3" width="21.85546875" customWidth="1"/>
    <col min="4" max="4" width="15" customWidth="1"/>
  </cols>
  <sheetData>
    <row r="1" spans="1:4">
      <c r="A1" t="s">
        <v>64</v>
      </c>
      <c r="B1" t="s">
        <v>65</v>
      </c>
      <c r="C1" t="s">
        <v>66</v>
      </c>
      <c r="D1" t="s">
        <v>67</v>
      </c>
    </row>
    <row r="2" spans="1:4">
      <c r="A2" t="s">
        <v>68</v>
      </c>
      <c r="B2" t="s">
        <v>69</v>
      </c>
      <c r="C2" t="str">
        <f t="shared" ref="C2:C44" si="0">_xlfn.TEXTJOIN(" ", TRUE, A2, B2)</f>
        <v>Aanya Nautiyal</v>
      </c>
      <c r="D2" s="24">
        <v>9</v>
      </c>
    </row>
    <row r="3" spans="1:4">
      <c r="A3" t="s">
        <v>70</v>
      </c>
      <c r="B3" t="s">
        <v>71</v>
      </c>
      <c r="C3" t="str">
        <f t="shared" si="0"/>
        <v>Aaryan Choubey</v>
      </c>
      <c r="D3" s="24">
        <v>10</v>
      </c>
    </row>
    <row r="4" spans="1:4">
      <c r="A4" t="s">
        <v>72</v>
      </c>
      <c r="B4" t="s">
        <v>73</v>
      </c>
      <c r="C4" t="str">
        <f t="shared" si="0"/>
        <v>Aarye Singhal</v>
      </c>
      <c r="D4" s="24">
        <v>10</v>
      </c>
    </row>
    <row r="5" spans="1:4">
      <c r="A5" t="s">
        <v>74</v>
      </c>
      <c r="B5" t="s">
        <v>75</v>
      </c>
      <c r="C5" t="str">
        <f t="shared" si="0"/>
        <v>Abhijay .</v>
      </c>
      <c r="D5" s="24">
        <v>10</v>
      </c>
    </row>
    <row r="6" spans="1:4">
      <c r="A6" t="s">
        <v>76</v>
      </c>
      <c r="B6" t="s">
        <v>77</v>
      </c>
      <c r="C6" t="str">
        <f t="shared" si="0"/>
        <v>Adarsh Xavier Dadel</v>
      </c>
      <c r="D6" s="24">
        <v>9</v>
      </c>
    </row>
    <row r="7" spans="1:4">
      <c r="A7" t="s">
        <v>78</v>
      </c>
      <c r="B7" t="s">
        <v>79</v>
      </c>
      <c r="C7" t="str">
        <f t="shared" si="0"/>
        <v>Aditya Guleriya</v>
      </c>
      <c r="D7" s="24">
        <v>10</v>
      </c>
    </row>
    <row r="8" spans="1:4">
      <c r="A8" t="s">
        <v>80</v>
      </c>
      <c r="B8" t="s">
        <v>81</v>
      </c>
      <c r="C8" t="str">
        <f t="shared" si="0"/>
        <v>Akhil Kumar</v>
      </c>
      <c r="D8" s="24">
        <v>8</v>
      </c>
    </row>
    <row r="9" spans="1:4">
      <c r="A9" t="s">
        <v>82</v>
      </c>
      <c r="B9" t="s">
        <v>82</v>
      </c>
      <c r="C9" t="str">
        <f t="shared" si="0"/>
        <v>Arpit Arpit</v>
      </c>
      <c r="D9" s="24">
        <v>9</v>
      </c>
    </row>
    <row r="10" spans="1:4">
      <c r="A10" t="s">
        <v>83</v>
      </c>
      <c r="B10" t="s">
        <v>84</v>
      </c>
      <c r="C10" t="str">
        <f t="shared" si="0"/>
        <v>AYAN ROY</v>
      </c>
      <c r="D10" s="24">
        <v>9</v>
      </c>
    </row>
    <row r="11" spans="1:4">
      <c r="A11" t="s">
        <v>85</v>
      </c>
      <c r="B11" t="s">
        <v>86</v>
      </c>
      <c r="C11" t="str">
        <f t="shared" si="0"/>
        <v>Bhavuk Kakkar</v>
      </c>
      <c r="D11" s="24">
        <v>9</v>
      </c>
    </row>
    <row r="12" spans="1:4">
      <c r="A12" t="s">
        <v>87</v>
      </c>
      <c r="B12" t="s">
        <v>81</v>
      </c>
      <c r="C12" t="str">
        <f t="shared" si="0"/>
        <v>Chandan Kumar</v>
      </c>
      <c r="D12" s="24">
        <v>10</v>
      </c>
    </row>
    <row r="13" spans="1:4">
      <c r="A13" t="s">
        <v>88</v>
      </c>
      <c r="B13" t="s">
        <v>75</v>
      </c>
      <c r="C13" t="str">
        <f t="shared" si="0"/>
        <v>Chinmay .</v>
      </c>
      <c r="D13" s="24">
        <v>9</v>
      </c>
    </row>
    <row r="14" spans="1:4">
      <c r="A14" t="s">
        <v>89</v>
      </c>
      <c r="B14" t="s">
        <v>90</v>
      </c>
      <c r="C14" t="str">
        <f t="shared" si="0"/>
        <v>Dakshita Sharma</v>
      </c>
      <c r="D14" s="24">
        <v>8</v>
      </c>
    </row>
    <row r="15" spans="1:4">
      <c r="A15" t="s">
        <v>91</v>
      </c>
      <c r="B15" t="s">
        <v>92</v>
      </c>
      <c r="C15" t="str">
        <f t="shared" si="0"/>
        <v>Dhairya Yogesh Gandhe</v>
      </c>
      <c r="D15" s="24">
        <v>9</v>
      </c>
    </row>
    <row r="16" spans="1:4">
      <c r="A16" t="s">
        <v>93</v>
      </c>
      <c r="B16" t="s">
        <v>90</v>
      </c>
      <c r="C16" t="str">
        <f t="shared" si="0"/>
        <v>Gerudra Pratap Sharma</v>
      </c>
      <c r="D16" s="24">
        <v>9</v>
      </c>
    </row>
    <row r="17" spans="1:4">
      <c r="A17" t="s">
        <v>94</v>
      </c>
      <c r="B17" t="s">
        <v>75</v>
      </c>
      <c r="C17" t="str">
        <f t="shared" si="0"/>
        <v>Harshit .</v>
      </c>
      <c r="D17" s="24">
        <v>8</v>
      </c>
    </row>
    <row r="18" spans="1:4">
      <c r="A18" t="s">
        <v>95</v>
      </c>
      <c r="B18" t="s">
        <v>96</v>
      </c>
      <c r="C18" t="str">
        <f t="shared" si="0"/>
        <v>Hemant Kumar Patel</v>
      </c>
      <c r="D18" s="24">
        <v>8</v>
      </c>
    </row>
    <row r="19" spans="1:4">
      <c r="A19" t="s">
        <v>97</v>
      </c>
      <c r="B19" t="s">
        <v>98</v>
      </c>
      <c r="C19" t="str">
        <f t="shared" si="0"/>
        <v>Irfan Mustafa Mir</v>
      </c>
      <c r="D19" s="24">
        <v>10</v>
      </c>
    </row>
    <row r="20" spans="1:4">
      <c r="A20" t="s">
        <v>99</v>
      </c>
      <c r="B20" t="s">
        <v>100</v>
      </c>
      <c r="C20" t="str">
        <f t="shared" si="0"/>
        <v>Keshav Dhumas</v>
      </c>
      <c r="D20" s="24">
        <v>9</v>
      </c>
    </row>
    <row r="21" spans="1:4">
      <c r="A21" t="s">
        <v>101</v>
      </c>
      <c r="B21" t="s">
        <v>102</v>
      </c>
      <c r="C21" t="str">
        <f t="shared" si="0"/>
        <v>krish kumar</v>
      </c>
      <c r="D21" s="24">
        <v>9</v>
      </c>
    </row>
    <row r="22" spans="1:4">
      <c r="A22" t="s">
        <v>103</v>
      </c>
      <c r="B22" t="s">
        <v>104</v>
      </c>
      <c r="C22" t="str">
        <f t="shared" si="0"/>
        <v>Mahak Makheja</v>
      </c>
      <c r="D22" s="24">
        <v>10</v>
      </c>
    </row>
    <row r="23" spans="1:4">
      <c r="A23" t="s">
        <v>105</v>
      </c>
      <c r="B23" t="s">
        <v>106</v>
      </c>
      <c r="C23" t="str">
        <f t="shared" si="0"/>
        <v>MANASVI DHAUNDIYAL</v>
      </c>
      <c r="D23" s="24">
        <v>9</v>
      </c>
    </row>
    <row r="24" spans="1:4">
      <c r="A24" t="s">
        <v>107</v>
      </c>
      <c r="B24" t="s">
        <v>108</v>
      </c>
      <c r="C24" t="str">
        <f t="shared" si="0"/>
        <v>Nainala parthu</v>
      </c>
      <c r="D24" s="24">
        <v>9</v>
      </c>
    </row>
    <row r="25" spans="1:4">
      <c r="A25" t="s">
        <v>109</v>
      </c>
      <c r="B25" t="s">
        <v>110</v>
      </c>
      <c r="C25" t="str">
        <f t="shared" si="0"/>
        <v>Navya Sagar</v>
      </c>
      <c r="D25" s="24">
        <v>9</v>
      </c>
    </row>
    <row r="26" spans="1:4">
      <c r="A26" t="s">
        <v>111</v>
      </c>
      <c r="B26" t="s">
        <v>112</v>
      </c>
      <c r="C26" t="str">
        <f t="shared" si="0"/>
        <v>Onjoli G Shinde</v>
      </c>
      <c r="D26" s="24">
        <v>5</v>
      </c>
    </row>
    <row r="27" spans="1:4">
      <c r="A27" t="s">
        <v>113</v>
      </c>
      <c r="B27" t="s">
        <v>114</v>
      </c>
      <c r="C27" t="str">
        <f t="shared" si="0"/>
        <v>Pakhi Dhanai</v>
      </c>
      <c r="D27" s="24">
        <v>6</v>
      </c>
    </row>
    <row r="28" spans="1:4">
      <c r="A28" t="s">
        <v>115</v>
      </c>
      <c r="B28" t="s">
        <v>116</v>
      </c>
      <c r="C28" t="str">
        <f t="shared" si="0"/>
        <v>Prabhakar Singh</v>
      </c>
      <c r="D28" s="24">
        <v>9</v>
      </c>
    </row>
    <row r="29" spans="1:4">
      <c r="A29" t="s">
        <v>117</v>
      </c>
      <c r="B29" t="s">
        <v>118</v>
      </c>
      <c r="C29" t="str">
        <f t="shared" si="0"/>
        <v>Rachit Bhatia</v>
      </c>
      <c r="D29" s="24">
        <v>10</v>
      </c>
    </row>
    <row r="30" spans="1:4">
      <c r="A30" t="s">
        <v>119</v>
      </c>
      <c r="B30" t="s">
        <v>120</v>
      </c>
      <c r="C30" t="str">
        <f t="shared" si="0"/>
        <v>RITIKA SAINI</v>
      </c>
      <c r="D30" s="24">
        <v>9</v>
      </c>
    </row>
    <row r="31" spans="1:4">
      <c r="A31" t="s">
        <v>121</v>
      </c>
      <c r="B31" t="s">
        <v>122</v>
      </c>
      <c r="C31" t="str">
        <f t="shared" si="0"/>
        <v>Rohit Tiwari</v>
      </c>
      <c r="D31" s="24">
        <v>9</v>
      </c>
    </row>
    <row r="32" spans="1:4">
      <c r="A32" t="s">
        <v>123</v>
      </c>
      <c r="B32" t="s">
        <v>124</v>
      </c>
      <c r="C32" t="str">
        <f t="shared" si="0"/>
        <v>Sachwlang DEBBARMA</v>
      </c>
      <c r="D32" s="24">
        <v>10</v>
      </c>
    </row>
    <row r="33" spans="1:4">
      <c r="A33" t="s">
        <v>125</v>
      </c>
      <c r="B33" t="s">
        <v>126</v>
      </c>
      <c r="C33" t="str">
        <f t="shared" si="0"/>
        <v>Saksham Mahto</v>
      </c>
      <c r="D33" s="24">
        <v>10</v>
      </c>
    </row>
    <row r="34" spans="1:4">
      <c r="A34" t="s">
        <v>127</v>
      </c>
      <c r="B34" t="s">
        <v>128</v>
      </c>
      <c r="C34" t="str">
        <f t="shared" si="0"/>
        <v>Samarjeet Lawankar</v>
      </c>
      <c r="D34" s="24">
        <v>10</v>
      </c>
    </row>
    <row r="35" spans="1:4">
      <c r="A35" t="s">
        <v>129</v>
      </c>
      <c r="B35" t="s">
        <v>130</v>
      </c>
      <c r="C35" t="str">
        <f t="shared" si="0"/>
        <v>Shivani Bajpai</v>
      </c>
      <c r="D35" s="24">
        <v>9</v>
      </c>
    </row>
    <row r="36" spans="1:4">
      <c r="A36" t="s">
        <v>131</v>
      </c>
      <c r="B36" t="s">
        <v>132</v>
      </c>
      <c r="C36" t="str">
        <f t="shared" si="0"/>
        <v>Shobin M Shibu</v>
      </c>
      <c r="D36" s="24">
        <v>10</v>
      </c>
    </row>
    <row r="37" spans="1:4">
      <c r="A37" t="s">
        <v>133</v>
      </c>
      <c r="B37" t="s">
        <v>134</v>
      </c>
      <c r="C37" t="str">
        <f t="shared" si="0"/>
        <v>Shreyansh Soni</v>
      </c>
      <c r="D37" s="24">
        <v>9</v>
      </c>
    </row>
    <row r="38" spans="1:4">
      <c r="A38" t="s">
        <v>135</v>
      </c>
      <c r="B38" t="s">
        <v>136</v>
      </c>
      <c r="C38" t="str">
        <f t="shared" si="0"/>
        <v>Souradeep Saha</v>
      </c>
      <c r="D38" s="24">
        <v>9</v>
      </c>
    </row>
    <row r="39" spans="1:4">
      <c r="A39" t="s">
        <v>137</v>
      </c>
      <c r="B39" t="s">
        <v>138</v>
      </c>
      <c r="C39" t="str">
        <f t="shared" si="0"/>
        <v>Sunny Tomar</v>
      </c>
      <c r="D39" s="24">
        <v>9</v>
      </c>
    </row>
    <row r="40" spans="1:4">
      <c r="A40" t="s">
        <v>139</v>
      </c>
      <c r="B40" t="s">
        <v>140</v>
      </c>
      <c r="C40" t="str">
        <f t="shared" si="0"/>
        <v>Suryansh Singh Manwal</v>
      </c>
      <c r="D40" s="24">
        <v>10</v>
      </c>
    </row>
    <row r="41" spans="1:4">
      <c r="A41" t="s">
        <v>141</v>
      </c>
      <c r="B41" t="s">
        <v>142</v>
      </c>
      <c r="C41" t="str">
        <f t="shared" si="0"/>
        <v>Tanishka Pokhriyal</v>
      </c>
      <c r="D41" s="24">
        <v>10</v>
      </c>
    </row>
    <row r="42" spans="1:4">
      <c r="A42" t="s">
        <v>143</v>
      </c>
      <c r="B42" t="s">
        <v>144</v>
      </c>
      <c r="C42" t="str">
        <f t="shared" si="0"/>
        <v>Telikicherla V R R S Sritodbhav</v>
      </c>
      <c r="D42" s="24">
        <v>10</v>
      </c>
    </row>
    <row r="43" spans="1:4">
      <c r="A43" t="s">
        <v>145</v>
      </c>
      <c r="B43" t="s">
        <v>75</v>
      </c>
      <c r="C43" t="str">
        <f t="shared" si="0"/>
        <v>Vivek .</v>
      </c>
      <c r="D43" s="24">
        <v>8</v>
      </c>
    </row>
    <row r="44" spans="1:4">
      <c r="A44" t="s">
        <v>146</v>
      </c>
      <c r="B44" t="s">
        <v>147</v>
      </c>
      <c r="C44" t="str">
        <f t="shared" si="0"/>
        <v>Yashi sharma</v>
      </c>
      <c r="D44" s="24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9E88-21B9-4C81-A9BB-09418568EB9F}">
  <dimension ref="A1:P52"/>
  <sheetViews>
    <sheetView tabSelected="1" workbookViewId="0">
      <selection activeCell="N6" sqref="N6"/>
    </sheetView>
  </sheetViews>
  <sheetFormatPr defaultRowHeight="15"/>
  <cols>
    <col min="1" max="1" width="14.85546875" customWidth="1"/>
    <col min="2" max="2" width="32" customWidth="1"/>
    <col min="14" max="14" width="11" customWidth="1"/>
  </cols>
  <sheetData>
    <row r="1" spans="1:16" ht="24.75">
      <c r="A1" s="29" t="s">
        <v>148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24.75">
      <c r="A2" s="29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>
      <c r="C3" t="s">
        <v>149</v>
      </c>
      <c r="D3" t="s">
        <v>150</v>
      </c>
      <c r="E3" t="s">
        <v>149</v>
      </c>
      <c r="F3" t="s">
        <v>150</v>
      </c>
      <c r="G3" t="s">
        <v>149</v>
      </c>
      <c r="H3" t="s">
        <v>150</v>
      </c>
      <c r="I3" t="s">
        <v>150</v>
      </c>
      <c r="J3" t="s">
        <v>150</v>
      </c>
      <c r="K3" t="s">
        <v>149</v>
      </c>
      <c r="L3" t="s">
        <v>150</v>
      </c>
    </row>
    <row r="4" spans="1:16">
      <c r="A4" t="s">
        <v>151</v>
      </c>
      <c r="B4" t="s">
        <v>66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161</v>
      </c>
      <c r="M4" t="s">
        <v>162</v>
      </c>
      <c r="N4" t="s">
        <v>163</v>
      </c>
      <c r="O4" t="s">
        <v>13</v>
      </c>
      <c r="P4" t="s">
        <v>14</v>
      </c>
    </row>
    <row r="5" spans="1:16">
      <c r="A5" s="22"/>
      <c r="B5" s="22"/>
      <c r="C5" s="22">
        <v>3</v>
      </c>
      <c r="D5" s="22">
        <v>3</v>
      </c>
      <c r="E5" s="22">
        <v>3</v>
      </c>
      <c r="F5" s="22">
        <v>3</v>
      </c>
      <c r="G5" s="22">
        <v>3</v>
      </c>
      <c r="H5" s="22">
        <v>5</v>
      </c>
      <c r="I5" s="22">
        <v>5</v>
      </c>
      <c r="J5" s="22">
        <v>5</v>
      </c>
      <c r="K5" s="22">
        <v>5</v>
      </c>
      <c r="L5" s="22">
        <v>5</v>
      </c>
      <c r="M5" s="22"/>
      <c r="N5" s="22">
        <v>40</v>
      </c>
      <c r="O5" s="22">
        <v>40</v>
      </c>
    </row>
    <row r="6" spans="1:16">
      <c r="A6">
        <v>590027532</v>
      </c>
      <c r="B6" t="s">
        <v>17</v>
      </c>
      <c r="C6" t="s">
        <v>164</v>
      </c>
      <c r="D6" t="s">
        <v>165</v>
      </c>
      <c r="E6" t="s">
        <v>165</v>
      </c>
      <c r="F6" t="s">
        <v>166</v>
      </c>
      <c r="G6" t="s">
        <v>165</v>
      </c>
      <c r="H6" t="s">
        <v>164</v>
      </c>
      <c r="I6" t="s">
        <v>164</v>
      </c>
      <c r="J6" t="s">
        <v>166</v>
      </c>
      <c r="K6" t="s">
        <v>166</v>
      </c>
      <c r="L6" t="s">
        <v>164</v>
      </c>
      <c r="N6">
        <v>9</v>
      </c>
      <c r="O6">
        <v>4.5</v>
      </c>
    </row>
    <row r="7" spans="1:16">
      <c r="A7">
        <v>590021539</v>
      </c>
      <c r="B7" t="s">
        <v>18</v>
      </c>
      <c r="C7" t="s">
        <v>166</v>
      </c>
      <c r="D7" t="s">
        <v>166</v>
      </c>
      <c r="E7" t="s">
        <v>166</v>
      </c>
      <c r="F7" t="s">
        <v>166</v>
      </c>
      <c r="G7" t="s">
        <v>166</v>
      </c>
      <c r="H7" t="s">
        <v>166</v>
      </c>
      <c r="I7" t="s">
        <v>166</v>
      </c>
      <c r="J7" t="s">
        <v>166</v>
      </c>
      <c r="K7" t="s">
        <v>166</v>
      </c>
      <c r="L7" t="s">
        <v>166</v>
      </c>
      <c r="N7">
        <v>0</v>
      </c>
      <c r="O7">
        <v>0</v>
      </c>
    </row>
    <row r="8" spans="1:16">
      <c r="A8">
        <v>590021092</v>
      </c>
      <c r="B8" t="s">
        <v>19</v>
      </c>
      <c r="C8" t="s">
        <v>165</v>
      </c>
      <c r="D8" t="s">
        <v>165</v>
      </c>
      <c r="E8" t="s">
        <v>165</v>
      </c>
      <c r="F8" t="s">
        <v>165</v>
      </c>
      <c r="G8" t="s">
        <v>165</v>
      </c>
      <c r="H8" t="s">
        <v>164</v>
      </c>
      <c r="I8" t="s">
        <v>164</v>
      </c>
      <c r="J8" t="s">
        <v>165</v>
      </c>
      <c r="K8" t="s">
        <v>165</v>
      </c>
      <c r="L8" t="s">
        <v>165</v>
      </c>
      <c r="N8">
        <v>30</v>
      </c>
      <c r="O8">
        <v>27.5</v>
      </c>
    </row>
    <row r="9" spans="1:16">
      <c r="A9">
        <v>590028566</v>
      </c>
      <c r="B9" t="s">
        <v>20</v>
      </c>
      <c r="C9" t="s">
        <v>165</v>
      </c>
      <c r="D9" t="s">
        <v>166</v>
      </c>
      <c r="E9" t="s">
        <v>166</v>
      </c>
      <c r="F9" t="s">
        <v>164</v>
      </c>
      <c r="G9" t="s">
        <v>165</v>
      </c>
      <c r="H9" t="s">
        <v>165</v>
      </c>
      <c r="I9" t="s">
        <v>166</v>
      </c>
      <c r="J9" t="s">
        <v>166</v>
      </c>
      <c r="K9" t="s">
        <v>165</v>
      </c>
      <c r="L9" t="s">
        <v>166</v>
      </c>
      <c r="N9">
        <v>16</v>
      </c>
      <c r="O9">
        <v>15.25</v>
      </c>
    </row>
    <row r="10" spans="1:16">
      <c r="A10">
        <v>590027262</v>
      </c>
      <c r="B10" t="s">
        <v>21</v>
      </c>
      <c r="C10" t="s">
        <v>165</v>
      </c>
      <c r="D10" t="s">
        <v>164</v>
      </c>
      <c r="E10" t="s">
        <v>165</v>
      </c>
      <c r="F10" t="s">
        <v>164</v>
      </c>
      <c r="G10" t="s">
        <v>165</v>
      </c>
      <c r="H10" t="s">
        <v>165</v>
      </c>
      <c r="I10" t="s">
        <v>166</v>
      </c>
      <c r="J10" t="s">
        <v>164</v>
      </c>
      <c r="K10" t="s">
        <v>164</v>
      </c>
      <c r="L10" t="s">
        <v>164</v>
      </c>
      <c r="N10">
        <v>14</v>
      </c>
      <c r="O10">
        <v>8.75</v>
      </c>
    </row>
    <row r="11" spans="1:16">
      <c r="A11">
        <v>590025408</v>
      </c>
      <c r="B11" t="s">
        <v>22</v>
      </c>
      <c r="C11" t="s">
        <v>165</v>
      </c>
      <c r="D11" t="s">
        <v>165</v>
      </c>
      <c r="E11" t="s">
        <v>165</v>
      </c>
      <c r="F11" t="s">
        <v>164</v>
      </c>
      <c r="G11" t="s">
        <v>164</v>
      </c>
      <c r="H11" t="s">
        <v>164</v>
      </c>
      <c r="I11" t="s">
        <v>164</v>
      </c>
      <c r="J11" t="s">
        <v>164</v>
      </c>
      <c r="K11" t="s">
        <v>164</v>
      </c>
      <c r="L11" t="s">
        <v>164</v>
      </c>
      <c r="N11">
        <v>9</v>
      </c>
      <c r="O11">
        <v>1.25</v>
      </c>
    </row>
    <row r="12" spans="1:16">
      <c r="A12">
        <v>590028353</v>
      </c>
      <c r="B12" t="s">
        <v>23</v>
      </c>
      <c r="C12" t="s">
        <v>165</v>
      </c>
      <c r="D12" t="s">
        <v>165</v>
      </c>
      <c r="E12" t="s">
        <v>164</v>
      </c>
      <c r="F12" t="s">
        <v>164</v>
      </c>
      <c r="G12" t="s">
        <v>165</v>
      </c>
      <c r="H12" t="s">
        <v>165</v>
      </c>
      <c r="I12" t="s">
        <v>164</v>
      </c>
      <c r="J12" t="s">
        <v>164</v>
      </c>
      <c r="K12" t="s">
        <v>164</v>
      </c>
      <c r="L12" t="s">
        <v>165</v>
      </c>
      <c r="N12">
        <v>19</v>
      </c>
      <c r="O12">
        <v>13.75</v>
      </c>
    </row>
    <row r="13" spans="1:16">
      <c r="A13">
        <v>590027987</v>
      </c>
      <c r="B13" t="s">
        <v>24</v>
      </c>
      <c r="C13" t="s">
        <v>165</v>
      </c>
      <c r="D13" t="s">
        <v>165</v>
      </c>
      <c r="E13" t="s">
        <v>165</v>
      </c>
      <c r="F13" t="s">
        <v>164</v>
      </c>
      <c r="G13" t="s">
        <v>165</v>
      </c>
      <c r="H13" t="s">
        <v>165</v>
      </c>
      <c r="I13" t="s">
        <v>164</v>
      </c>
      <c r="J13" t="s">
        <v>164</v>
      </c>
      <c r="K13" t="s">
        <v>165</v>
      </c>
      <c r="L13" t="s">
        <v>165</v>
      </c>
      <c r="N13">
        <v>27</v>
      </c>
      <c r="O13">
        <v>23.75</v>
      </c>
    </row>
    <row r="14" spans="1:16">
      <c r="A14">
        <v>590023231</v>
      </c>
      <c r="B14" t="s">
        <v>25</v>
      </c>
      <c r="C14" t="s">
        <v>166</v>
      </c>
      <c r="D14" t="s">
        <v>166</v>
      </c>
      <c r="E14" t="s">
        <v>166</v>
      </c>
      <c r="F14" t="s">
        <v>166</v>
      </c>
      <c r="G14" t="s">
        <v>164</v>
      </c>
      <c r="H14" t="s">
        <v>166</v>
      </c>
      <c r="I14" t="s">
        <v>164</v>
      </c>
      <c r="J14" t="s">
        <v>166</v>
      </c>
      <c r="K14" t="s">
        <v>166</v>
      </c>
      <c r="L14" t="s">
        <v>166</v>
      </c>
      <c r="N14">
        <v>0</v>
      </c>
      <c r="O14">
        <v>-2</v>
      </c>
    </row>
    <row r="15" spans="1:16">
      <c r="A15">
        <v>590028954</v>
      </c>
      <c r="B15" t="s">
        <v>26</v>
      </c>
      <c r="C15" t="s">
        <v>165</v>
      </c>
      <c r="D15" t="s">
        <v>164</v>
      </c>
      <c r="E15" t="s">
        <v>164</v>
      </c>
      <c r="F15" t="s">
        <v>164</v>
      </c>
      <c r="G15" t="s">
        <v>164</v>
      </c>
      <c r="H15" t="s">
        <v>164</v>
      </c>
      <c r="I15" t="s">
        <v>164</v>
      </c>
      <c r="J15" t="s">
        <v>164</v>
      </c>
      <c r="K15" t="s">
        <v>164</v>
      </c>
      <c r="L15" t="s">
        <v>164</v>
      </c>
      <c r="N15">
        <v>3</v>
      </c>
      <c r="O15">
        <v>-6.25</v>
      </c>
    </row>
    <row r="16" spans="1:16">
      <c r="A16">
        <v>590021623</v>
      </c>
      <c r="B16" t="s">
        <v>27</v>
      </c>
      <c r="C16" t="s">
        <v>165</v>
      </c>
      <c r="D16" t="s">
        <v>164</v>
      </c>
      <c r="E16" t="s">
        <v>165</v>
      </c>
      <c r="F16" t="s">
        <v>164</v>
      </c>
      <c r="G16" t="s">
        <v>166</v>
      </c>
      <c r="H16" t="s">
        <v>164</v>
      </c>
      <c r="I16" t="s">
        <v>164</v>
      </c>
      <c r="J16" t="s">
        <v>165</v>
      </c>
      <c r="K16" t="s">
        <v>164</v>
      </c>
      <c r="L16" t="s">
        <v>165</v>
      </c>
      <c r="N16">
        <v>16</v>
      </c>
      <c r="O16">
        <v>10.75</v>
      </c>
    </row>
    <row r="17" spans="1:15">
      <c r="A17">
        <v>590027316</v>
      </c>
      <c r="B17" t="s">
        <v>28</v>
      </c>
      <c r="C17" t="s">
        <v>164</v>
      </c>
      <c r="D17" t="s">
        <v>165</v>
      </c>
      <c r="E17" t="s">
        <v>165</v>
      </c>
      <c r="F17" t="s">
        <v>164</v>
      </c>
      <c r="G17" t="s">
        <v>165</v>
      </c>
      <c r="H17" t="s">
        <v>164</v>
      </c>
      <c r="I17" t="s">
        <v>164</v>
      </c>
      <c r="J17" t="s">
        <v>165</v>
      </c>
      <c r="K17" t="s">
        <v>164</v>
      </c>
      <c r="L17" t="s">
        <v>165</v>
      </c>
      <c r="N17">
        <v>19</v>
      </c>
      <c r="O17">
        <v>13.75</v>
      </c>
    </row>
    <row r="18" spans="1:15">
      <c r="A18">
        <v>590021231</v>
      </c>
      <c r="B18" t="s">
        <v>29</v>
      </c>
      <c r="C18" t="s">
        <v>165</v>
      </c>
      <c r="D18" t="s">
        <v>164</v>
      </c>
      <c r="E18" t="s">
        <v>165</v>
      </c>
      <c r="F18" t="s">
        <v>164</v>
      </c>
      <c r="G18" t="s">
        <v>166</v>
      </c>
      <c r="H18" t="s">
        <v>164</v>
      </c>
      <c r="I18" t="s">
        <v>164</v>
      </c>
      <c r="J18" t="s">
        <v>165</v>
      </c>
      <c r="K18" t="s">
        <v>166</v>
      </c>
      <c r="L18" t="s">
        <v>165</v>
      </c>
      <c r="N18">
        <v>16</v>
      </c>
      <c r="O18">
        <v>12</v>
      </c>
    </row>
    <row r="19" spans="1:15">
      <c r="A19">
        <v>590020769</v>
      </c>
      <c r="B19" t="s">
        <v>30</v>
      </c>
      <c r="C19" t="s">
        <v>165</v>
      </c>
      <c r="D19" t="s">
        <v>165</v>
      </c>
      <c r="E19" t="s">
        <v>165</v>
      </c>
      <c r="F19" t="s">
        <v>166</v>
      </c>
      <c r="G19" t="s">
        <v>165</v>
      </c>
      <c r="H19" t="s">
        <v>164</v>
      </c>
      <c r="I19" t="s">
        <v>164</v>
      </c>
      <c r="J19" t="s">
        <v>166</v>
      </c>
      <c r="K19" t="s">
        <v>165</v>
      </c>
      <c r="L19" t="s">
        <v>165</v>
      </c>
      <c r="N19">
        <v>22</v>
      </c>
      <c r="O19">
        <v>19.5</v>
      </c>
    </row>
    <row r="20" spans="1:15">
      <c r="A20">
        <v>590027689</v>
      </c>
      <c r="B20" t="s">
        <v>31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  <c r="J20" t="s">
        <v>166</v>
      </c>
      <c r="K20" t="s">
        <v>166</v>
      </c>
      <c r="L20" t="s">
        <v>166</v>
      </c>
      <c r="N20">
        <v>0</v>
      </c>
      <c r="O20">
        <v>0</v>
      </c>
    </row>
    <row r="21" spans="1:15">
      <c r="A21">
        <v>590028120</v>
      </c>
      <c r="B21" t="s">
        <v>32</v>
      </c>
      <c r="C21" t="s">
        <v>165</v>
      </c>
      <c r="D21" t="s">
        <v>164</v>
      </c>
      <c r="E21" t="s">
        <v>165</v>
      </c>
      <c r="F21" t="s">
        <v>166</v>
      </c>
      <c r="G21" t="s">
        <v>166</v>
      </c>
      <c r="H21" t="s">
        <v>164</v>
      </c>
      <c r="I21" t="s">
        <v>164</v>
      </c>
      <c r="J21" t="s">
        <v>166</v>
      </c>
      <c r="K21" t="s">
        <v>166</v>
      </c>
      <c r="L21" t="s">
        <v>165</v>
      </c>
      <c r="N21">
        <v>11</v>
      </c>
      <c r="O21">
        <v>7.75</v>
      </c>
    </row>
    <row r="22" spans="1:15">
      <c r="A22">
        <v>590029323</v>
      </c>
      <c r="B22" t="s">
        <v>33</v>
      </c>
      <c r="C22" t="s">
        <v>166</v>
      </c>
      <c r="D22" t="s">
        <v>165</v>
      </c>
      <c r="E22" t="s">
        <v>165</v>
      </c>
      <c r="F22" t="s">
        <v>166</v>
      </c>
      <c r="G22" t="s">
        <v>166</v>
      </c>
      <c r="H22" t="s">
        <v>166</v>
      </c>
      <c r="I22" t="s">
        <v>166</v>
      </c>
      <c r="J22" t="s">
        <v>164</v>
      </c>
      <c r="K22" t="s">
        <v>166</v>
      </c>
      <c r="L22" t="s">
        <v>166</v>
      </c>
      <c r="N22">
        <v>6</v>
      </c>
      <c r="O22">
        <v>4.75</v>
      </c>
    </row>
    <row r="23" spans="1:15">
      <c r="A23">
        <v>590025404</v>
      </c>
      <c r="B23" t="s">
        <v>34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  <c r="J23" t="s">
        <v>166</v>
      </c>
      <c r="K23" t="s">
        <v>166</v>
      </c>
      <c r="L23" t="s">
        <v>166</v>
      </c>
      <c r="N23">
        <v>0</v>
      </c>
      <c r="O23">
        <v>0</v>
      </c>
    </row>
    <row r="24" spans="1:15">
      <c r="A24">
        <v>590024999</v>
      </c>
      <c r="B24" t="s">
        <v>35</v>
      </c>
      <c r="C24" t="s">
        <v>165</v>
      </c>
      <c r="D24" t="s">
        <v>166</v>
      </c>
      <c r="E24" t="s">
        <v>165</v>
      </c>
      <c r="F24" t="s">
        <v>164</v>
      </c>
      <c r="G24" t="s">
        <v>164</v>
      </c>
      <c r="H24" t="s">
        <v>166</v>
      </c>
      <c r="I24" t="s">
        <v>166</v>
      </c>
      <c r="J24" t="s">
        <v>165</v>
      </c>
      <c r="K24" t="s">
        <v>165</v>
      </c>
      <c r="L24" t="s">
        <v>166</v>
      </c>
      <c r="N24">
        <v>16</v>
      </c>
      <c r="O24">
        <v>14.5</v>
      </c>
    </row>
    <row r="25" spans="1:15">
      <c r="A25">
        <v>590028089</v>
      </c>
      <c r="B25" t="s">
        <v>36</v>
      </c>
      <c r="C25" t="s">
        <v>166</v>
      </c>
      <c r="D25" t="s">
        <v>164</v>
      </c>
      <c r="E25" t="s">
        <v>166</v>
      </c>
      <c r="F25" t="s">
        <v>164</v>
      </c>
      <c r="G25" t="s">
        <v>165</v>
      </c>
      <c r="H25" t="s">
        <v>164</v>
      </c>
      <c r="I25" t="s">
        <v>166</v>
      </c>
      <c r="J25" t="s">
        <v>166</v>
      </c>
      <c r="K25" t="s">
        <v>166</v>
      </c>
      <c r="L25" t="s">
        <v>166</v>
      </c>
      <c r="N25">
        <v>3</v>
      </c>
      <c r="O25">
        <v>0.25</v>
      </c>
    </row>
    <row r="26" spans="1:15">
      <c r="A26">
        <v>590029095</v>
      </c>
      <c r="B26" t="s">
        <v>37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  <c r="J26" t="s">
        <v>166</v>
      </c>
      <c r="K26" t="s">
        <v>166</v>
      </c>
      <c r="L26" t="s">
        <v>166</v>
      </c>
      <c r="N26">
        <v>0</v>
      </c>
      <c r="O26">
        <v>0</v>
      </c>
    </row>
    <row r="27" spans="1:15">
      <c r="A27">
        <v>590021216</v>
      </c>
      <c r="B27" t="s">
        <v>38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  <c r="J27" t="s">
        <v>166</v>
      </c>
      <c r="K27" t="s">
        <v>166</v>
      </c>
      <c r="L27" t="s">
        <v>166</v>
      </c>
      <c r="N27">
        <v>0</v>
      </c>
      <c r="O27">
        <v>0</v>
      </c>
    </row>
    <row r="28" spans="1:15">
      <c r="A28">
        <v>590028121</v>
      </c>
      <c r="B28" t="s">
        <v>39</v>
      </c>
      <c r="C28" t="s">
        <v>165</v>
      </c>
      <c r="D28" t="s">
        <v>165</v>
      </c>
      <c r="E28" t="s">
        <v>164</v>
      </c>
      <c r="F28" t="s">
        <v>165</v>
      </c>
      <c r="G28" t="s">
        <v>165</v>
      </c>
      <c r="H28" t="s">
        <v>165</v>
      </c>
      <c r="I28" t="s">
        <v>165</v>
      </c>
      <c r="J28" t="s">
        <v>164</v>
      </c>
      <c r="K28" t="s">
        <v>164</v>
      </c>
      <c r="L28" t="s">
        <v>165</v>
      </c>
      <c r="N28">
        <v>27</v>
      </c>
      <c r="O28">
        <v>23.75</v>
      </c>
    </row>
    <row r="29" spans="1:15">
      <c r="A29">
        <v>590024606</v>
      </c>
      <c r="B29" t="s">
        <v>40</v>
      </c>
      <c r="C29" t="s">
        <v>164</v>
      </c>
      <c r="D29" t="s">
        <v>164</v>
      </c>
      <c r="E29" t="s">
        <v>165</v>
      </c>
      <c r="F29" t="s">
        <v>164</v>
      </c>
      <c r="G29" t="s">
        <v>164</v>
      </c>
      <c r="H29" t="s">
        <v>165</v>
      </c>
      <c r="I29" t="s">
        <v>164</v>
      </c>
      <c r="J29" t="s">
        <v>164</v>
      </c>
      <c r="K29" t="s">
        <v>166</v>
      </c>
      <c r="L29" t="s">
        <v>166</v>
      </c>
      <c r="N29">
        <v>8</v>
      </c>
      <c r="O29">
        <v>2.5</v>
      </c>
    </row>
    <row r="30" spans="1:15">
      <c r="A30">
        <v>590024262</v>
      </c>
      <c r="B30" t="s">
        <v>41</v>
      </c>
      <c r="C30" t="s">
        <v>166</v>
      </c>
      <c r="D30" t="s">
        <v>166</v>
      </c>
      <c r="E30" t="s">
        <v>166</v>
      </c>
      <c r="F30" t="s">
        <v>166</v>
      </c>
      <c r="G30" t="s">
        <v>166</v>
      </c>
      <c r="H30" t="s">
        <v>166</v>
      </c>
      <c r="I30" t="s">
        <v>166</v>
      </c>
      <c r="J30" t="s">
        <v>166</v>
      </c>
      <c r="K30" t="s">
        <v>166</v>
      </c>
      <c r="L30" t="s">
        <v>166</v>
      </c>
      <c r="N30">
        <v>0</v>
      </c>
      <c r="O30">
        <v>0</v>
      </c>
    </row>
    <row r="31" spans="1:15">
      <c r="A31">
        <v>590021484</v>
      </c>
      <c r="B31" t="s">
        <v>42</v>
      </c>
      <c r="C31" t="s">
        <v>166</v>
      </c>
      <c r="D31" t="s">
        <v>164</v>
      </c>
      <c r="E31" t="s">
        <v>165</v>
      </c>
      <c r="F31" t="s">
        <v>164</v>
      </c>
      <c r="G31" t="s">
        <v>164</v>
      </c>
      <c r="H31" t="s">
        <v>165</v>
      </c>
      <c r="I31" t="s">
        <v>164</v>
      </c>
      <c r="J31" t="s">
        <v>164</v>
      </c>
      <c r="K31" t="s">
        <v>166</v>
      </c>
      <c r="L31" t="s">
        <v>166</v>
      </c>
      <c r="N31">
        <v>8</v>
      </c>
      <c r="O31">
        <v>3.25</v>
      </c>
    </row>
    <row r="32" spans="1:15">
      <c r="A32">
        <v>590027317</v>
      </c>
      <c r="B32" t="s">
        <v>43</v>
      </c>
      <c r="C32" t="s">
        <v>166</v>
      </c>
      <c r="D32" t="s">
        <v>164</v>
      </c>
      <c r="E32" t="s">
        <v>166</v>
      </c>
      <c r="F32" t="s">
        <v>165</v>
      </c>
      <c r="G32" t="s">
        <v>166</v>
      </c>
      <c r="H32" t="s">
        <v>164</v>
      </c>
      <c r="I32" t="s">
        <v>166</v>
      </c>
      <c r="J32" t="s">
        <v>164</v>
      </c>
      <c r="K32" t="s">
        <v>166</v>
      </c>
      <c r="L32" t="s">
        <v>166</v>
      </c>
      <c r="N32">
        <v>3</v>
      </c>
      <c r="O32">
        <v>-0.25</v>
      </c>
    </row>
    <row r="33" spans="1:15">
      <c r="A33">
        <v>590022345</v>
      </c>
      <c r="B33" t="s">
        <v>44</v>
      </c>
      <c r="C33" t="s">
        <v>166</v>
      </c>
      <c r="D33" t="s">
        <v>164</v>
      </c>
      <c r="E33" t="s">
        <v>166</v>
      </c>
      <c r="F33" t="s">
        <v>164</v>
      </c>
      <c r="G33" t="s">
        <v>165</v>
      </c>
      <c r="H33" t="s">
        <v>166</v>
      </c>
      <c r="I33" t="s">
        <v>164</v>
      </c>
      <c r="J33" t="s">
        <v>165</v>
      </c>
      <c r="K33" t="s">
        <v>166</v>
      </c>
      <c r="L33" t="s">
        <v>165</v>
      </c>
      <c r="N33">
        <v>13</v>
      </c>
      <c r="O33">
        <v>10.25</v>
      </c>
    </row>
    <row r="34" spans="1:15">
      <c r="A34">
        <v>590028128</v>
      </c>
      <c r="B34" t="s">
        <v>45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  <c r="J34" t="s">
        <v>166</v>
      </c>
      <c r="K34" t="s">
        <v>166</v>
      </c>
      <c r="L34" t="s">
        <v>166</v>
      </c>
      <c r="N34">
        <v>0</v>
      </c>
      <c r="O34">
        <v>0</v>
      </c>
    </row>
    <row r="35" spans="1:15">
      <c r="A35">
        <v>590027661</v>
      </c>
      <c r="B35" t="s">
        <v>46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166</v>
      </c>
      <c r="N35">
        <v>0</v>
      </c>
      <c r="O35">
        <v>0</v>
      </c>
    </row>
    <row r="36" spans="1:15">
      <c r="A36">
        <v>590024854</v>
      </c>
      <c r="B36" t="s">
        <v>47</v>
      </c>
      <c r="C36" t="s">
        <v>165</v>
      </c>
      <c r="D36" t="s">
        <v>164</v>
      </c>
      <c r="E36" t="s">
        <v>165</v>
      </c>
      <c r="F36" t="s">
        <v>164</v>
      </c>
      <c r="G36" t="s">
        <v>165</v>
      </c>
      <c r="H36" t="s">
        <v>164</v>
      </c>
      <c r="I36" t="s">
        <v>164</v>
      </c>
      <c r="J36" t="s">
        <v>164</v>
      </c>
      <c r="K36" t="s">
        <v>164</v>
      </c>
      <c r="L36" t="s">
        <v>165</v>
      </c>
      <c r="N36">
        <v>14</v>
      </c>
      <c r="O36">
        <v>7.5</v>
      </c>
    </row>
    <row r="37" spans="1:15">
      <c r="A37">
        <v>590027466</v>
      </c>
      <c r="B37" t="s">
        <v>48</v>
      </c>
      <c r="C37" t="s">
        <v>165</v>
      </c>
      <c r="D37" t="s">
        <v>164</v>
      </c>
      <c r="E37" t="s">
        <v>166</v>
      </c>
      <c r="F37" t="s">
        <v>166</v>
      </c>
      <c r="G37" t="s">
        <v>166</v>
      </c>
      <c r="H37" t="s">
        <v>164</v>
      </c>
      <c r="I37" t="s">
        <v>164</v>
      </c>
      <c r="J37" t="s">
        <v>164</v>
      </c>
      <c r="K37" t="s">
        <v>166</v>
      </c>
      <c r="L37" t="s">
        <v>166</v>
      </c>
      <c r="N37">
        <v>3</v>
      </c>
      <c r="O37">
        <v>-1.5</v>
      </c>
    </row>
    <row r="38" spans="1:15">
      <c r="A38">
        <v>590025203</v>
      </c>
      <c r="B38" t="s">
        <v>49</v>
      </c>
      <c r="C38" t="s">
        <v>166</v>
      </c>
      <c r="D38" t="s">
        <v>165</v>
      </c>
      <c r="E38" t="s">
        <v>166</v>
      </c>
      <c r="F38" t="s">
        <v>166</v>
      </c>
      <c r="G38" t="s">
        <v>165</v>
      </c>
      <c r="H38" t="s">
        <v>166</v>
      </c>
      <c r="I38" t="s">
        <v>166</v>
      </c>
      <c r="J38" t="s">
        <v>166</v>
      </c>
      <c r="K38" t="s">
        <v>166</v>
      </c>
      <c r="L38" t="s">
        <v>166</v>
      </c>
      <c r="N38">
        <v>6</v>
      </c>
      <c r="O38">
        <v>6</v>
      </c>
    </row>
    <row r="39" spans="1:15">
      <c r="A39">
        <v>590026536</v>
      </c>
      <c r="B39" t="s">
        <v>50</v>
      </c>
      <c r="C39" t="s">
        <v>164</v>
      </c>
      <c r="D39" t="s">
        <v>164</v>
      </c>
      <c r="E39" t="s">
        <v>164</v>
      </c>
      <c r="F39" t="s">
        <v>164</v>
      </c>
      <c r="G39" t="s">
        <v>164</v>
      </c>
      <c r="H39" t="s">
        <v>165</v>
      </c>
      <c r="I39" t="s">
        <v>164</v>
      </c>
      <c r="J39" t="s">
        <v>164</v>
      </c>
      <c r="K39" t="s">
        <v>164</v>
      </c>
      <c r="L39" t="s">
        <v>165</v>
      </c>
      <c r="N39">
        <v>10</v>
      </c>
      <c r="O39">
        <v>2.5</v>
      </c>
    </row>
    <row r="40" spans="1:15">
      <c r="A40">
        <v>590024251</v>
      </c>
      <c r="B40" t="s">
        <v>51</v>
      </c>
      <c r="C40" t="s">
        <v>166</v>
      </c>
      <c r="D40" t="s">
        <v>166</v>
      </c>
      <c r="E40" t="s">
        <v>166</v>
      </c>
      <c r="F40" t="s">
        <v>166</v>
      </c>
      <c r="G40" t="s">
        <v>166</v>
      </c>
      <c r="H40" t="s">
        <v>166</v>
      </c>
      <c r="I40" t="s">
        <v>166</v>
      </c>
      <c r="J40" t="s">
        <v>166</v>
      </c>
      <c r="K40" t="s">
        <v>166</v>
      </c>
      <c r="L40" t="s">
        <v>166</v>
      </c>
      <c r="N40">
        <v>0</v>
      </c>
      <c r="O40">
        <v>0</v>
      </c>
    </row>
    <row r="41" spans="1:15">
      <c r="A41">
        <v>590027669</v>
      </c>
      <c r="B41" t="s">
        <v>52</v>
      </c>
      <c r="C41" t="s">
        <v>166</v>
      </c>
      <c r="D41" t="s">
        <v>165</v>
      </c>
      <c r="E41" t="s">
        <v>165</v>
      </c>
      <c r="F41" t="s">
        <v>165</v>
      </c>
      <c r="G41" t="s">
        <v>165</v>
      </c>
      <c r="H41" t="s">
        <v>164</v>
      </c>
      <c r="I41" t="s">
        <v>165</v>
      </c>
      <c r="J41" t="s">
        <v>165</v>
      </c>
      <c r="K41" t="s">
        <v>166</v>
      </c>
      <c r="L41" t="s">
        <v>165</v>
      </c>
      <c r="N41">
        <v>27</v>
      </c>
      <c r="O41">
        <v>25.75</v>
      </c>
    </row>
    <row r="42" spans="1:15">
      <c r="A42">
        <v>590024466</v>
      </c>
      <c r="B42" t="s">
        <v>53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  <c r="J42" t="s">
        <v>166</v>
      </c>
      <c r="K42" t="s">
        <v>166</v>
      </c>
      <c r="L42" t="s">
        <v>166</v>
      </c>
      <c r="N42">
        <v>0</v>
      </c>
      <c r="O42">
        <v>0</v>
      </c>
    </row>
    <row r="43" spans="1:15">
      <c r="A43">
        <v>590024746</v>
      </c>
      <c r="B43" t="s">
        <v>54</v>
      </c>
      <c r="C43" t="s">
        <v>166</v>
      </c>
      <c r="D43" t="s">
        <v>166</v>
      </c>
      <c r="E43" t="s">
        <v>166</v>
      </c>
      <c r="F43" t="s">
        <v>166</v>
      </c>
      <c r="G43" t="s">
        <v>166</v>
      </c>
      <c r="H43" t="s">
        <v>166</v>
      </c>
      <c r="I43" t="s">
        <v>166</v>
      </c>
      <c r="J43" t="s">
        <v>166</v>
      </c>
      <c r="K43" t="s">
        <v>166</v>
      </c>
      <c r="L43" t="s">
        <v>166</v>
      </c>
      <c r="N43">
        <v>0</v>
      </c>
      <c r="O43">
        <v>0</v>
      </c>
    </row>
    <row r="44" spans="1:15">
      <c r="A44">
        <v>590026532</v>
      </c>
      <c r="B44" t="s">
        <v>55</v>
      </c>
      <c r="C44" t="s">
        <v>165</v>
      </c>
      <c r="D44" t="s">
        <v>165</v>
      </c>
      <c r="E44" t="s">
        <v>165</v>
      </c>
      <c r="F44" t="s">
        <v>165</v>
      </c>
      <c r="G44" t="s">
        <v>165</v>
      </c>
      <c r="H44" t="s">
        <v>165</v>
      </c>
      <c r="I44" t="s">
        <v>164</v>
      </c>
      <c r="J44" t="s">
        <v>165</v>
      </c>
      <c r="K44" t="s">
        <v>165</v>
      </c>
      <c r="L44" t="s">
        <v>166</v>
      </c>
      <c r="N44">
        <v>30</v>
      </c>
      <c r="O44">
        <v>28.75</v>
      </c>
    </row>
    <row r="45" spans="1:15">
      <c r="A45">
        <v>590028022</v>
      </c>
      <c r="B45" t="s">
        <v>56</v>
      </c>
      <c r="C45" t="s">
        <v>165</v>
      </c>
      <c r="D45" t="s">
        <v>164</v>
      </c>
      <c r="E45" t="s">
        <v>165</v>
      </c>
      <c r="F45" t="s">
        <v>164</v>
      </c>
      <c r="G45" t="s">
        <v>164</v>
      </c>
      <c r="H45" t="s">
        <v>164</v>
      </c>
      <c r="I45" t="s">
        <v>164</v>
      </c>
      <c r="J45" t="s">
        <v>165</v>
      </c>
      <c r="K45" t="s">
        <v>165</v>
      </c>
      <c r="L45" t="s">
        <v>164</v>
      </c>
      <c r="N45">
        <v>16</v>
      </c>
      <c r="O45">
        <v>10</v>
      </c>
    </row>
    <row r="46" spans="1:15">
      <c r="A46">
        <v>590027178</v>
      </c>
      <c r="B46" t="s">
        <v>57</v>
      </c>
      <c r="C46" t="s">
        <v>165</v>
      </c>
      <c r="D46" t="s">
        <v>164</v>
      </c>
      <c r="E46" t="s">
        <v>164</v>
      </c>
      <c r="F46" t="s">
        <v>164</v>
      </c>
      <c r="G46" t="s">
        <v>164</v>
      </c>
      <c r="H46" t="s">
        <v>166</v>
      </c>
      <c r="I46" t="s">
        <v>166</v>
      </c>
      <c r="J46" t="s">
        <v>166</v>
      </c>
      <c r="K46" t="s">
        <v>166</v>
      </c>
      <c r="L46" t="s">
        <v>166</v>
      </c>
      <c r="N46">
        <v>3</v>
      </c>
      <c r="O46">
        <v>0</v>
      </c>
    </row>
    <row r="47" spans="1:15">
      <c r="A47">
        <v>590021377</v>
      </c>
      <c r="B47" t="s">
        <v>58</v>
      </c>
      <c r="C47" t="s">
        <v>165</v>
      </c>
      <c r="D47" t="s">
        <v>165</v>
      </c>
      <c r="E47" t="s">
        <v>166</v>
      </c>
      <c r="F47" t="s">
        <v>166</v>
      </c>
      <c r="G47" t="s">
        <v>165</v>
      </c>
      <c r="H47" t="s">
        <v>165</v>
      </c>
      <c r="I47" t="s">
        <v>165</v>
      </c>
      <c r="J47" t="s">
        <v>166</v>
      </c>
      <c r="K47" t="s">
        <v>166</v>
      </c>
      <c r="L47" t="s">
        <v>165</v>
      </c>
      <c r="N47">
        <v>24</v>
      </c>
      <c r="O47">
        <v>24</v>
      </c>
    </row>
    <row r="48" spans="1:15">
      <c r="A48">
        <v>590027323</v>
      </c>
      <c r="B48" t="s">
        <v>59</v>
      </c>
      <c r="C48" t="s">
        <v>164</v>
      </c>
      <c r="D48" t="s">
        <v>164</v>
      </c>
      <c r="E48" t="s">
        <v>165</v>
      </c>
      <c r="F48" t="s">
        <v>166</v>
      </c>
      <c r="G48" t="s">
        <v>166</v>
      </c>
      <c r="H48" t="s">
        <v>165</v>
      </c>
      <c r="I48" t="s">
        <v>164</v>
      </c>
      <c r="J48" t="s">
        <v>166</v>
      </c>
      <c r="K48" t="s">
        <v>166</v>
      </c>
      <c r="L48" t="s">
        <v>164</v>
      </c>
      <c r="N48">
        <v>8</v>
      </c>
      <c r="O48">
        <v>4</v>
      </c>
    </row>
    <row r="49" spans="1:15">
      <c r="A49">
        <v>590020125</v>
      </c>
      <c r="B49" t="s">
        <v>60</v>
      </c>
      <c r="C49" t="s">
        <v>165</v>
      </c>
      <c r="D49" t="s">
        <v>165</v>
      </c>
      <c r="E49" t="s">
        <v>165</v>
      </c>
      <c r="F49" t="s">
        <v>166</v>
      </c>
      <c r="G49" t="s">
        <v>165</v>
      </c>
      <c r="H49" t="s">
        <v>165</v>
      </c>
      <c r="I49" t="s">
        <v>164</v>
      </c>
      <c r="J49" t="s">
        <v>165</v>
      </c>
      <c r="K49" t="s">
        <v>166</v>
      </c>
      <c r="L49" t="s">
        <v>165</v>
      </c>
      <c r="N49">
        <v>27</v>
      </c>
      <c r="O49">
        <v>25.75</v>
      </c>
    </row>
    <row r="50" spans="1:15">
      <c r="A50">
        <v>590028874</v>
      </c>
      <c r="B50" t="s">
        <v>61</v>
      </c>
      <c r="C50" t="s">
        <v>166</v>
      </c>
      <c r="D50" t="s">
        <v>166</v>
      </c>
      <c r="E50" t="s">
        <v>166</v>
      </c>
      <c r="F50" t="s">
        <v>166</v>
      </c>
      <c r="G50" t="s">
        <v>166</v>
      </c>
      <c r="H50" t="s">
        <v>166</v>
      </c>
      <c r="I50" t="s">
        <v>166</v>
      </c>
      <c r="J50" t="s">
        <v>166</v>
      </c>
      <c r="K50" t="s">
        <v>166</v>
      </c>
      <c r="L50" t="s">
        <v>166</v>
      </c>
      <c r="N50">
        <v>0</v>
      </c>
      <c r="O50">
        <v>0</v>
      </c>
    </row>
    <row r="51" spans="1:15">
      <c r="A51">
        <v>590027885</v>
      </c>
      <c r="B51" t="s">
        <v>62</v>
      </c>
      <c r="C51" t="s">
        <v>164</v>
      </c>
      <c r="D51" t="s">
        <v>165</v>
      </c>
      <c r="E51" t="s">
        <v>166</v>
      </c>
      <c r="F51" t="s">
        <v>165</v>
      </c>
      <c r="G51" t="s">
        <v>164</v>
      </c>
      <c r="H51" t="s">
        <v>164</v>
      </c>
      <c r="I51" t="s">
        <v>164</v>
      </c>
      <c r="J51" t="s">
        <v>165</v>
      </c>
      <c r="K51" t="s">
        <v>165</v>
      </c>
      <c r="L51" t="s">
        <v>165</v>
      </c>
      <c r="N51">
        <v>21</v>
      </c>
      <c r="O51">
        <v>17</v>
      </c>
    </row>
    <row r="52" spans="1:15">
      <c r="A52">
        <v>590026540</v>
      </c>
      <c r="B52" t="s">
        <v>63</v>
      </c>
      <c r="C52" t="s">
        <v>165</v>
      </c>
      <c r="D52" t="s">
        <v>165</v>
      </c>
      <c r="E52" t="s">
        <v>166</v>
      </c>
      <c r="F52" t="s">
        <v>164</v>
      </c>
      <c r="G52" t="s">
        <v>165</v>
      </c>
      <c r="H52" t="s">
        <v>165</v>
      </c>
      <c r="I52" t="s">
        <v>165</v>
      </c>
      <c r="J52" t="s">
        <v>164</v>
      </c>
      <c r="K52" t="s">
        <v>165</v>
      </c>
      <c r="L52" t="s">
        <v>165</v>
      </c>
      <c r="N52">
        <v>29</v>
      </c>
      <c r="O52">
        <v>27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dimension ref="A1:O53"/>
  <sheetViews>
    <sheetView workbookViewId="0">
      <selection activeCell="A13" sqref="A13"/>
    </sheetView>
  </sheetViews>
  <sheetFormatPr defaultRowHeight="15"/>
  <cols>
    <col min="1" max="1" width="10.140625" bestFit="1" customWidth="1"/>
    <col min="2" max="2" width="28.7109375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15" ht="24.75">
      <c r="A1" s="29" t="s">
        <v>167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24.75">
      <c r="A2" s="29" t="str">
        <f>Marksheet!A2</f>
        <v xml:space="preserve">Computational Techniques (CSEG 1023) 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3"/>
      <c r="B3" s="3"/>
      <c r="C3" s="4" t="s">
        <v>168</v>
      </c>
      <c r="D3" s="4" t="s">
        <v>168</v>
      </c>
      <c r="E3" s="4" t="s">
        <v>168</v>
      </c>
      <c r="F3" s="4" t="s">
        <v>168</v>
      </c>
      <c r="G3" s="4" t="s">
        <v>168</v>
      </c>
      <c r="H3" s="4"/>
      <c r="I3" s="4"/>
      <c r="J3" s="4"/>
      <c r="K3" s="4"/>
      <c r="L3" s="4"/>
      <c r="M3" s="4"/>
      <c r="N3" s="3"/>
      <c r="O3" s="3"/>
    </row>
    <row r="4" spans="1:15">
      <c r="A4" s="5" t="s">
        <v>151</v>
      </c>
      <c r="B4" s="5" t="s">
        <v>66</v>
      </c>
      <c r="C4" s="5" t="s">
        <v>152</v>
      </c>
      <c r="D4" s="5" t="s">
        <v>153</v>
      </c>
      <c r="E4" s="5" t="s">
        <v>154</v>
      </c>
      <c r="F4" s="5" t="s">
        <v>155</v>
      </c>
      <c r="G4" s="5" t="s">
        <v>156</v>
      </c>
      <c r="H4" s="5" t="s">
        <v>157</v>
      </c>
      <c r="I4" s="5" t="s">
        <v>158</v>
      </c>
      <c r="J4" s="5" t="s">
        <v>159</v>
      </c>
      <c r="K4" s="5" t="s">
        <v>160</v>
      </c>
      <c r="L4" s="5" t="s">
        <v>161</v>
      </c>
      <c r="M4" s="5" t="s">
        <v>162</v>
      </c>
      <c r="N4" s="5" t="s">
        <v>13</v>
      </c>
      <c r="O4" s="5" t="s">
        <v>14</v>
      </c>
    </row>
    <row r="5" spans="1:15">
      <c r="A5" s="7"/>
      <c r="B5" s="7" t="s">
        <v>16</v>
      </c>
      <c r="C5" s="7">
        <v>8</v>
      </c>
      <c r="D5" s="7">
        <v>8</v>
      </c>
      <c r="E5" s="7">
        <v>8</v>
      </c>
      <c r="F5" s="7">
        <v>8</v>
      </c>
      <c r="G5" s="7">
        <v>8</v>
      </c>
      <c r="H5" s="7"/>
      <c r="I5" s="7"/>
      <c r="J5" s="7"/>
      <c r="K5" s="7"/>
      <c r="L5" s="7"/>
      <c r="M5" s="7"/>
      <c r="N5" s="7">
        <f>SUM(C5:H5)</f>
        <v>40</v>
      </c>
      <c r="O5" s="7"/>
    </row>
    <row r="6" spans="1:15">
      <c r="A6" s="6">
        <f>Marksheet!C5</f>
        <v>590027532</v>
      </c>
      <c r="B6" s="6" t="str">
        <f>Marksheet!B5</f>
        <v>Aanya  Nautiyal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7">
        <f t="shared" ref="N6:N52" si="0">SUM(C6:H6)</f>
        <v>0</v>
      </c>
      <c r="O6" s="3"/>
    </row>
    <row r="7" spans="1:15">
      <c r="A7" s="6">
        <f>Marksheet!C6</f>
        <v>590021539</v>
      </c>
      <c r="B7" s="6" t="str">
        <f>Marksheet!B6</f>
        <v>Aaryan Choubey</v>
      </c>
      <c r="C7" s="3">
        <v>8</v>
      </c>
      <c r="D7" s="3">
        <v>5</v>
      </c>
      <c r="E7" s="3">
        <v>3</v>
      </c>
      <c r="F7" s="3">
        <v>5</v>
      </c>
      <c r="G7" s="3"/>
      <c r="H7" s="3"/>
      <c r="I7" s="3"/>
      <c r="J7" s="3"/>
      <c r="K7" s="3"/>
      <c r="L7" s="3"/>
      <c r="M7" s="3"/>
      <c r="N7" s="7">
        <f t="shared" si="0"/>
        <v>21</v>
      </c>
      <c r="O7" s="3"/>
    </row>
    <row r="8" spans="1:15">
      <c r="A8" s="6">
        <f>Marksheet!C7</f>
        <v>590021092</v>
      </c>
      <c r="B8" s="6" t="str">
        <f>Marksheet!B7</f>
        <v>Aarye  Singhal</v>
      </c>
      <c r="C8" s="3">
        <v>8</v>
      </c>
      <c r="D8" s="3">
        <v>5</v>
      </c>
      <c r="E8" s="3">
        <v>8</v>
      </c>
      <c r="F8" s="3">
        <v>4</v>
      </c>
      <c r="G8" s="3">
        <v>4</v>
      </c>
      <c r="H8" s="3"/>
      <c r="I8" s="3"/>
      <c r="J8" s="3"/>
      <c r="K8" s="3"/>
      <c r="L8" s="3"/>
      <c r="M8" s="3"/>
      <c r="N8" s="7">
        <f t="shared" si="0"/>
        <v>29</v>
      </c>
      <c r="O8" s="3"/>
    </row>
    <row r="9" spans="1:15">
      <c r="A9" s="6">
        <f>Marksheet!C8</f>
        <v>590028566</v>
      </c>
      <c r="B9" s="6" t="str">
        <f>Marksheet!B8</f>
        <v xml:space="preserve">Abhijay  </v>
      </c>
      <c r="C9" s="3">
        <v>3</v>
      </c>
      <c r="D9" s="3">
        <v>4</v>
      </c>
      <c r="E9" s="3">
        <v>7</v>
      </c>
      <c r="F9" s="3">
        <v>4</v>
      </c>
      <c r="G9" s="3">
        <v>1</v>
      </c>
      <c r="H9" s="3"/>
      <c r="I9" s="3"/>
      <c r="J9" s="3"/>
      <c r="K9" s="3"/>
      <c r="L9" s="3"/>
      <c r="M9" s="3"/>
      <c r="N9" s="7">
        <f t="shared" si="0"/>
        <v>19</v>
      </c>
      <c r="O9" s="3"/>
    </row>
    <row r="10" spans="1:15">
      <c r="A10" s="6">
        <f>Marksheet!C9</f>
        <v>590027262</v>
      </c>
      <c r="B10" s="6" t="str">
        <f>Marksheet!B9</f>
        <v>Adarsh Xavier Dadel</v>
      </c>
      <c r="C10" s="3"/>
      <c r="D10" s="3">
        <v>8</v>
      </c>
      <c r="E10" s="3">
        <v>3</v>
      </c>
      <c r="F10" s="3">
        <v>7</v>
      </c>
      <c r="G10" s="3"/>
      <c r="H10" s="3"/>
      <c r="I10" s="3"/>
      <c r="J10" s="3"/>
      <c r="K10" s="3"/>
      <c r="L10" s="3"/>
      <c r="M10" s="3"/>
      <c r="N10" s="7">
        <f t="shared" si="0"/>
        <v>18</v>
      </c>
      <c r="O10" s="3"/>
    </row>
    <row r="11" spans="1:15">
      <c r="A11" s="6">
        <f>Marksheet!C10</f>
        <v>590025408</v>
      </c>
      <c r="B11" s="6" t="str">
        <f>Marksheet!B10</f>
        <v>Aditya  Guleriya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7">
        <f t="shared" si="0"/>
        <v>0</v>
      </c>
      <c r="O11" s="3"/>
    </row>
    <row r="12" spans="1:15">
      <c r="A12" s="6">
        <f>Marksheet!C11</f>
        <v>590028353</v>
      </c>
      <c r="B12" s="6" t="str">
        <f>Marksheet!B11</f>
        <v>Akhil  Kumar</v>
      </c>
      <c r="C12" s="3" t="s">
        <v>169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7">
        <f t="shared" si="0"/>
        <v>0</v>
      </c>
      <c r="O12" s="3"/>
    </row>
    <row r="13" spans="1:15">
      <c r="A13" s="6">
        <f>Marksheet!C12</f>
        <v>590027987</v>
      </c>
      <c r="B13" s="6" t="str">
        <f>Marksheet!B12</f>
        <v>Arpit  Arpit</v>
      </c>
      <c r="C13" s="3"/>
      <c r="D13" s="3"/>
      <c r="E13" s="3">
        <v>4</v>
      </c>
      <c r="F13" s="3">
        <v>8</v>
      </c>
      <c r="G13" s="3"/>
      <c r="H13" s="3"/>
      <c r="I13" s="3"/>
      <c r="J13" s="3"/>
      <c r="K13" s="3"/>
      <c r="L13" s="3"/>
      <c r="M13" s="3"/>
      <c r="N13" s="7">
        <f t="shared" si="0"/>
        <v>12</v>
      </c>
      <c r="O13" s="3"/>
    </row>
    <row r="14" spans="1:15">
      <c r="A14" s="6">
        <f>Marksheet!C13</f>
        <v>590023231</v>
      </c>
      <c r="B14" s="6" t="str">
        <f>Marksheet!B13</f>
        <v>Ayan  Roy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7">
        <f t="shared" si="0"/>
        <v>0</v>
      </c>
      <c r="O14" s="3"/>
    </row>
    <row r="15" spans="1:15">
      <c r="A15" s="6">
        <f>Marksheet!C14</f>
        <v>590028954</v>
      </c>
      <c r="B15" s="6" t="str">
        <f>Marksheet!B14</f>
        <v>Bhavuk  Kakkar</v>
      </c>
      <c r="C15" s="3">
        <v>0</v>
      </c>
      <c r="D15" s="3"/>
      <c r="E15" s="3"/>
      <c r="F15" s="3"/>
      <c r="G15" s="3">
        <v>0</v>
      </c>
      <c r="H15" s="3"/>
      <c r="I15" s="3"/>
      <c r="J15" s="3"/>
      <c r="K15" s="3"/>
      <c r="L15" s="3"/>
      <c r="M15" s="3"/>
      <c r="N15" s="7">
        <f t="shared" si="0"/>
        <v>0</v>
      </c>
      <c r="O15" s="3"/>
    </row>
    <row r="16" spans="1:15">
      <c r="A16" s="6">
        <f>Marksheet!C15</f>
        <v>590021623</v>
      </c>
      <c r="B16" s="6" t="str">
        <f>Marksheet!B15</f>
        <v>Chandan  Kumar</v>
      </c>
      <c r="C16" s="3">
        <v>8</v>
      </c>
      <c r="D16" s="3"/>
      <c r="E16" s="3"/>
      <c r="F16" s="3">
        <v>6</v>
      </c>
      <c r="G16" s="3"/>
      <c r="H16" s="3"/>
      <c r="I16" s="3"/>
      <c r="J16" s="3"/>
      <c r="K16" s="3"/>
      <c r="L16" s="3"/>
      <c r="M16" s="3"/>
      <c r="N16" s="7">
        <f t="shared" si="0"/>
        <v>14</v>
      </c>
      <c r="O16" s="3"/>
    </row>
    <row r="17" spans="1:15">
      <c r="A17" s="6">
        <f>Marksheet!C16</f>
        <v>590027316</v>
      </c>
      <c r="B17" s="6" t="str">
        <f>Marksheet!B16</f>
        <v xml:space="preserve">Chimmay  </v>
      </c>
      <c r="C17" s="3"/>
      <c r="D17" s="3">
        <v>7</v>
      </c>
      <c r="E17" s="3"/>
      <c r="F17" s="3">
        <v>7</v>
      </c>
      <c r="G17" s="3"/>
      <c r="H17" s="3"/>
      <c r="I17" s="3"/>
      <c r="J17" s="3"/>
      <c r="K17" s="3"/>
      <c r="L17" s="3"/>
      <c r="M17" s="3"/>
      <c r="N17" s="7">
        <f t="shared" si="0"/>
        <v>14</v>
      </c>
      <c r="O17" s="3"/>
    </row>
    <row r="18" spans="1:15">
      <c r="A18" s="6">
        <f>Marksheet!C17</f>
        <v>590021231</v>
      </c>
      <c r="B18" s="6" t="str">
        <f>Marksheet!B17</f>
        <v>Dakshita  Sharma</v>
      </c>
      <c r="C18" s="3">
        <v>0</v>
      </c>
      <c r="D18" s="3">
        <v>5</v>
      </c>
      <c r="E18" s="3">
        <v>4</v>
      </c>
      <c r="F18" s="3">
        <v>5</v>
      </c>
      <c r="G18" s="3">
        <v>2</v>
      </c>
      <c r="H18" s="3"/>
      <c r="I18" s="3"/>
      <c r="J18" s="3"/>
      <c r="K18" s="3"/>
      <c r="L18" s="3"/>
      <c r="M18" s="3"/>
      <c r="N18" s="7">
        <f t="shared" si="0"/>
        <v>16</v>
      </c>
      <c r="O18" s="3"/>
    </row>
    <row r="19" spans="1:15">
      <c r="A19" s="6">
        <f>Marksheet!C18</f>
        <v>590020769</v>
      </c>
      <c r="B19" s="6" t="str">
        <f>Marksheet!B18</f>
        <v>Dhairya Yogesh Gandhe</v>
      </c>
      <c r="C19" s="3"/>
      <c r="D19" s="3">
        <v>1</v>
      </c>
      <c r="E19" s="3">
        <v>4</v>
      </c>
      <c r="F19" s="3"/>
      <c r="G19" s="3"/>
      <c r="H19" s="3"/>
      <c r="I19" s="3"/>
      <c r="J19" s="3"/>
      <c r="K19" s="3"/>
      <c r="L19" s="3"/>
      <c r="M19" s="3"/>
      <c r="N19" s="7">
        <f t="shared" si="0"/>
        <v>5</v>
      </c>
      <c r="O19" s="3"/>
    </row>
    <row r="20" spans="1:15">
      <c r="A20" s="6">
        <f>Marksheet!C19</f>
        <v>590027689</v>
      </c>
      <c r="B20" s="6" t="str">
        <f>Marksheet!B19</f>
        <v>Gerudra Pratap Sharma</v>
      </c>
      <c r="C20" s="3" t="s">
        <v>169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7">
        <f t="shared" si="0"/>
        <v>0</v>
      </c>
      <c r="O20" s="3"/>
    </row>
    <row r="21" spans="1:15">
      <c r="A21" s="6">
        <f>Marksheet!C20</f>
        <v>590028120</v>
      </c>
      <c r="B21" s="6" t="str">
        <f>Marksheet!B20</f>
        <v xml:space="preserve">Harshit  </v>
      </c>
      <c r="C21" s="3">
        <v>0</v>
      </c>
      <c r="D21" s="3">
        <v>6</v>
      </c>
      <c r="E21" s="3">
        <v>4</v>
      </c>
      <c r="F21" s="3">
        <v>2</v>
      </c>
      <c r="G21" s="3"/>
      <c r="H21" s="3"/>
      <c r="I21" s="3"/>
      <c r="J21" s="3"/>
      <c r="K21" s="3"/>
      <c r="L21" s="3"/>
      <c r="M21" s="3"/>
      <c r="N21" s="7">
        <f t="shared" si="0"/>
        <v>12</v>
      </c>
      <c r="O21" s="3"/>
    </row>
    <row r="22" spans="1:15">
      <c r="A22" s="6">
        <f>Marksheet!C21</f>
        <v>590029323</v>
      </c>
      <c r="B22" s="6" t="str">
        <f>Marksheet!B21</f>
        <v>Hemant Kumar Patel</v>
      </c>
      <c r="C22" s="3">
        <v>4</v>
      </c>
      <c r="D22" s="3"/>
      <c r="E22" s="3">
        <v>2</v>
      </c>
      <c r="F22" s="3">
        <v>8</v>
      </c>
      <c r="G22" s="3"/>
      <c r="H22" s="3"/>
      <c r="I22" s="3"/>
      <c r="J22" s="3"/>
      <c r="K22" s="3"/>
      <c r="L22" s="3"/>
      <c r="M22" s="3"/>
      <c r="N22" s="7">
        <f t="shared" si="0"/>
        <v>14</v>
      </c>
      <c r="O22" s="3"/>
    </row>
    <row r="23" spans="1:15">
      <c r="A23" s="6">
        <f>Marksheet!C22</f>
        <v>590025404</v>
      </c>
      <c r="B23" s="6" t="str">
        <f>Marksheet!B22</f>
        <v>Irfan Mustafa Mir</v>
      </c>
      <c r="C23" s="3" t="s">
        <v>169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7">
        <f t="shared" si="0"/>
        <v>0</v>
      </c>
      <c r="O23" s="3"/>
    </row>
    <row r="24" spans="1:15">
      <c r="A24" s="6">
        <f>Marksheet!C23</f>
        <v>590024999</v>
      </c>
      <c r="B24" s="6" t="str">
        <f>Marksheet!B23</f>
        <v>Keshav  Dhumas</v>
      </c>
      <c r="C24" s="3"/>
      <c r="D24" s="3">
        <v>5</v>
      </c>
      <c r="E24" s="3">
        <v>4</v>
      </c>
      <c r="F24" s="3">
        <v>1</v>
      </c>
      <c r="G24" s="3"/>
      <c r="H24" s="3"/>
      <c r="I24" s="3"/>
      <c r="J24" s="3"/>
      <c r="K24" s="3"/>
      <c r="L24" s="3"/>
      <c r="M24" s="3"/>
      <c r="N24" s="7">
        <f t="shared" si="0"/>
        <v>10</v>
      </c>
      <c r="O24" s="3"/>
    </row>
    <row r="25" spans="1:15">
      <c r="A25" s="6">
        <f>Marksheet!C24</f>
        <v>590028089</v>
      </c>
      <c r="B25" s="6" t="str">
        <f>Marksheet!B24</f>
        <v>Krish  Kumar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7">
        <f t="shared" si="0"/>
        <v>0</v>
      </c>
      <c r="O25" s="3"/>
    </row>
    <row r="26" spans="1:15">
      <c r="A26" s="6">
        <f>Marksheet!C25</f>
        <v>590029095</v>
      </c>
      <c r="B26" s="6" t="str">
        <f>Marksheet!B25</f>
        <v>Kunal</v>
      </c>
      <c r="C26" s="3" t="s">
        <v>169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7">
        <f t="shared" si="0"/>
        <v>0</v>
      </c>
      <c r="O26" s="3"/>
    </row>
    <row r="27" spans="1:15">
      <c r="A27" s="6">
        <f>Marksheet!C26</f>
        <v>590021216</v>
      </c>
      <c r="B27" s="6" t="str">
        <f>Marksheet!B26</f>
        <v>Mahak  Makheja</v>
      </c>
      <c r="C27" s="3"/>
      <c r="D27" s="3">
        <v>5</v>
      </c>
      <c r="E27" s="3">
        <v>4</v>
      </c>
      <c r="F27" s="3">
        <v>1</v>
      </c>
      <c r="G27" s="3"/>
      <c r="H27" s="3"/>
      <c r="I27" s="3"/>
      <c r="J27" s="3"/>
      <c r="K27" s="3"/>
      <c r="L27" s="3"/>
      <c r="M27" s="3"/>
      <c r="N27" s="7">
        <f t="shared" si="0"/>
        <v>10</v>
      </c>
      <c r="O27" s="3"/>
    </row>
    <row r="28" spans="1:15">
      <c r="A28" s="6">
        <f>Marksheet!C27</f>
        <v>590028121</v>
      </c>
      <c r="B28" s="6" t="str">
        <f>Marksheet!B27</f>
        <v>Manasvi  Dhaundiyal</v>
      </c>
      <c r="C28" s="3"/>
      <c r="D28" s="3">
        <v>6</v>
      </c>
      <c r="E28" s="3"/>
      <c r="F28" s="3">
        <v>2</v>
      </c>
      <c r="G28" s="3">
        <v>8</v>
      </c>
      <c r="H28" s="3"/>
      <c r="I28" s="3"/>
      <c r="J28" s="3"/>
      <c r="K28" s="3"/>
      <c r="L28" s="3"/>
      <c r="M28" s="3"/>
      <c r="N28" s="7">
        <f t="shared" si="0"/>
        <v>16</v>
      </c>
      <c r="O28" s="3"/>
    </row>
    <row r="29" spans="1:15">
      <c r="A29" s="6">
        <f>Marksheet!C28</f>
        <v>590024606</v>
      </c>
      <c r="B29" s="6" t="str">
        <f>Marksheet!B28</f>
        <v>Nainala  Parthu</v>
      </c>
      <c r="C29" s="3"/>
      <c r="D29" s="3"/>
      <c r="E29" s="3"/>
      <c r="F29" s="3">
        <v>2</v>
      </c>
      <c r="G29" s="3"/>
      <c r="H29" s="3"/>
      <c r="I29" s="3"/>
      <c r="J29" s="3"/>
      <c r="K29" s="3"/>
      <c r="L29" s="3"/>
      <c r="M29" s="3"/>
      <c r="N29" s="7">
        <f t="shared" si="0"/>
        <v>2</v>
      </c>
      <c r="O29" s="3"/>
    </row>
    <row r="30" spans="1:15">
      <c r="A30" s="6">
        <f>Marksheet!C29</f>
        <v>590024262</v>
      </c>
      <c r="B30" s="6" t="str">
        <f>Marksheet!B29</f>
        <v>Navya  Kwatra</v>
      </c>
      <c r="C30" s="3" t="s">
        <v>169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7">
        <f t="shared" si="0"/>
        <v>0</v>
      </c>
      <c r="O30" s="3"/>
    </row>
    <row r="31" spans="1:15">
      <c r="A31" s="6">
        <f>Marksheet!C30</f>
        <v>590021484</v>
      </c>
      <c r="B31" s="6" t="str">
        <f>Marksheet!B30</f>
        <v>Navya  Sagar</v>
      </c>
      <c r="C31" s="3">
        <v>3</v>
      </c>
      <c r="D31" s="3">
        <v>4</v>
      </c>
      <c r="E31" s="3">
        <v>2</v>
      </c>
      <c r="F31" s="3"/>
      <c r="G31" s="3"/>
      <c r="H31" s="3"/>
      <c r="I31" s="3"/>
      <c r="J31" s="3"/>
      <c r="K31" s="3"/>
      <c r="L31" s="3"/>
      <c r="M31" s="3"/>
      <c r="N31" s="7">
        <f t="shared" si="0"/>
        <v>9</v>
      </c>
      <c r="O31" s="3"/>
    </row>
    <row r="32" spans="1:15">
      <c r="A32" s="6">
        <f>Marksheet!C31</f>
        <v>590027317</v>
      </c>
      <c r="B32" s="6" t="str">
        <f>Marksheet!B31</f>
        <v>Onjoli G Shinde</v>
      </c>
      <c r="C32" s="3">
        <v>0</v>
      </c>
      <c r="D32" s="3">
        <v>6</v>
      </c>
      <c r="E32" s="3">
        <v>4</v>
      </c>
      <c r="F32" s="3">
        <v>1</v>
      </c>
      <c r="G32" s="3">
        <v>4</v>
      </c>
      <c r="H32" s="3"/>
      <c r="I32" s="3"/>
      <c r="J32" s="3"/>
      <c r="K32" s="3"/>
      <c r="L32" s="3"/>
      <c r="M32" s="3"/>
      <c r="N32" s="7">
        <f t="shared" si="0"/>
        <v>15</v>
      </c>
      <c r="O32" s="3"/>
    </row>
    <row r="33" spans="1:15">
      <c r="A33" s="6">
        <f>Marksheet!C32</f>
        <v>590022345</v>
      </c>
      <c r="B33" s="6" t="str">
        <f>Marksheet!B32</f>
        <v>Pakhi  Dhanai</v>
      </c>
      <c r="C33" s="3">
        <v>0</v>
      </c>
      <c r="D33" s="3">
        <v>6</v>
      </c>
      <c r="E33" s="3"/>
      <c r="F33" s="3"/>
      <c r="G33" s="3">
        <v>4</v>
      </c>
      <c r="H33" s="3"/>
      <c r="I33" s="3"/>
      <c r="J33" s="3"/>
      <c r="K33" s="3"/>
      <c r="L33" s="3"/>
      <c r="M33" s="3"/>
      <c r="N33" s="7">
        <f t="shared" si="0"/>
        <v>10</v>
      </c>
      <c r="O33" s="3"/>
    </row>
    <row r="34" spans="1:15">
      <c r="A34" s="6">
        <f>Marksheet!C33</f>
        <v>590028128</v>
      </c>
      <c r="B34" s="6" t="str">
        <f>Marksheet!B33</f>
        <v>Prabhakar  Singh</v>
      </c>
      <c r="C34" s="3">
        <v>0</v>
      </c>
      <c r="D34" s="3">
        <v>4</v>
      </c>
      <c r="E34" s="3">
        <v>3</v>
      </c>
      <c r="F34" s="3">
        <v>8</v>
      </c>
      <c r="G34" s="3">
        <v>1</v>
      </c>
      <c r="H34" s="3"/>
      <c r="I34" s="3"/>
      <c r="J34" s="3"/>
      <c r="K34" s="3"/>
      <c r="L34" s="3"/>
      <c r="M34" s="3"/>
      <c r="N34" s="7">
        <f t="shared" si="0"/>
        <v>16</v>
      </c>
      <c r="O34" s="3"/>
    </row>
    <row r="35" spans="1:15">
      <c r="A35" s="6">
        <f>Marksheet!C34</f>
        <v>590027661</v>
      </c>
      <c r="B35" s="6" t="str">
        <f>Marksheet!B34</f>
        <v>Rachit  Bhatia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3"/>
      <c r="N35" s="7">
        <f t="shared" si="0"/>
        <v>1</v>
      </c>
      <c r="O35" s="3"/>
    </row>
    <row r="36" spans="1:15">
      <c r="A36" s="6">
        <f>Marksheet!C35</f>
        <v>590024854</v>
      </c>
      <c r="B36" s="6" t="str">
        <f>Marksheet!B35</f>
        <v>Ritika  Saini</v>
      </c>
      <c r="C36" s="3">
        <v>0</v>
      </c>
      <c r="D36" s="3">
        <v>6</v>
      </c>
      <c r="E36" s="3">
        <v>5</v>
      </c>
      <c r="F36" s="3">
        <v>6</v>
      </c>
      <c r="G36" s="3">
        <v>8</v>
      </c>
      <c r="H36" s="3"/>
      <c r="I36" s="3"/>
      <c r="J36" s="3"/>
      <c r="K36" s="3"/>
      <c r="L36" s="3"/>
      <c r="M36" s="3"/>
      <c r="N36" s="7">
        <f t="shared" si="0"/>
        <v>25</v>
      </c>
      <c r="O36" s="3"/>
    </row>
    <row r="37" spans="1:15">
      <c r="A37" s="6">
        <f>Marksheet!C36</f>
        <v>590027466</v>
      </c>
      <c r="B37" s="6" t="str">
        <f>Marksheet!B36</f>
        <v>Rohit  Tiwari</v>
      </c>
      <c r="C37" s="3"/>
      <c r="D37" s="3">
        <v>4</v>
      </c>
      <c r="E37" s="3"/>
      <c r="F37" s="3"/>
      <c r="G37" s="3">
        <v>2</v>
      </c>
      <c r="H37" s="3"/>
      <c r="I37" s="3"/>
      <c r="J37" s="3"/>
      <c r="K37" s="3"/>
      <c r="L37" s="3"/>
      <c r="M37" s="3"/>
      <c r="N37" s="7">
        <f t="shared" si="0"/>
        <v>6</v>
      </c>
      <c r="O37" s="3"/>
    </row>
    <row r="38" spans="1:15">
      <c r="A38" s="6">
        <f>Marksheet!C37</f>
        <v>590025203</v>
      </c>
      <c r="B38" s="6" t="str">
        <f>Marksheet!B37</f>
        <v>Sachwlang  Debbarma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7">
        <f t="shared" si="0"/>
        <v>0</v>
      </c>
      <c r="O38" s="3"/>
    </row>
    <row r="39" spans="1:15">
      <c r="A39" s="6">
        <f>Marksheet!C38</f>
        <v>590026536</v>
      </c>
      <c r="B39" s="6" t="str">
        <f>Marksheet!B38</f>
        <v>Saksham  Mahto</v>
      </c>
      <c r="C39" s="3"/>
      <c r="D39" s="3">
        <v>3</v>
      </c>
      <c r="E39" s="3">
        <v>3</v>
      </c>
      <c r="F39" s="3">
        <v>2</v>
      </c>
      <c r="G39" s="3"/>
      <c r="H39" s="3"/>
      <c r="I39" s="3"/>
      <c r="J39" s="3"/>
      <c r="K39" s="3"/>
      <c r="L39" s="3"/>
      <c r="M39" s="3"/>
      <c r="N39" s="7">
        <f t="shared" si="0"/>
        <v>8</v>
      </c>
      <c r="O39" s="3"/>
    </row>
    <row r="40" spans="1:15">
      <c r="A40" s="6">
        <f>Marksheet!C39</f>
        <v>590024251</v>
      </c>
      <c r="B40" s="6" t="str">
        <f>Marksheet!B39</f>
        <v>Samarjeet  Lawankar</v>
      </c>
      <c r="C40" s="3">
        <v>2</v>
      </c>
      <c r="D40" s="3">
        <v>1</v>
      </c>
      <c r="E40" s="3">
        <v>1</v>
      </c>
      <c r="F40" s="3"/>
      <c r="G40" s="3"/>
      <c r="H40" s="3"/>
      <c r="I40" s="3"/>
      <c r="J40" s="3"/>
      <c r="K40" s="3"/>
      <c r="L40" s="3"/>
      <c r="M40" s="3"/>
      <c r="N40" s="7">
        <f t="shared" si="0"/>
        <v>4</v>
      </c>
      <c r="O40" s="3"/>
    </row>
    <row r="41" spans="1:15">
      <c r="A41" s="6">
        <f>Marksheet!C40</f>
        <v>590027669</v>
      </c>
      <c r="B41" s="6" t="str">
        <f>Marksheet!B40</f>
        <v>Shivani  Bajpai</v>
      </c>
      <c r="C41" s="3">
        <v>0</v>
      </c>
      <c r="D41" s="3">
        <v>4</v>
      </c>
      <c r="E41" s="3">
        <v>7</v>
      </c>
      <c r="F41" s="3">
        <v>4</v>
      </c>
      <c r="G41" s="3">
        <v>4</v>
      </c>
      <c r="H41" s="3"/>
      <c r="I41" s="3"/>
      <c r="J41" s="3"/>
      <c r="K41" s="3"/>
      <c r="L41" s="3"/>
      <c r="M41" s="3"/>
      <c r="N41" s="7">
        <f t="shared" si="0"/>
        <v>19</v>
      </c>
      <c r="O41" s="3"/>
    </row>
    <row r="42" spans="1:15">
      <c r="A42" s="6">
        <f>Marksheet!C41</f>
        <v>590024466</v>
      </c>
      <c r="B42" s="6" t="str">
        <f>Marksheet!B41</f>
        <v>Shobin M Shibu</v>
      </c>
      <c r="C42" s="3" t="s">
        <v>169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7">
        <f t="shared" si="0"/>
        <v>0</v>
      </c>
      <c r="O42" s="3"/>
    </row>
    <row r="43" spans="1:15">
      <c r="A43" s="6">
        <f>Marksheet!C42</f>
        <v>590024746</v>
      </c>
      <c r="B43" s="6" t="str">
        <f>Marksheet!B42</f>
        <v>Shreyansh  Soni</v>
      </c>
      <c r="C43" s="3"/>
      <c r="D43" s="3">
        <v>7</v>
      </c>
      <c r="E43" s="3">
        <v>3</v>
      </c>
      <c r="F43" s="3">
        <v>7</v>
      </c>
      <c r="G43" s="3"/>
      <c r="H43" s="3"/>
      <c r="I43" s="3"/>
      <c r="J43" s="3"/>
      <c r="K43" s="3"/>
      <c r="L43" s="3"/>
      <c r="M43" s="3"/>
      <c r="N43" s="7">
        <f t="shared" si="0"/>
        <v>17</v>
      </c>
      <c r="O43" s="3"/>
    </row>
    <row r="44" spans="1:15">
      <c r="A44" s="6">
        <f>Marksheet!C43</f>
        <v>590026532</v>
      </c>
      <c r="B44" s="6" t="str">
        <f>Marksheet!B43</f>
        <v>Siddhika  Gupta</v>
      </c>
      <c r="C44" s="3">
        <v>2</v>
      </c>
      <c r="D44" s="3">
        <v>5</v>
      </c>
      <c r="E44" s="3">
        <v>6</v>
      </c>
      <c r="F44" s="3">
        <v>0</v>
      </c>
      <c r="G44" s="3">
        <v>1</v>
      </c>
      <c r="H44" s="3"/>
      <c r="I44" s="3"/>
      <c r="J44" s="3"/>
      <c r="K44" s="3"/>
      <c r="L44" s="3"/>
      <c r="M44" s="3"/>
      <c r="N44" s="7">
        <f t="shared" si="0"/>
        <v>14</v>
      </c>
      <c r="O44" s="3"/>
    </row>
    <row r="45" spans="1:15">
      <c r="A45" s="6">
        <f>Marksheet!C44</f>
        <v>590028022</v>
      </c>
      <c r="B45" s="6" t="str">
        <f>Marksheet!B44</f>
        <v>Souradeep  Saha</v>
      </c>
      <c r="C45" s="3"/>
      <c r="D45" s="3">
        <v>1</v>
      </c>
      <c r="E45" s="3">
        <v>6</v>
      </c>
      <c r="F45" s="3">
        <v>2</v>
      </c>
      <c r="G45" s="3"/>
      <c r="H45" s="3"/>
      <c r="I45" s="3"/>
      <c r="J45" s="3"/>
      <c r="K45" s="3"/>
      <c r="L45" s="3"/>
      <c r="M45" s="3"/>
      <c r="N45" s="7">
        <f t="shared" si="0"/>
        <v>9</v>
      </c>
      <c r="O45" s="3"/>
    </row>
    <row r="46" spans="1:15">
      <c r="A46" s="6">
        <f>Marksheet!C45</f>
        <v>590027178</v>
      </c>
      <c r="B46" s="6" t="str">
        <f>Marksheet!B45</f>
        <v>Sunny  Tomar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/>
      <c r="J46" s="3"/>
      <c r="K46" s="3"/>
      <c r="L46" s="3"/>
      <c r="M46" s="3"/>
      <c r="N46" s="7">
        <f t="shared" si="0"/>
        <v>0</v>
      </c>
      <c r="O46" s="3"/>
    </row>
    <row r="47" spans="1:15">
      <c r="A47" s="6">
        <f>Marksheet!C46</f>
        <v>590021377</v>
      </c>
      <c r="B47" s="6" t="str">
        <f>Marksheet!B46</f>
        <v>Suryansh Singh Manwal</v>
      </c>
      <c r="C47" s="3">
        <v>8</v>
      </c>
      <c r="D47" s="3">
        <v>6</v>
      </c>
      <c r="E47" s="3">
        <v>1</v>
      </c>
      <c r="F47" s="3">
        <v>1</v>
      </c>
      <c r="G47" s="3">
        <v>3</v>
      </c>
      <c r="H47" s="3"/>
      <c r="I47" s="3"/>
      <c r="J47" s="3"/>
      <c r="K47" s="3"/>
      <c r="L47" s="3"/>
      <c r="M47" s="3"/>
      <c r="N47" s="7">
        <f t="shared" si="0"/>
        <v>19</v>
      </c>
      <c r="O47" s="3"/>
    </row>
    <row r="48" spans="1:15">
      <c r="A48" s="6">
        <f>Marksheet!C47</f>
        <v>590027323</v>
      </c>
      <c r="B48" s="6" t="str">
        <f>Marksheet!B47</f>
        <v>Tanishka  Pokhriyal</v>
      </c>
      <c r="C48" s="3"/>
      <c r="D48" s="3">
        <v>4</v>
      </c>
      <c r="E48" s="3">
        <v>6</v>
      </c>
      <c r="F48" s="3"/>
      <c r="G48" s="3"/>
      <c r="H48" s="3"/>
      <c r="I48" s="3"/>
      <c r="J48" s="3"/>
      <c r="K48" s="3"/>
      <c r="L48" s="3"/>
      <c r="M48" s="3"/>
      <c r="N48" s="7">
        <f t="shared" si="0"/>
        <v>10</v>
      </c>
      <c r="O48" s="3"/>
    </row>
    <row r="49" spans="1:15">
      <c r="A49" s="6">
        <f>Marksheet!C48</f>
        <v>590020125</v>
      </c>
      <c r="B49" s="6" t="str">
        <f>Marksheet!B48</f>
        <v>Telikicherla V R R S Sritodbhav</v>
      </c>
      <c r="C49" s="3">
        <v>6</v>
      </c>
      <c r="D49" s="3"/>
      <c r="E49" s="3">
        <v>7</v>
      </c>
      <c r="F49" s="3"/>
      <c r="G49" s="3"/>
      <c r="H49" s="3"/>
      <c r="I49" s="3"/>
      <c r="J49" s="3"/>
      <c r="K49" s="3"/>
      <c r="L49" s="3"/>
      <c r="M49" s="3"/>
      <c r="N49" s="7">
        <f t="shared" si="0"/>
        <v>13</v>
      </c>
      <c r="O49" s="3"/>
    </row>
    <row r="50" spans="1:15">
      <c r="A50" s="6">
        <f>Marksheet!C49</f>
        <v>590028874</v>
      </c>
      <c r="B50" s="6" t="str">
        <f>Marksheet!B49</f>
        <v>Vaishnavi  Rawat</v>
      </c>
      <c r="C50" s="3"/>
      <c r="D50" s="3">
        <v>4</v>
      </c>
      <c r="E50" s="3"/>
      <c r="F50" s="3"/>
      <c r="G50" s="3"/>
      <c r="H50" s="3"/>
      <c r="I50" s="3"/>
      <c r="J50" s="3"/>
      <c r="K50" s="3"/>
      <c r="L50" s="3"/>
      <c r="M50" s="3"/>
      <c r="N50" s="7">
        <f t="shared" si="0"/>
        <v>4</v>
      </c>
      <c r="O50" s="3"/>
    </row>
    <row r="51" spans="1:15">
      <c r="A51" s="6">
        <f>Marksheet!C50</f>
        <v>590027885</v>
      </c>
      <c r="B51" s="6" t="str">
        <f>Marksheet!B50</f>
        <v xml:space="preserve">Vivek  </v>
      </c>
      <c r="C51" s="3"/>
      <c r="D51" s="3">
        <v>6</v>
      </c>
      <c r="E51" s="3">
        <v>7</v>
      </c>
      <c r="F51" s="3"/>
      <c r="G51" s="3">
        <v>2</v>
      </c>
      <c r="H51" s="3"/>
      <c r="I51" s="3"/>
      <c r="J51" s="3"/>
      <c r="K51" s="3"/>
      <c r="L51" s="3"/>
      <c r="M51" s="3"/>
      <c r="N51" s="7">
        <f t="shared" si="0"/>
        <v>15</v>
      </c>
      <c r="O51" s="3"/>
    </row>
    <row r="52" spans="1:15">
      <c r="A52" s="6">
        <f>Marksheet!C51</f>
        <v>590026540</v>
      </c>
      <c r="B52" s="6" t="str">
        <f>Marksheet!B51</f>
        <v>Yashi  Sharma</v>
      </c>
      <c r="C52" s="3" t="s">
        <v>169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7">
        <f t="shared" si="0"/>
        <v>0</v>
      </c>
      <c r="O52" s="3"/>
    </row>
    <row r="53" spans="1:15">
      <c r="A53" s="6">
        <f>Marksheet!C52</f>
        <v>0</v>
      </c>
      <c r="B53" s="6">
        <f>Marksheet!B52</f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</sheetData>
  <mergeCells count="2">
    <mergeCell ref="A1:O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9095-8089-4E4B-9D63-990F0C1A40D3}">
  <dimension ref="A1:F53"/>
  <sheetViews>
    <sheetView workbookViewId="0">
      <selection activeCell="A11" sqref="A11"/>
    </sheetView>
  </sheetViews>
  <sheetFormatPr defaultRowHeight="15"/>
  <cols>
    <col min="1" max="1" width="10.140625" bestFit="1" customWidth="1"/>
    <col min="2" max="2" width="28.7109375" customWidth="1"/>
    <col min="3" max="3" width="11.7109375" customWidth="1"/>
    <col min="4" max="4" width="12.42578125" bestFit="1" customWidth="1"/>
    <col min="5" max="5" width="6.5703125" customWidth="1"/>
    <col min="6" max="6" width="4.7109375" bestFit="1" customWidth="1"/>
  </cols>
  <sheetData>
    <row r="1" spans="1:6" ht="24.75">
      <c r="A1" s="29" t="s">
        <v>170</v>
      </c>
      <c r="B1" s="29"/>
      <c r="C1" s="29"/>
      <c r="D1" s="29"/>
      <c r="E1" s="29"/>
      <c r="F1" s="29"/>
    </row>
    <row r="2" spans="1:6" ht="24.75">
      <c r="A2" s="29" t="str">
        <f>Marksheet!A2</f>
        <v xml:space="preserve">Computational Techniques (CSEG 1023) </v>
      </c>
      <c r="B2" s="32"/>
      <c r="C2" s="32"/>
      <c r="D2" s="32"/>
      <c r="E2" s="32"/>
      <c r="F2" s="32"/>
    </row>
    <row r="3" spans="1:6">
      <c r="A3" s="3"/>
      <c r="B3" s="3"/>
      <c r="C3" s="4"/>
      <c r="D3" s="4"/>
      <c r="E3" s="3"/>
      <c r="F3" s="3"/>
    </row>
    <row r="4" spans="1:6">
      <c r="A4" s="5" t="s">
        <v>151</v>
      </c>
      <c r="B4" s="5" t="s">
        <v>66</v>
      </c>
      <c r="C4" s="5" t="s">
        <v>171</v>
      </c>
      <c r="D4" s="5" t="s">
        <v>10</v>
      </c>
      <c r="E4" s="5" t="s">
        <v>13</v>
      </c>
      <c r="F4" s="5" t="s">
        <v>14</v>
      </c>
    </row>
    <row r="5" spans="1:6">
      <c r="A5" s="7"/>
      <c r="B5" s="7" t="s">
        <v>16</v>
      </c>
      <c r="C5" s="7">
        <v>25</v>
      </c>
      <c r="D5" s="7">
        <v>25</v>
      </c>
      <c r="E5" s="7">
        <f>SUM(C5:D5)</f>
        <v>50</v>
      </c>
      <c r="F5" s="7"/>
    </row>
    <row r="6" spans="1:6">
      <c r="A6" s="6">
        <f>Marksheet!C5</f>
        <v>590027532</v>
      </c>
      <c r="B6" s="6" t="str">
        <f>Marksheet!B5</f>
        <v>Aanya  Nautiyal</v>
      </c>
      <c r="C6" s="3">
        <v>22</v>
      </c>
      <c r="D6" s="3">
        <v>19</v>
      </c>
      <c r="E6" s="7">
        <f t="shared" ref="E6:E52" si="0">SUM(C6:D6)</f>
        <v>41</v>
      </c>
      <c r="F6" s="3"/>
    </row>
    <row r="7" spans="1:6">
      <c r="A7" s="6">
        <f>Marksheet!C6</f>
        <v>590021539</v>
      </c>
      <c r="B7" s="6" t="str">
        <f>Marksheet!B6</f>
        <v>Aaryan Choubey</v>
      </c>
      <c r="C7" s="3">
        <v>23</v>
      </c>
      <c r="D7" s="3">
        <v>24</v>
      </c>
      <c r="E7" s="7">
        <f t="shared" si="0"/>
        <v>47</v>
      </c>
      <c r="F7" s="3"/>
    </row>
    <row r="8" spans="1:6">
      <c r="A8" s="6">
        <f>Marksheet!C7</f>
        <v>590021092</v>
      </c>
      <c r="B8" s="6" t="str">
        <f>Marksheet!B7</f>
        <v>Aarye  Singhal</v>
      </c>
      <c r="C8" s="3">
        <v>21</v>
      </c>
      <c r="D8" s="3">
        <v>23</v>
      </c>
      <c r="E8" s="7">
        <f t="shared" si="0"/>
        <v>44</v>
      </c>
      <c r="F8" s="3"/>
    </row>
    <row r="9" spans="1:6">
      <c r="A9" s="6">
        <f>Marksheet!C8</f>
        <v>590028566</v>
      </c>
      <c r="B9" s="6" t="str">
        <f>Marksheet!B8</f>
        <v xml:space="preserve">Abhijay  </v>
      </c>
      <c r="C9" s="3">
        <v>21</v>
      </c>
      <c r="D9" s="3">
        <v>24</v>
      </c>
      <c r="E9" s="7">
        <f t="shared" si="0"/>
        <v>45</v>
      </c>
      <c r="F9" s="3"/>
    </row>
    <row r="10" spans="1:6">
      <c r="A10" s="6">
        <f>Marksheet!C9</f>
        <v>590027262</v>
      </c>
      <c r="B10" s="6" t="str">
        <f>Marksheet!B9</f>
        <v>Adarsh Xavier Dadel</v>
      </c>
      <c r="C10" s="3">
        <v>22</v>
      </c>
      <c r="D10" s="3">
        <v>15</v>
      </c>
      <c r="E10" s="7">
        <f t="shared" si="0"/>
        <v>37</v>
      </c>
      <c r="F10" s="3"/>
    </row>
    <row r="11" spans="1:6">
      <c r="A11" s="6">
        <f>Marksheet!C10</f>
        <v>590025408</v>
      </c>
      <c r="B11" s="6" t="str">
        <f>Marksheet!B10</f>
        <v>Aditya  Guleriya</v>
      </c>
      <c r="C11" s="3">
        <v>21</v>
      </c>
      <c r="D11" s="3">
        <v>20</v>
      </c>
      <c r="E11" s="7">
        <f t="shared" si="0"/>
        <v>41</v>
      </c>
      <c r="F11" s="3"/>
    </row>
    <row r="12" spans="1:6">
      <c r="A12" s="6">
        <f>Marksheet!C11</f>
        <v>590028353</v>
      </c>
      <c r="B12" s="6" t="str">
        <f>Marksheet!B11</f>
        <v>Akhil  Kumar</v>
      </c>
      <c r="C12" s="3" t="s">
        <v>169</v>
      </c>
      <c r="D12" s="3" t="s">
        <v>169</v>
      </c>
      <c r="E12" s="7">
        <f t="shared" si="0"/>
        <v>0</v>
      </c>
      <c r="F12" s="3"/>
    </row>
    <row r="13" spans="1:6">
      <c r="A13" s="6">
        <f>Marksheet!C12</f>
        <v>590027987</v>
      </c>
      <c r="B13" s="6" t="str">
        <f>Marksheet!B12</f>
        <v>Arpit  Arpit</v>
      </c>
      <c r="C13" s="3">
        <v>23</v>
      </c>
      <c r="D13" s="3" t="s">
        <v>169</v>
      </c>
      <c r="E13" s="7">
        <f t="shared" si="0"/>
        <v>23</v>
      </c>
      <c r="F13" s="3"/>
    </row>
    <row r="14" spans="1:6">
      <c r="A14" s="6">
        <f>Marksheet!C13</f>
        <v>590023231</v>
      </c>
      <c r="B14" s="6" t="str">
        <f>Marksheet!B13</f>
        <v>Ayan  Roy</v>
      </c>
      <c r="C14" s="3">
        <v>23</v>
      </c>
      <c r="D14" s="3">
        <v>22</v>
      </c>
      <c r="E14" s="7">
        <f t="shared" si="0"/>
        <v>45</v>
      </c>
      <c r="F14" s="3"/>
    </row>
    <row r="15" spans="1:6">
      <c r="A15" s="6">
        <f>Marksheet!C14</f>
        <v>590028954</v>
      </c>
      <c r="B15" s="6" t="str">
        <f>Marksheet!B14</f>
        <v>Bhavuk  Kakkar</v>
      </c>
      <c r="C15" s="3">
        <v>23</v>
      </c>
      <c r="D15" s="3">
        <v>21</v>
      </c>
      <c r="E15" s="7">
        <f t="shared" si="0"/>
        <v>44</v>
      </c>
      <c r="F15" s="3"/>
    </row>
    <row r="16" spans="1:6">
      <c r="A16" s="6">
        <f>Marksheet!C15</f>
        <v>590021623</v>
      </c>
      <c r="B16" s="6" t="str">
        <f>Marksheet!B15</f>
        <v>Chandan  Kumar</v>
      </c>
      <c r="C16" s="3">
        <v>23</v>
      </c>
      <c r="D16" s="3">
        <v>18</v>
      </c>
      <c r="E16" s="7">
        <f t="shared" si="0"/>
        <v>41</v>
      </c>
      <c r="F16" s="3"/>
    </row>
    <row r="17" spans="1:6">
      <c r="A17" s="6">
        <f>Marksheet!C16</f>
        <v>590027316</v>
      </c>
      <c r="B17" s="6" t="str">
        <f>Marksheet!B16</f>
        <v xml:space="preserve">Chimmay  </v>
      </c>
      <c r="C17" s="3">
        <v>23</v>
      </c>
      <c r="D17" s="3">
        <v>23</v>
      </c>
      <c r="E17" s="7">
        <f t="shared" si="0"/>
        <v>46</v>
      </c>
      <c r="F17" s="3"/>
    </row>
    <row r="18" spans="1:6">
      <c r="A18" s="6">
        <f>Marksheet!C17</f>
        <v>590021231</v>
      </c>
      <c r="B18" s="6" t="str">
        <f>Marksheet!B17</f>
        <v>Dakshita  Sharma</v>
      </c>
      <c r="C18" s="3">
        <v>23</v>
      </c>
      <c r="D18" s="3">
        <v>22</v>
      </c>
      <c r="E18" s="7">
        <f t="shared" si="0"/>
        <v>45</v>
      </c>
      <c r="F18" s="3"/>
    </row>
    <row r="19" spans="1:6">
      <c r="A19" s="6">
        <f>Marksheet!C18</f>
        <v>590020769</v>
      </c>
      <c r="B19" s="6" t="str">
        <f>Marksheet!B18</f>
        <v>Dhairya Yogesh Gandhe</v>
      </c>
      <c r="C19" s="3">
        <v>21</v>
      </c>
      <c r="D19" s="3">
        <v>20</v>
      </c>
      <c r="E19" s="7">
        <f t="shared" si="0"/>
        <v>41</v>
      </c>
      <c r="F19" s="3"/>
    </row>
    <row r="20" spans="1:6">
      <c r="A20" s="6">
        <f>Marksheet!C19</f>
        <v>590027689</v>
      </c>
      <c r="B20" s="6" t="str">
        <f>Marksheet!B19</f>
        <v>Gerudra Pratap Sharma</v>
      </c>
      <c r="C20" s="3">
        <v>23</v>
      </c>
      <c r="D20" s="3">
        <v>19</v>
      </c>
      <c r="E20" s="7">
        <f t="shared" si="0"/>
        <v>42</v>
      </c>
      <c r="F20" s="3"/>
    </row>
    <row r="21" spans="1:6">
      <c r="A21" s="6">
        <f>Marksheet!C20</f>
        <v>590028120</v>
      </c>
      <c r="B21" s="6" t="str">
        <f>Marksheet!B20</f>
        <v xml:space="preserve">Harshit  </v>
      </c>
      <c r="C21" s="3">
        <v>21</v>
      </c>
      <c r="D21" s="3">
        <v>23</v>
      </c>
      <c r="E21" s="7">
        <f t="shared" si="0"/>
        <v>44</v>
      </c>
      <c r="F21" s="3"/>
    </row>
    <row r="22" spans="1:6">
      <c r="A22" s="6">
        <f>Marksheet!C21</f>
        <v>590029323</v>
      </c>
      <c r="B22" s="6" t="str">
        <f>Marksheet!B21</f>
        <v>Hemant Kumar Patel</v>
      </c>
      <c r="C22" s="3">
        <v>23</v>
      </c>
      <c r="D22" s="3">
        <v>19</v>
      </c>
      <c r="E22" s="7">
        <f t="shared" si="0"/>
        <v>42</v>
      </c>
      <c r="F22" s="3"/>
    </row>
    <row r="23" spans="1:6">
      <c r="A23" s="6">
        <f>Marksheet!C22</f>
        <v>590025404</v>
      </c>
      <c r="B23" s="6" t="str">
        <f>Marksheet!B22</f>
        <v>Irfan Mustafa Mir</v>
      </c>
      <c r="C23" s="3" t="s">
        <v>169</v>
      </c>
      <c r="D23" s="3" t="s">
        <v>169</v>
      </c>
      <c r="E23" s="7">
        <f t="shared" si="0"/>
        <v>0</v>
      </c>
      <c r="F23" s="3"/>
    </row>
    <row r="24" spans="1:6">
      <c r="A24" s="6">
        <f>Marksheet!C23</f>
        <v>590024999</v>
      </c>
      <c r="B24" s="6" t="str">
        <f>Marksheet!B23</f>
        <v>Keshav  Dhumas</v>
      </c>
      <c r="C24" s="3">
        <v>23</v>
      </c>
      <c r="D24" s="3">
        <v>20</v>
      </c>
      <c r="E24" s="7">
        <f t="shared" si="0"/>
        <v>43</v>
      </c>
      <c r="F24" s="3"/>
    </row>
    <row r="25" spans="1:6">
      <c r="A25" s="6">
        <f>Marksheet!C24</f>
        <v>590028089</v>
      </c>
      <c r="B25" s="6" t="str">
        <f>Marksheet!B24</f>
        <v>Krish  Kumar</v>
      </c>
      <c r="C25" s="3">
        <v>24</v>
      </c>
      <c r="D25" s="3">
        <v>21</v>
      </c>
      <c r="E25" s="7">
        <f t="shared" si="0"/>
        <v>45</v>
      </c>
      <c r="F25" s="3"/>
    </row>
    <row r="26" spans="1:6">
      <c r="A26" s="6">
        <f>Marksheet!C25</f>
        <v>590029095</v>
      </c>
      <c r="B26" s="6" t="str">
        <f>Marksheet!B25</f>
        <v>Kunal</v>
      </c>
      <c r="C26" s="3">
        <v>22</v>
      </c>
      <c r="D26" s="3">
        <v>15</v>
      </c>
      <c r="E26" s="7">
        <f t="shared" si="0"/>
        <v>37</v>
      </c>
      <c r="F26" s="3"/>
    </row>
    <row r="27" spans="1:6">
      <c r="A27" s="6">
        <f>Marksheet!C26</f>
        <v>590021216</v>
      </c>
      <c r="B27" s="6" t="str">
        <f>Marksheet!B26</f>
        <v>Mahak  Makheja</v>
      </c>
      <c r="C27" s="3">
        <v>23</v>
      </c>
      <c r="D27" s="3">
        <v>19</v>
      </c>
      <c r="E27" s="7">
        <f t="shared" si="0"/>
        <v>42</v>
      </c>
      <c r="F27" s="3"/>
    </row>
    <row r="28" spans="1:6">
      <c r="A28" s="6">
        <f>Marksheet!C27</f>
        <v>590028121</v>
      </c>
      <c r="B28" s="6" t="str">
        <f>Marksheet!B27</f>
        <v>Manasvi  Dhaundiyal</v>
      </c>
      <c r="C28" s="3">
        <v>23</v>
      </c>
      <c r="D28" s="3">
        <v>21</v>
      </c>
      <c r="E28" s="7">
        <f t="shared" si="0"/>
        <v>44</v>
      </c>
      <c r="F28" s="3"/>
    </row>
    <row r="29" spans="1:6">
      <c r="A29" s="6">
        <f>Marksheet!C28</f>
        <v>590024606</v>
      </c>
      <c r="B29" s="6" t="str">
        <f>Marksheet!B28</f>
        <v>Nainala  Parthu</v>
      </c>
      <c r="C29" s="3">
        <v>24</v>
      </c>
      <c r="D29" s="3">
        <v>22</v>
      </c>
      <c r="E29" s="7">
        <f t="shared" si="0"/>
        <v>46</v>
      </c>
      <c r="F29" s="3"/>
    </row>
    <row r="30" spans="1:6">
      <c r="A30" s="6">
        <f>Marksheet!C29</f>
        <v>590024262</v>
      </c>
      <c r="B30" s="6" t="str">
        <f>Marksheet!B29</f>
        <v>Navya  Kwatra</v>
      </c>
      <c r="C30" s="3" t="s">
        <v>169</v>
      </c>
      <c r="D30" s="3" t="s">
        <v>169</v>
      </c>
      <c r="E30" s="7">
        <f t="shared" si="0"/>
        <v>0</v>
      </c>
      <c r="F30" s="3"/>
    </row>
    <row r="31" spans="1:6">
      <c r="A31" s="6">
        <f>Marksheet!C30</f>
        <v>590021484</v>
      </c>
      <c r="B31" s="6" t="str">
        <f>Marksheet!B30</f>
        <v>Navya  Sagar</v>
      </c>
      <c r="C31" s="3">
        <v>24</v>
      </c>
      <c r="D31" s="3">
        <v>23</v>
      </c>
      <c r="E31" s="7">
        <f t="shared" si="0"/>
        <v>47</v>
      </c>
      <c r="F31" s="3"/>
    </row>
    <row r="32" spans="1:6">
      <c r="A32" s="6">
        <f>Marksheet!C31</f>
        <v>590027317</v>
      </c>
      <c r="B32" s="6" t="str">
        <f>Marksheet!B31</f>
        <v>Onjoli G Shinde</v>
      </c>
      <c r="C32" s="3">
        <v>23</v>
      </c>
      <c r="D32" s="3">
        <v>23</v>
      </c>
      <c r="E32" s="7">
        <f t="shared" si="0"/>
        <v>46</v>
      </c>
      <c r="F32" s="3"/>
    </row>
    <row r="33" spans="1:6">
      <c r="A33" s="6">
        <f>Marksheet!C32</f>
        <v>590022345</v>
      </c>
      <c r="B33" s="6" t="str">
        <f>Marksheet!B32</f>
        <v>Pakhi  Dhanai</v>
      </c>
      <c r="C33" s="3">
        <v>23</v>
      </c>
      <c r="D33" s="3">
        <v>21</v>
      </c>
      <c r="E33" s="7">
        <f t="shared" si="0"/>
        <v>44</v>
      </c>
      <c r="F33" s="3"/>
    </row>
    <row r="34" spans="1:6">
      <c r="A34" s="6">
        <f>Marksheet!C33</f>
        <v>590028128</v>
      </c>
      <c r="B34" s="6" t="str">
        <f>Marksheet!B33</f>
        <v>Prabhakar  Singh</v>
      </c>
      <c r="C34" s="3">
        <v>21</v>
      </c>
      <c r="D34" s="3">
        <v>23</v>
      </c>
      <c r="E34" s="7">
        <f t="shared" si="0"/>
        <v>44</v>
      </c>
      <c r="F34" s="3"/>
    </row>
    <row r="35" spans="1:6">
      <c r="A35" s="6">
        <f>Marksheet!C34</f>
        <v>590027661</v>
      </c>
      <c r="B35" s="6" t="str">
        <f>Marksheet!B34</f>
        <v>Rachit  Bhatia</v>
      </c>
      <c r="C35" s="3">
        <v>21</v>
      </c>
      <c r="D35" s="3">
        <v>24</v>
      </c>
      <c r="E35" s="7">
        <f t="shared" si="0"/>
        <v>45</v>
      </c>
      <c r="F35" s="3"/>
    </row>
    <row r="36" spans="1:6">
      <c r="A36" s="6">
        <f>Marksheet!C35</f>
        <v>590024854</v>
      </c>
      <c r="B36" s="6" t="str">
        <f>Marksheet!B35</f>
        <v>Ritika  Saini</v>
      </c>
      <c r="C36" s="3">
        <v>23</v>
      </c>
      <c r="D36" s="3">
        <v>20</v>
      </c>
      <c r="E36" s="7">
        <f t="shared" si="0"/>
        <v>43</v>
      </c>
      <c r="F36" s="3"/>
    </row>
    <row r="37" spans="1:6">
      <c r="A37" s="6">
        <f>Marksheet!C36</f>
        <v>590027466</v>
      </c>
      <c r="B37" s="6" t="str">
        <f>Marksheet!B36</f>
        <v>Rohit  Tiwari</v>
      </c>
      <c r="C37" s="3">
        <v>24</v>
      </c>
      <c r="D37" s="3">
        <v>20</v>
      </c>
      <c r="E37" s="7">
        <f t="shared" si="0"/>
        <v>44</v>
      </c>
      <c r="F37" s="3"/>
    </row>
    <row r="38" spans="1:6">
      <c r="A38" s="6">
        <f>Marksheet!C37</f>
        <v>590025203</v>
      </c>
      <c r="B38" s="6" t="str">
        <f>Marksheet!B37</f>
        <v>Sachwlang  Debbarma</v>
      </c>
      <c r="C38" s="3">
        <v>24</v>
      </c>
      <c r="D38" s="3">
        <v>23</v>
      </c>
      <c r="E38" s="7">
        <f t="shared" si="0"/>
        <v>47</v>
      </c>
      <c r="F38" s="3"/>
    </row>
    <row r="39" spans="1:6">
      <c r="A39" s="6">
        <f>Marksheet!C38</f>
        <v>590026536</v>
      </c>
      <c r="B39" s="6" t="str">
        <f>Marksheet!B38</f>
        <v>Saksham  Mahto</v>
      </c>
      <c r="C39" s="3">
        <v>21</v>
      </c>
      <c r="D39" s="3">
        <v>24</v>
      </c>
      <c r="E39" s="7">
        <f t="shared" si="0"/>
        <v>45</v>
      </c>
      <c r="F39" s="3"/>
    </row>
    <row r="40" spans="1:6">
      <c r="A40" s="6">
        <f>Marksheet!C39</f>
        <v>590024251</v>
      </c>
      <c r="B40" s="6" t="str">
        <f>Marksheet!B39</f>
        <v>Samarjeet  Lawankar</v>
      </c>
      <c r="C40" s="3">
        <v>22</v>
      </c>
      <c r="D40" s="3">
        <v>21</v>
      </c>
      <c r="E40" s="7">
        <f t="shared" si="0"/>
        <v>43</v>
      </c>
      <c r="F40" s="3"/>
    </row>
    <row r="41" spans="1:6">
      <c r="A41" s="6">
        <f>Marksheet!C40</f>
        <v>590027669</v>
      </c>
      <c r="B41" s="6" t="str">
        <f>Marksheet!B40</f>
        <v>Shivani  Bajpai</v>
      </c>
      <c r="C41" s="3">
        <v>23</v>
      </c>
      <c r="D41" s="3">
        <v>21</v>
      </c>
      <c r="E41" s="7">
        <f t="shared" si="0"/>
        <v>44</v>
      </c>
      <c r="F41" s="3"/>
    </row>
    <row r="42" spans="1:6">
      <c r="A42" s="6">
        <f>Marksheet!C41</f>
        <v>590024466</v>
      </c>
      <c r="B42" s="6" t="str">
        <f>Marksheet!B41</f>
        <v>Shobin M Shibu</v>
      </c>
      <c r="C42" s="3">
        <v>21</v>
      </c>
      <c r="D42" s="3">
        <v>15</v>
      </c>
      <c r="E42" s="7">
        <f t="shared" si="0"/>
        <v>36</v>
      </c>
      <c r="F42" s="3"/>
    </row>
    <row r="43" spans="1:6">
      <c r="A43" s="6">
        <f>Marksheet!C42</f>
        <v>590024746</v>
      </c>
      <c r="B43" s="6" t="str">
        <f>Marksheet!B42</f>
        <v>Shreyansh  Soni</v>
      </c>
      <c r="C43" s="3">
        <v>24</v>
      </c>
      <c r="D43" s="3">
        <v>22</v>
      </c>
      <c r="E43" s="7">
        <f t="shared" si="0"/>
        <v>46</v>
      </c>
      <c r="F43" s="3"/>
    </row>
    <row r="44" spans="1:6">
      <c r="A44" s="6">
        <f>Marksheet!C43</f>
        <v>590026532</v>
      </c>
      <c r="B44" s="6" t="str">
        <f>Marksheet!B43</f>
        <v>Siddhika  Gupta</v>
      </c>
      <c r="C44" s="3">
        <v>24</v>
      </c>
      <c r="D44" s="3">
        <v>25</v>
      </c>
      <c r="E44" s="7">
        <f t="shared" si="0"/>
        <v>49</v>
      </c>
      <c r="F44" s="3"/>
    </row>
    <row r="45" spans="1:6">
      <c r="A45" s="6">
        <f>Marksheet!C44</f>
        <v>590028022</v>
      </c>
      <c r="B45" s="6" t="str">
        <f>Marksheet!B44</f>
        <v>Souradeep  Saha</v>
      </c>
      <c r="C45" s="3">
        <v>21</v>
      </c>
      <c r="D45" s="3">
        <v>21</v>
      </c>
      <c r="E45" s="7">
        <f t="shared" si="0"/>
        <v>42</v>
      </c>
      <c r="F45" s="3"/>
    </row>
    <row r="46" spans="1:6">
      <c r="A46" s="6">
        <f>Marksheet!C45</f>
        <v>590027178</v>
      </c>
      <c r="B46" s="6" t="str">
        <f>Marksheet!B45</f>
        <v>Sunny  Tomar</v>
      </c>
      <c r="C46" s="3">
        <v>24</v>
      </c>
      <c r="D46" s="3">
        <v>20</v>
      </c>
      <c r="E46" s="7">
        <f t="shared" si="0"/>
        <v>44</v>
      </c>
      <c r="F46" s="3"/>
    </row>
    <row r="47" spans="1:6">
      <c r="A47" s="6">
        <f>Marksheet!C46</f>
        <v>590021377</v>
      </c>
      <c r="B47" s="6" t="str">
        <f>Marksheet!B46</f>
        <v>Suryansh Singh Manwal</v>
      </c>
      <c r="C47" s="3">
        <v>21</v>
      </c>
      <c r="D47" s="3">
        <v>20</v>
      </c>
      <c r="E47" s="7">
        <f t="shared" si="0"/>
        <v>41</v>
      </c>
      <c r="F47" s="3"/>
    </row>
    <row r="48" spans="1:6">
      <c r="A48" s="6">
        <f>Marksheet!C47</f>
        <v>590027323</v>
      </c>
      <c r="B48" s="6" t="str">
        <f>Marksheet!B47</f>
        <v>Tanishka  Pokhriyal</v>
      </c>
      <c r="C48" s="3">
        <v>24</v>
      </c>
      <c r="D48" s="3">
        <v>20</v>
      </c>
      <c r="E48" s="7">
        <f t="shared" si="0"/>
        <v>44</v>
      </c>
      <c r="F48" s="3"/>
    </row>
    <row r="49" spans="1:6">
      <c r="A49" s="6">
        <f>Marksheet!C48</f>
        <v>590020125</v>
      </c>
      <c r="B49" s="6" t="str">
        <f>Marksheet!B48</f>
        <v>Telikicherla V R R S Sritodbhav</v>
      </c>
      <c r="C49" s="3">
        <v>21</v>
      </c>
      <c r="D49" s="3">
        <v>23</v>
      </c>
      <c r="E49" s="7">
        <f t="shared" si="0"/>
        <v>44</v>
      </c>
      <c r="F49" s="3"/>
    </row>
    <row r="50" spans="1:6">
      <c r="A50" s="6">
        <f>Marksheet!C49</f>
        <v>590028874</v>
      </c>
      <c r="B50" s="6" t="str">
        <f>Marksheet!B49</f>
        <v>Vaishnavi  Rawat</v>
      </c>
      <c r="C50" s="3">
        <v>23</v>
      </c>
      <c r="D50" s="3">
        <v>20</v>
      </c>
      <c r="E50" s="7">
        <f t="shared" si="0"/>
        <v>43</v>
      </c>
      <c r="F50" s="3"/>
    </row>
    <row r="51" spans="1:6">
      <c r="A51" s="6">
        <f>Marksheet!C50</f>
        <v>590027885</v>
      </c>
      <c r="B51" s="6" t="str">
        <f>Marksheet!B50</f>
        <v xml:space="preserve">Vivek  </v>
      </c>
      <c r="C51" s="3">
        <v>23</v>
      </c>
      <c r="D51" s="3">
        <v>15</v>
      </c>
      <c r="E51" s="7">
        <f t="shared" si="0"/>
        <v>38</v>
      </c>
      <c r="F51" s="3"/>
    </row>
    <row r="52" spans="1:6">
      <c r="A52" s="6">
        <f>Marksheet!C51</f>
        <v>590026540</v>
      </c>
      <c r="B52" s="6" t="str">
        <f>Marksheet!B51</f>
        <v>Yashi  Sharma</v>
      </c>
      <c r="C52" s="3">
        <v>22</v>
      </c>
      <c r="D52" s="3">
        <v>19</v>
      </c>
      <c r="E52" s="7">
        <f t="shared" si="0"/>
        <v>41</v>
      </c>
      <c r="F52" s="3"/>
    </row>
    <row r="53" spans="1:6">
      <c r="A53" s="6">
        <f>Marksheet!C52</f>
        <v>0</v>
      </c>
      <c r="B53" s="6">
        <f>Marksheet!B52</f>
        <v>0</v>
      </c>
      <c r="C53" s="3"/>
      <c r="D53" s="3"/>
      <c r="E53" s="3"/>
      <c r="F53" s="3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Nitesh Kumar</cp:lastModifiedBy>
  <cp:revision/>
  <dcterms:created xsi:type="dcterms:W3CDTF">2025-02-05T08:19:31Z</dcterms:created>
  <dcterms:modified xsi:type="dcterms:W3CDTF">2026-01-19T13:19:05Z</dcterms:modified>
  <cp:category/>
  <cp:contentStatus/>
</cp:coreProperties>
</file>