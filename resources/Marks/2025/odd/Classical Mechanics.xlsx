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1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gusindia01-my.sharepoint.com/personal/nitesh_kumar_ddn_upes_ac_in/Documents/UPES/Aug-Dec-2025/Classical Mechanics/Marks/"/>
    </mc:Choice>
  </mc:AlternateContent>
  <xr:revisionPtr revIDLastSave="1480" documentId="11_3FC952BF37FB7C428065D6D94F732ED04C5A5A3E" xr6:coauthVersionLast="47" xr6:coauthVersionMax="47" xr10:uidLastSave="{3D5F8FF6-BD35-4860-A683-10F29B908620}"/>
  <bookViews>
    <workbookView xWindow="-120" yWindow="-120" windowWidth="20730" windowHeight="11040" tabRatio="553" xr2:uid="{00000000-000D-0000-FFFF-FFFF00000000}"/>
  </bookViews>
  <sheets>
    <sheet name="Marksheet" sheetId="2" r:id="rId1"/>
    <sheet name="Mid Sem" sheetId="5" r:id="rId2"/>
    <sheet name="End Sem" sheetId="4" r:id="rId3"/>
    <sheet name="Assignment 1" sheetId="6" r:id="rId4"/>
    <sheet name="Assignment 2" sheetId="9" r:id="rId5"/>
    <sheet name="Class Test 1" sheetId="7" r:id="rId6"/>
    <sheet name="Class Test 2" sheetId="8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7" i="2" l="1"/>
  <c r="M18" i="2"/>
  <c r="M19" i="2"/>
  <c r="M20" i="2"/>
  <c r="M16" i="2"/>
  <c r="N16" i="2" s="1"/>
  <c r="O16" i="2" s="1"/>
  <c r="N6" i="4"/>
  <c r="M5" i="2" s="1"/>
  <c r="N5" i="2" s="1"/>
  <c r="O5" i="2" s="1"/>
  <c r="N7" i="4"/>
  <c r="M6" i="2" s="1"/>
  <c r="N6" i="2" s="1"/>
  <c r="O6" i="2" s="1"/>
  <c r="N8" i="4"/>
  <c r="M7" i="2" s="1"/>
  <c r="N7" i="2" s="1"/>
  <c r="O7" i="2" s="1"/>
  <c r="N9" i="4"/>
  <c r="M8" i="2" s="1"/>
  <c r="N8" i="2" s="1"/>
  <c r="O8" i="2" s="1"/>
  <c r="N10" i="4"/>
  <c r="M9" i="2" s="1"/>
  <c r="N9" i="2" s="1"/>
  <c r="O9" i="2" s="1"/>
  <c r="N11" i="4"/>
  <c r="M10" i="2" s="1"/>
  <c r="N10" i="2" s="1"/>
  <c r="O10" i="2" s="1"/>
  <c r="N12" i="4"/>
  <c r="M11" i="2" s="1"/>
  <c r="N11" i="2" s="1"/>
  <c r="O11" i="2" s="1"/>
  <c r="N13" i="4"/>
  <c r="M12" i="2" s="1"/>
  <c r="N12" i="2" s="1"/>
  <c r="O12" i="2" s="1"/>
  <c r="N14" i="4"/>
  <c r="M13" i="2" s="1"/>
  <c r="N13" i="2" s="1"/>
  <c r="O13" i="2" s="1"/>
  <c r="N15" i="4"/>
  <c r="M14" i="2" s="1"/>
  <c r="N14" i="2" s="1"/>
  <c r="O14" i="2" s="1"/>
  <c r="N16" i="4"/>
  <c r="M15" i="2" s="1"/>
  <c r="N15" i="2" s="1"/>
  <c r="O15" i="2" s="1"/>
  <c r="N17" i="4"/>
  <c r="N18" i="4"/>
  <c r="N17" i="2" s="1"/>
  <c r="O17" i="2" s="1"/>
  <c r="N19" i="4"/>
  <c r="N18" i="2" s="1"/>
  <c r="O18" i="2" s="1"/>
  <c r="N20" i="4"/>
  <c r="N21" i="4"/>
  <c r="N5" i="4"/>
  <c r="A20" i="8"/>
  <c r="A21" i="8"/>
  <c r="A20" i="9"/>
  <c r="A21" i="9"/>
  <c r="A20" i="6"/>
  <c r="A21" i="6"/>
  <c r="O20" i="7" a="1"/>
  <c r="O20" i="7"/>
  <c r="O21" i="7" a="1"/>
  <c r="O21" i="7"/>
  <c r="N20" i="7" a="1"/>
  <c r="N20" i="7"/>
  <c r="N21" i="7" a="1"/>
  <c r="N21" i="7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5" i="2"/>
  <c r="N6" i="8"/>
  <c r="N7" i="8"/>
  <c r="N8" i="8"/>
  <c r="N9" i="8"/>
  <c r="N10" i="8"/>
  <c r="N11" i="8"/>
  <c r="N12" i="8"/>
  <c r="N13" i="8"/>
  <c r="N14" i="8"/>
  <c r="N15" i="8"/>
  <c r="N16" i="8"/>
  <c r="N17" i="8"/>
  <c r="N18" i="8"/>
  <c r="N19" i="8"/>
  <c r="N20" i="8"/>
  <c r="H19" i="2"/>
  <c r="N21" i="8"/>
  <c r="H20" i="2"/>
  <c r="N19" i="2"/>
  <c r="O19" i="2" s="1"/>
  <c r="N20" i="2"/>
  <c r="O20" i="2" s="1"/>
  <c r="N4" i="2"/>
  <c r="E5" i="2"/>
  <c r="F5" i="2"/>
  <c r="G5" i="2"/>
  <c r="K7" i="2"/>
  <c r="K8" i="2"/>
  <c r="K9" i="2"/>
  <c r="K19" i="2"/>
  <c r="K20" i="2"/>
  <c r="K4" i="2"/>
  <c r="L6" i="2"/>
  <c r="K6" i="2"/>
  <c r="L7" i="2"/>
  <c r="L8" i="2"/>
  <c r="L9" i="2"/>
  <c r="L10" i="2"/>
  <c r="K10" i="2"/>
  <c r="L11" i="2"/>
  <c r="K11" i="2"/>
  <c r="L12" i="2"/>
  <c r="K12" i="2"/>
  <c r="L13" i="2"/>
  <c r="K13" i="2"/>
  <c r="L14" i="2"/>
  <c r="K14" i="2"/>
  <c r="L15" i="2"/>
  <c r="K15" i="2"/>
  <c r="L16" i="2"/>
  <c r="K16" i="2"/>
  <c r="L17" i="2"/>
  <c r="K17" i="2"/>
  <c r="L18" i="2"/>
  <c r="K18" i="2"/>
  <c r="L19" i="2"/>
  <c r="L20" i="2"/>
  <c r="L5" i="2"/>
  <c r="K5" i="2"/>
  <c r="I4" i="2"/>
  <c r="F6" i="2"/>
  <c r="F7" i="2"/>
  <c r="F8" i="2"/>
  <c r="F9" i="2"/>
  <c r="F10" i="2"/>
  <c r="F11" i="2"/>
  <c r="F12" i="2"/>
  <c r="F13" i="2"/>
  <c r="F15" i="2"/>
  <c r="F17" i="2"/>
  <c r="F18" i="2"/>
  <c r="F19" i="2"/>
  <c r="F20" i="2"/>
  <c r="E6" i="2"/>
  <c r="E8" i="2"/>
  <c r="E9" i="2"/>
  <c r="E10" i="2"/>
  <c r="E11" i="2"/>
  <c r="E12" i="2"/>
  <c r="E14" i="2"/>
  <c r="E15" i="2"/>
  <c r="E16" i="2"/>
  <c r="E18" i="2"/>
  <c r="E19" i="2"/>
  <c r="E20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N7" i="7" a="1"/>
  <c r="N7" i="7"/>
  <c r="N8" i="7" a="1"/>
  <c r="N8" i="7"/>
  <c r="N9" i="7" a="1"/>
  <c r="N9" i="7"/>
  <c r="N10" i="7" a="1"/>
  <c r="N10" i="7"/>
  <c r="N11" i="7" a="1"/>
  <c r="N11" i="7"/>
  <c r="N12" i="7" a="1"/>
  <c r="N12" i="7"/>
  <c r="N13" i="7" a="1"/>
  <c r="N13" i="7"/>
  <c r="N14" i="7" a="1"/>
  <c r="N14" i="7"/>
  <c r="N15" i="7" a="1"/>
  <c r="N15" i="7"/>
  <c r="N16" i="7" a="1"/>
  <c r="N16" i="7"/>
  <c r="N17" i="7" a="1"/>
  <c r="N17" i="7"/>
  <c r="N18" i="7" a="1"/>
  <c r="N18" i="7"/>
  <c r="N19" i="7" a="1"/>
  <c r="N19" i="7"/>
  <c r="N6" i="7" a="1"/>
  <c r="N6" i="7"/>
  <c r="O6" i="7" a="1"/>
  <c r="O6" i="7"/>
  <c r="A20" i="7"/>
  <c r="A21" i="7"/>
  <c r="O7" i="7" a="1"/>
  <c r="O7" i="7"/>
  <c r="O8" i="7" a="1"/>
  <c r="O8" i="7"/>
  <c r="O9" i="7" a="1"/>
  <c r="O9" i="7"/>
  <c r="O10" i="7" a="1"/>
  <c r="O10" i="7"/>
  <c r="O11" i="7" a="1"/>
  <c r="O11" i="7"/>
  <c r="O12" i="7" a="1"/>
  <c r="O12" i="7"/>
  <c r="O13" i="7" a="1"/>
  <c r="O13" i="7"/>
  <c r="O14" i="7" a="1"/>
  <c r="O14" i="7"/>
  <c r="O15" i="7" a="1"/>
  <c r="O15" i="7"/>
  <c r="O16" i="7" a="1"/>
  <c r="O16" i="7"/>
  <c r="O17" i="7" a="1"/>
  <c r="O17" i="7"/>
  <c r="O18" i="7" a="1"/>
  <c r="O18" i="7"/>
  <c r="O19" i="7" a="1"/>
  <c r="O19" i="7"/>
  <c r="B6" i="7"/>
  <c r="O5" i="7"/>
  <c r="N6" i="5"/>
  <c r="N7" i="5"/>
  <c r="N8" i="5"/>
  <c r="N9" i="5"/>
  <c r="N10" i="5"/>
  <c r="N11" i="5"/>
  <c r="N12" i="5"/>
  <c r="N13" i="5"/>
  <c r="N14" i="5"/>
  <c r="N15" i="5"/>
  <c r="N16" i="5"/>
  <c r="N17" i="5"/>
  <c r="N18" i="5"/>
  <c r="N19" i="5"/>
  <c r="N20" i="5"/>
  <c r="N21" i="5"/>
  <c r="B20" i="5"/>
  <c r="B21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6" i="5"/>
  <c r="N5" i="5"/>
  <c r="O4" i="2"/>
  <c r="J4" i="2"/>
  <c r="I20" i="2"/>
  <c r="I8" i="2"/>
  <c r="I19" i="2"/>
  <c r="I7" i="2"/>
  <c r="I18" i="2"/>
  <c r="I6" i="2"/>
  <c r="I5" i="2"/>
  <c r="I12" i="2"/>
  <c r="I11" i="2"/>
  <c r="I10" i="2"/>
  <c r="I9" i="2"/>
  <c r="I13" i="2"/>
  <c r="I17" i="2"/>
  <c r="I16" i="2"/>
  <c r="I15" i="2"/>
  <c r="I14" i="2"/>
  <c r="B20" i="4"/>
  <c r="B21" i="4"/>
  <c r="B19" i="4"/>
  <c r="B20" i="8"/>
  <c r="B21" i="8"/>
  <c r="B20" i="7"/>
  <c r="B21" i="7"/>
  <c r="A20" i="5"/>
  <c r="B20" i="6"/>
  <c r="A21" i="5"/>
  <c r="B21" i="9"/>
  <c r="B51" i="5"/>
  <c r="A15" i="6"/>
  <c r="N5" i="8"/>
  <c r="A6" i="5"/>
  <c r="B6" i="9"/>
  <c r="B42" i="5"/>
  <c r="A6" i="9"/>
  <c r="A2" i="9"/>
  <c r="B7" i="4"/>
  <c r="B8" i="4"/>
  <c r="B9" i="4"/>
  <c r="B10" i="4"/>
  <c r="B11" i="4"/>
  <c r="B12" i="4"/>
  <c r="B13" i="4"/>
  <c r="B14" i="4"/>
  <c r="B15" i="4"/>
  <c r="B16" i="4"/>
  <c r="B17" i="4"/>
  <c r="B18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B7" i="7"/>
  <c r="B8" i="7"/>
  <c r="B9" i="7"/>
  <c r="B10" i="7"/>
  <c r="B11" i="7"/>
  <c r="B12" i="7"/>
  <c r="B13" i="7"/>
  <c r="B14" i="7"/>
  <c r="B15" i="7"/>
  <c r="B16" i="7"/>
  <c r="B17" i="7"/>
  <c r="B18" i="7"/>
  <c r="B19" i="7"/>
  <c r="A7" i="7"/>
  <c r="A8" i="7"/>
  <c r="A9" i="7"/>
  <c r="A10" i="7"/>
  <c r="A11" i="7"/>
  <c r="A12" i="7"/>
  <c r="A13" i="7"/>
  <c r="A14" i="7"/>
  <c r="A15" i="7"/>
  <c r="A16" i="7"/>
  <c r="A17" i="7"/>
  <c r="A18" i="7"/>
  <c r="A19" i="7"/>
  <c r="B6" i="4"/>
  <c r="A6" i="4"/>
  <c r="B6" i="8"/>
  <c r="A6" i="8"/>
  <c r="A6" i="7"/>
  <c r="B43" i="5"/>
  <c r="A7" i="6"/>
  <c r="B44" i="5"/>
  <c r="A8" i="6"/>
  <c r="B45" i="5"/>
  <c r="A9" i="6"/>
  <c r="B46" i="5"/>
  <c r="A10" i="6"/>
  <c r="B47" i="5"/>
  <c r="A11" i="6"/>
  <c r="B48" i="5"/>
  <c r="A12" i="6"/>
  <c r="B49" i="5"/>
  <c r="A13" i="9"/>
  <c r="B50" i="5"/>
  <c r="A14" i="6"/>
  <c r="B52" i="5"/>
  <c r="A16" i="6"/>
  <c r="B53" i="5"/>
  <c r="A17" i="6"/>
  <c r="B54" i="5"/>
  <c r="A18" i="6"/>
  <c r="B55" i="5"/>
  <c r="A19" i="6"/>
  <c r="A19" i="5"/>
  <c r="B19" i="6"/>
  <c r="A18" i="5"/>
  <c r="B18" i="6"/>
  <c r="A7" i="5"/>
  <c r="B7" i="6"/>
  <c r="A8" i="5"/>
  <c r="B8" i="6"/>
  <c r="A9" i="5"/>
  <c r="B9" i="6"/>
  <c r="A10" i="5"/>
  <c r="B10" i="9"/>
  <c r="A11" i="5"/>
  <c r="B11" i="9"/>
  <c r="A12" i="5"/>
  <c r="B12" i="6"/>
  <c r="A13" i="5"/>
  <c r="B13" i="9"/>
  <c r="A14" i="5"/>
  <c r="B14" i="9"/>
  <c r="A15" i="5"/>
  <c r="B15" i="9"/>
  <c r="A16" i="5"/>
  <c r="B16" i="6"/>
  <c r="A17" i="5"/>
  <c r="B17" i="6"/>
  <c r="J13" i="2"/>
  <c r="J9" i="2"/>
  <c r="J10" i="2"/>
  <c r="J11" i="2"/>
  <c r="J12" i="2"/>
  <c r="J6" i="2"/>
  <c r="J18" i="2"/>
  <c r="J14" i="2"/>
  <c r="J7" i="2"/>
  <c r="J15" i="2"/>
  <c r="J19" i="2"/>
  <c r="J16" i="2"/>
  <c r="J8" i="2"/>
  <c r="J17" i="2"/>
  <c r="J20" i="2"/>
  <c r="J5" i="2"/>
  <c r="B21" i="6"/>
  <c r="B20" i="9"/>
  <c r="A14" i="9"/>
  <c r="B6" i="6"/>
  <c r="A6" i="6"/>
  <c r="A8" i="9"/>
  <c r="B12" i="9"/>
  <c r="B8" i="9"/>
  <c r="A9" i="9"/>
  <c r="A10" i="9"/>
  <c r="A12" i="9"/>
  <c r="B15" i="6"/>
  <c r="B14" i="6"/>
  <c r="B13" i="6"/>
  <c r="A16" i="9"/>
  <c r="A18" i="9"/>
  <c r="B18" i="9"/>
  <c r="B11" i="6"/>
  <c r="B10" i="6"/>
  <c r="B16" i="9"/>
  <c r="A15" i="9"/>
  <c r="B9" i="9"/>
  <c r="A11" i="9"/>
  <c r="A17" i="9"/>
  <c r="B17" i="9"/>
  <c r="A13" i="6"/>
  <c r="A7" i="9"/>
  <c r="A19" i="9"/>
  <c r="B7" i="9"/>
  <c r="B19" i="9"/>
  <c r="A2" i="4"/>
  <c r="A2" i="8"/>
  <c r="A2" i="7"/>
  <c r="A2" i="6"/>
  <c r="A2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<sst xmlns="http://schemas.openxmlformats.org/spreadsheetml/2006/main" count="387" uniqueCount="68">
  <si>
    <t>Final Marks</t>
  </si>
  <si>
    <t xml:space="preserve">Classical Mechanics (PHYS 7001) </t>
  </si>
  <si>
    <t>Cohort Name</t>
  </si>
  <si>
    <t xml:space="preserve">Name </t>
  </si>
  <si>
    <t>SAP ID</t>
  </si>
  <si>
    <t>Assignment 1</t>
  </si>
  <si>
    <t>Assignment 2</t>
  </si>
  <si>
    <t>Class Test 1</t>
  </si>
  <si>
    <t>Class Test 2</t>
  </si>
  <si>
    <t>IA</t>
  </si>
  <si>
    <t>Mid Sem</t>
  </si>
  <si>
    <t>End Sem</t>
  </si>
  <si>
    <t>Total</t>
  </si>
  <si>
    <t>Sign</t>
  </si>
  <si>
    <t>Max Marks</t>
  </si>
  <si>
    <t>BSc-H-PHYSICS-VI_PHYS3023P_4_Fundamentals of Astronomy</t>
  </si>
  <si>
    <t>Akshay Alodiya</t>
  </si>
  <si>
    <t>590021120</t>
  </si>
  <si>
    <t>Avishankar Sardar</t>
  </si>
  <si>
    <t>Dhruv Kumar Singh</t>
  </si>
  <si>
    <t>590021234</t>
  </si>
  <si>
    <t>Madhumita Rajesh</t>
  </si>
  <si>
    <t>590025722</t>
  </si>
  <si>
    <t>Queeny Kaur</t>
  </si>
  <si>
    <t>590024722</t>
  </si>
  <si>
    <t>Swagata Mukherjee</t>
  </si>
  <si>
    <t>590024897</t>
  </si>
  <si>
    <t xml:space="preserve">Prakhar </t>
  </si>
  <si>
    <t>590027722</t>
  </si>
  <si>
    <t>Ayush Uniyal</t>
  </si>
  <si>
    <t>590027572</t>
  </si>
  <si>
    <t>Divya Krishna</t>
  </si>
  <si>
    <t>590016280</t>
  </si>
  <si>
    <t>NEHA NAGESH REVANKAR</t>
  </si>
  <si>
    <t>Rushil Soni</t>
  </si>
  <si>
    <t>590018519</t>
  </si>
  <si>
    <t>Vansh Sharma</t>
  </si>
  <si>
    <t>590010833</t>
  </si>
  <si>
    <t>Harishankar Nath Tiwari</t>
  </si>
  <si>
    <t>590028752</t>
  </si>
  <si>
    <t>Surwase Swapnil Tukaram</t>
  </si>
  <si>
    <t>590028962</t>
  </si>
  <si>
    <t>Shreya</t>
  </si>
  <si>
    <t>Devansh</t>
  </si>
  <si>
    <t>Mid Sem Examination</t>
  </si>
  <si>
    <t>CO1</t>
  </si>
  <si>
    <t>CO2</t>
  </si>
  <si>
    <t>CO3</t>
  </si>
  <si>
    <t>Name</t>
  </si>
  <si>
    <t>Student ID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</si>
  <si>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</si>
  <si>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</si>
  <si>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</si>
  <si>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</si>
  <si>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</si>
  <si>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</si>
  <si>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</si>
  <si>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</si>
  <si>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</si>
  <si>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</si>
  <si>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</si>
  <si>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AB</t>
  </si>
  <si>
    <t>End Sem Examination</t>
  </si>
  <si>
    <t>CO4</t>
  </si>
  <si>
    <t>Student Id</t>
  </si>
  <si>
    <t>F</t>
  </si>
  <si>
    <t>T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</si>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</sst>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sz val="12"/>
      <color rgb="FFFFFFFF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8"/>
      <color theme="1"/>
      <name val="Baguet Script"/>
    </font>
    <font>
      <sz val="18"/>
      <color theme="1"/>
      <name val="Monotype Corsiva"/>
      <family val="4"/>
    </font>
  </fonts>
  <fills count="6">
    <fill>
      <patternFill patternType="none"/>
    </fill>
    <fill>
      <patternFill patternType="gray125"/>
    </fill>
    <fill>
      <patternFill patternType="solid">
        <fgColor rgb="FF7A7A7A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9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2" borderId="0" xfId="0" applyFont="1" applyFill="1" applyAlignment="1">
      <alignment vertical="top"/>
    </xf>
    <xf numFmtId="0" fontId="0" fillId="0" borderId="0" xfId="0" applyAlignment="1">
      <alignment vertical="top"/>
    </xf>
    <xf numFmtId="0" fontId="6" fillId="0" borderId="0" xfId="0" applyFont="1"/>
    <xf numFmtId="0" fontId="5" fillId="2" borderId="0" xfId="0" applyFont="1" applyFill="1" applyAlignment="1">
      <alignment vertical="top"/>
    </xf>
    <xf numFmtId="0" fontId="5" fillId="2" borderId="0" xfId="0" applyFont="1" applyFill="1" applyAlignment="1">
      <alignment horizontal="center"/>
    </xf>
    <xf numFmtId="0" fontId="0" fillId="0" borderId="1" xfId="0" applyBorder="1"/>
    <xf numFmtId="0" fontId="3" fillId="3" borderId="1" xfId="0" applyFont="1" applyFill="1" applyBorder="1"/>
    <xf numFmtId="0" fontId="1" fillId="2" borderId="1" xfId="0" applyFont="1" applyFill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2" xfId="0" applyBorder="1" applyAlignment="1">
      <alignment horizontal="left" vertical="center"/>
    </xf>
    <xf numFmtId="0" fontId="0" fillId="4" borderId="2" xfId="0" applyFill="1" applyBorder="1" applyAlignment="1">
      <alignment horizontal="left" vertical="center"/>
    </xf>
    <xf numFmtId="0" fontId="0" fillId="4" borderId="2" xfId="0" applyFill="1" applyBorder="1" applyAlignment="1">
      <alignment horizontal="center" wrapText="1"/>
    </xf>
    <xf numFmtId="0" fontId="2" fillId="0" borderId="2" xfId="0" applyFont="1" applyBorder="1" applyAlignment="1">
      <alignment horizontal="left" vertical="center"/>
    </xf>
    <xf numFmtId="0" fontId="2" fillId="4" borderId="2" xfId="0" applyFont="1" applyFill="1" applyBorder="1" applyAlignment="1">
      <alignment horizontal="left" vertical="center"/>
    </xf>
    <xf numFmtId="0" fontId="1" fillId="5" borderId="1" xfId="0" applyFont="1" applyFill="1" applyBorder="1" applyAlignment="1">
      <alignment vertical="top"/>
    </xf>
    <xf numFmtId="0" fontId="1" fillId="5" borderId="3" xfId="0" applyFont="1" applyFill="1" applyBorder="1" applyAlignment="1">
      <alignment vertical="top"/>
    </xf>
    <xf numFmtId="0" fontId="1" fillId="0" borderId="0" xfId="0" applyFont="1" applyAlignment="1">
      <alignment vertical="top"/>
    </xf>
    <xf numFmtId="0" fontId="2" fillId="0" borderId="0" xfId="0" applyFont="1" applyAlignment="1">
      <alignment horizontal="left" vertical="center"/>
    </xf>
    <xf numFmtId="0" fontId="2" fillId="4" borderId="0" xfId="0" applyFont="1" applyFill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top"/>
    </xf>
    <xf numFmtId="0" fontId="0" fillId="0" borderId="4" xfId="0" applyBorder="1"/>
    <xf numFmtId="0" fontId="0" fillId="0" borderId="5" xfId="0" applyBorder="1"/>
    <xf numFmtId="0" fontId="0" fillId="0" borderId="1" xfId="0" applyBorder="1" applyAlignment="1">
      <alignment horizontal="center" vertical="center"/>
    </xf>
    <xf numFmtId="0" fontId="5" fillId="2" borderId="0" xfId="0" applyFont="1" applyFill="1" applyAlignment="1">
      <alignment horizontal="center" vertical="top"/>
    </xf>
    <xf numFmtId="0" fontId="0" fillId="0" borderId="2" xfId="0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 vertical="top"/>
    </xf>
    <xf numFmtId="0" fontId="0" fillId="0" borderId="6" xfId="0" applyBorder="1"/>
    <xf numFmtId="0" fontId="1" fillId="5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1" xfId="0" applyFont="1" applyBorder="1" applyAlignment="1">
      <alignment vertical="top"/>
    </xf>
    <xf numFmtId="0" fontId="6" fillId="0" borderId="1" xfId="0" applyFont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0" fillId="0" borderId="1" xfId="0" applyBorder="1" applyAlignment="1">
      <alignment horizontal="right"/>
    </xf>
    <xf numFmtId="0" fontId="1" fillId="2" borderId="1" xfId="0" applyFont="1" applyFill="1" applyBorder="1" applyAlignment="1">
      <alignment horizontal="right" vertical="top"/>
    </xf>
    <xf numFmtId="0" fontId="1" fillId="5" borderId="1" xfId="0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0" fontId="0" fillId="0" borderId="0" xfId="0" applyAlignment="1">
      <alignment horizontal="right"/>
    </xf>
    <xf numFmtId="0" fontId="7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F76A9-80AB-4236-8B1F-676ADE76CB37}">
  <sheetPr>
    <pageSetUpPr fitToPage="1"/>
  </sheetPr>
  <dimension ref="A1:R37"/>
  <sheetViews>
    <sheetView tabSelected="1" topLeftCell="B1" zoomScale="88" workbookViewId="0">
      <selection activeCell="B1" sqref="A1:Q1048576"/>
    </sheetView>
  </sheetViews>
  <sheetFormatPr defaultRowHeight="15"/>
  <cols>
    <col min="1" max="1" width="43.5703125" customWidth="1"/>
    <col min="2" max="2" width="27.140625" customWidth="1"/>
    <col min="3" max="3" width="22.85546875" style="28" customWidth="1"/>
    <col min="4" max="4" width="10.28515625" bestFit="1" customWidth="1"/>
    <col min="5" max="5" width="13.85546875" customWidth="1"/>
    <col min="6" max="6" width="14.42578125" customWidth="1"/>
    <col min="7" max="7" width="16.140625" customWidth="1"/>
    <col min="8" max="8" width="14.28515625" customWidth="1"/>
    <col min="9" max="9" width="11.85546875" style="28" customWidth="1"/>
    <col min="10" max="10" width="11.85546875" customWidth="1"/>
    <col min="11" max="11" width="11.85546875" style="34" customWidth="1"/>
    <col min="12" max="15" width="13.42578125" customWidth="1"/>
    <col min="16" max="16" width="12.5703125" customWidth="1"/>
  </cols>
  <sheetData>
    <row r="1" spans="1:18" ht="24.75">
      <c r="A1" s="43" t="s">
        <v>0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</row>
    <row r="2" spans="1:18" ht="24.75">
      <c r="A2" s="43" t="s">
        <v>1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</row>
    <row r="3" spans="1:18" ht="15.75">
      <c r="A3" s="1" t="s">
        <v>2</v>
      </c>
      <c r="B3" s="4" t="s">
        <v>3</v>
      </c>
      <c r="C3" s="25" t="s">
        <v>4</v>
      </c>
      <c r="D3" s="4"/>
      <c r="E3" s="5" t="s">
        <v>5</v>
      </c>
      <c r="F3" s="5" t="s">
        <v>6</v>
      </c>
      <c r="G3" s="5" t="s">
        <v>7</v>
      </c>
      <c r="H3" s="5" t="s">
        <v>8</v>
      </c>
      <c r="I3" s="5" t="s">
        <v>9</v>
      </c>
      <c r="J3" s="5" t="s">
        <v>9</v>
      </c>
      <c r="K3" s="37" t="s">
        <v>10</v>
      </c>
      <c r="L3" s="5" t="s">
        <v>10</v>
      </c>
      <c r="M3" s="5" t="s">
        <v>11</v>
      </c>
      <c r="N3" s="5" t="s">
        <v>11</v>
      </c>
      <c r="O3" s="5" t="s">
        <v>12</v>
      </c>
      <c r="P3" s="5" t="s">
        <v>13</v>
      </c>
    </row>
    <row r="4" spans="1:18">
      <c r="A4" s="15"/>
      <c r="C4" s="21" t="s">
        <v>14</v>
      </c>
      <c r="D4" s="15"/>
      <c r="E4" s="33">
        <v>10</v>
      </c>
      <c r="F4" s="33">
        <v>10</v>
      </c>
      <c r="G4" s="33">
        <v>20</v>
      </c>
      <c r="H4" s="33">
        <v>20</v>
      </c>
      <c r="I4" s="33">
        <f>(0.5*(E4+F4) + G4 + H4)</f>
        <v>50</v>
      </c>
      <c r="J4" s="33">
        <f>I4*2</f>
        <v>100</v>
      </c>
      <c r="K4" s="33">
        <f>L4/5</f>
        <v>20</v>
      </c>
      <c r="L4" s="33">
        <v>100</v>
      </c>
      <c r="M4" s="33">
        <v>100</v>
      </c>
      <c r="N4" s="33">
        <f>M4*0.3</f>
        <v>30</v>
      </c>
      <c r="O4" s="15">
        <f>SUM(I4,K4,N4)</f>
        <v>100</v>
      </c>
      <c r="P4" s="16"/>
      <c r="Q4" s="17"/>
      <c r="R4" s="17"/>
    </row>
    <row r="5" spans="1:18" ht="15.75">
      <c r="A5" s="2" t="s">
        <v>15</v>
      </c>
      <c r="B5" s="10" t="s">
        <v>16</v>
      </c>
      <c r="C5" s="26" t="s">
        <v>17</v>
      </c>
      <c r="D5" s="35"/>
      <c r="E5" s="36">
        <f>'Assignment 1'!N6</f>
        <v>10</v>
      </c>
      <c r="F5" s="36">
        <f>'Assignment 2'!N6</f>
        <v>10</v>
      </c>
      <c r="G5" s="36">
        <f>'Class Test 1'!N6/2</f>
        <v>9.5</v>
      </c>
      <c r="H5" s="36">
        <f>'Class Test 2'!N6/2</f>
        <v>7</v>
      </c>
      <c r="I5" s="21">
        <f t="shared" ref="I5:I20" si="0">(0.5*(E5+F5) + G5 + H5)</f>
        <v>26.5</v>
      </c>
      <c r="J5" s="33">
        <f t="shared" ref="J5:J20" si="1">I5*2</f>
        <v>53</v>
      </c>
      <c r="K5" s="33">
        <f t="shared" ref="K5:K20" si="2">L5/5</f>
        <v>6.4</v>
      </c>
      <c r="L5" s="34">
        <f>'Mid Sem'!N6*2</f>
        <v>32</v>
      </c>
      <c r="M5" s="34">
        <f>'End Sem'!N6</f>
        <v>65</v>
      </c>
      <c r="N5" s="33">
        <f t="shared" ref="N5:N20" si="3">M5*0.3</f>
        <v>19.5</v>
      </c>
      <c r="O5" s="15">
        <f t="shared" ref="O5:O20" si="4">SUM(I5,K5,N5)</f>
        <v>52.4</v>
      </c>
      <c r="P5" s="3"/>
    </row>
    <row r="6" spans="1:18" ht="15.75">
      <c r="A6" s="2" t="s">
        <v>15</v>
      </c>
      <c r="B6" s="11" t="s">
        <v>18</v>
      </c>
      <c r="C6" s="12">
        <v>590021194</v>
      </c>
      <c r="D6" s="35"/>
      <c r="E6" s="36">
        <f>'Assignment 1'!N7</f>
        <v>10</v>
      </c>
      <c r="F6" s="36">
        <f>'Assignment 2'!N7</f>
        <v>10</v>
      </c>
      <c r="G6" s="36">
        <f>'Class Test 1'!N7/2</f>
        <v>12.5</v>
      </c>
      <c r="H6" s="36">
        <f>'Class Test 2'!N7/2</f>
        <v>14</v>
      </c>
      <c r="I6" s="21">
        <f t="shared" si="0"/>
        <v>36.5</v>
      </c>
      <c r="J6" s="33">
        <f t="shared" si="1"/>
        <v>73</v>
      </c>
      <c r="K6" s="33">
        <f t="shared" si="2"/>
        <v>18.399999999999999</v>
      </c>
      <c r="L6" s="34">
        <f>'Mid Sem'!N7*2</f>
        <v>92</v>
      </c>
      <c r="M6" s="34">
        <f>'End Sem'!N7</f>
        <v>60</v>
      </c>
      <c r="N6" s="33">
        <f t="shared" si="3"/>
        <v>18</v>
      </c>
      <c r="O6" s="15">
        <f t="shared" si="4"/>
        <v>72.900000000000006</v>
      </c>
      <c r="P6" s="3"/>
    </row>
    <row r="7" spans="1:18" ht="15.75">
      <c r="A7" s="2" t="s">
        <v>15</v>
      </c>
      <c r="B7" s="10" t="s">
        <v>19</v>
      </c>
      <c r="C7" s="26" t="s">
        <v>20</v>
      </c>
      <c r="D7" s="35"/>
      <c r="E7" s="36">
        <v>9</v>
      </c>
      <c r="F7" s="36">
        <f>'Assignment 2'!N8</f>
        <v>10</v>
      </c>
      <c r="G7" s="36">
        <f>'Class Test 1'!N8/2</f>
        <v>16</v>
      </c>
      <c r="H7" s="36">
        <f>'Class Test 2'!N8/2</f>
        <v>7.5</v>
      </c>
      <c r="I7" s="21">
        <f t="shared" si="0"/>
        <v>33</v>
      </c>
      <c r="J7" s="33">
        <f t="shared" si="1"/>
        <v>66</v>
      </c>
      <c r="K7" s="33">
        <f t="shared" si="2"/>
        <v>4.4000000000000004</v>
      </c>
      <c r="L7" s="34">
        <f>'Mid Sem'!N8*2</f>
        <v>22</v>
      </c>
      <c r="M7" s="34">
        <f>'End Sem'!N8</f>
        <v>8</v>
      </c>
      <c r="N7" s="33">
        <f t="shared" si="3"/>
        <v>2.4</v>
      </c>
      <c r="O7" s="15">
        <f t="shared" si="4"/>
        <v>39.799999999999997</v>
      </c>
      <c r="P7" s="3"/>
    </row>
    <row r="8" spans="1:18" ht="15.75">
      <c r="A8" s="2" t="s">
        <v>15</v>
      </c>
      <c r="B8" s="11" t="s">
        <v>21</v>
      </c>
      <c r="C8" s="27" t="s">
        <v>22</v>
      </c>
      <c r="D8" s="35"/>
      <c r="E8" s="36">
        <f>'Assignment 1'!N9</f>
        <v>10</v>
      </c>
      <c r="F8" s="36">
        <f>'Assignment 2'!N9</f>
        <v>10</v>
      </c>
      <c r="G8" s="36">
        <f>'Class Test 1'!N9/2</f>
        <v>15</v>
      </c>
      <c r="H8" s="36">
        <f>'Class Test 2'!N9/2</f>
        <v>12</v>
      </c>
      <c r="I8" s="21">
        <f t="shared" si="0"/>
        <v>37</v>
      </c>
      <c r="J8" s="33">
        <f t="shared" si="1"/>
        <v>74</v>
      </c>
      <c r="K8" s="33">
        <f t="shared" si="2"/>
        <v>10.8</v>
      </c>
      <c r="L8" s="34">
        <f>'Mid Sem'!N9*2</f>
        <v>54</v>
      </c>
      <c r="M8" s="34">
        <f>'End Sem'!N9</f>
        <v>31</v>
      </c>
      <c r="N8" s="33">
        <f t="shared" si="3"/>
        <v>9.2999999999999989</v>
      </c>
      <c r="O8" s="15">
        <f t="shared" si="4"/>
        <v>57.099999999999994</v>
      </c>
      <c r="P8" s="3"/>
    </row>
    <row r="9" spans="1:18" ht="15.75">
      <c r="A9" s="2" t="s">
        <v>15</v>
      </c>
      <c r="B9" s="10" t="s">
        <v>23</v>
      </c>
      <c r="C9" s="26" t="s">
        <v>24</v>
      </c>
      <c r="D9" s="35"/>
      <c r="E9" s="36">
        <f>'Assignment 1'!N10</f>
        <v>10</v>
      </c>
      <c r="F9" s="36">
        <f>'Assignment 2'!N10</f>
        <v>10</v>
      </c>
      <c r="G9" s="36">
        <f>'Class Test 1'!N10/2</f>
        <v>12.5</v>
      </c>
      <c r="H9" s="36">
        <f>'Class Test 2'!N10/2</f>
        <v>9.5</v>
      </c>
      <c r="I9" s="21">
        <f t="shared" si="0"/>
        <v>32</v>
      </c>
      <c r="J9" s="33">
        <f t="shared" si="1"/>
        <v>64</v>
      </c>
      <c r="K9" s="33">
        <f t="shared" si="2"/>
        <v>8</v>
      </c>
      <c r="L9" s="34">
        <f>'Mid Sem'!N10*2</f>
        <v>40</v>
      </c>
      <c r="M9" s="34">
        <f>'End Sem'!N10</f>
        <v>52</v>
      </c>
      <c r="N9" s="33">
        <f t="shared" si="3"/>
        <v>15.6</v>
      </c>
      <c r="O9" s="15">
        <f t="shared" si="4"/>
        <v>55.6</v>
      </c>
      <c r="P9" s="3"/>
    </row>
    <row r="10" spans="1:18" ht="15.75">
      <c r="A10" s="2" t="s">
        <v>15</v>
      </c>
      <c r="B10" s="11" t="s">
        <v>25</v>
      </c>
      <c r="C10" s="27" t="s">
        <v>26</v>
      </c>
      <c r="D10" s="35"/>
      <c r="E10" s="36">
        <f>'Assignment 1'!N11</f>
        <v>10</v>
      </c>
      <c r="F10" s="36">
        <f>'Assignment 2'!N11</f>
        <v>10</v>
      </c>
      <c r="G10" s="36">
        <f>'Class Test 1'!N11/2</f>
        <v>17.5</v>
      </c>
      <c r="H10" s="36">
        <f>'Class Test 2'!N11/2</f>
        <v>10.5</v>
      </c>
      <c r="I10" s="21">
        <f t="shared" si="0"/>
        <v>38</v>
      </c>
      <c r="J10" s="33">
        <f t="shared" si="1"/>
        <v>76</v>
      </c>
      <c r="K10" s="33">
        <f t="shared" si="2"/>
        <v>16.8</v>
      </c>
      <c r="L10" s="34">
        <f>'Mid Sem'!N11*2</f>
        <v>84</v>
      </c>
      <c r="M10" s="34">
        <f>'End Sem'!N11</f>
        <v>0</v>
      </c>
      <c r="N10" s="33">
        <f t="shared" si="3"/>
        <v>0</v>
      </c>
      <c r="O10" s="15">
        <f t="shared" si="4"/>
        <v>54.8</v>
      </c>
      <c r="P10" s="3"/>
    </row>
    <row r="11" spans="1:18" ht="15.75">
      <c r="A11" s="2" t="s">
        <v>15</v>
      </c>
      <c r="B11" s="13" t="s">
        <v>27</v>
      </c>
      <c r="C11" s="26" t="s">
        <v>28</v>
      </c>
      <c r="D11" s="35"/>
      <c r="E11" s="36">
        <f>'Assignment 1'!N12</f>
        <v>10</v>
      </c>
      <c r="F11" s="36">
        <f>'Assignment 2'!N12</f>
        <v>10</v>
      </c>
      <c r="G11" s="36">
        <f>'Class Test 1'!N12/2</f>
        <v>20</v>
      </c>
      <c r="H11" s="36">
        <f>'Class Test 2'!N12/2</f>
        <v>2</v>
      </c>
      <c r="I11" s="21">
        <f t="shared" si="0"/>
        <v>32</v>
      </c>
      <c r="J11" s="33">
        <f t="shared" si="1"/>
        <v>64</v>
      </c>
      <c r="K11" s="33">
        <f t="shared" si="2"/>
        <v>7.6</v>
      </c>
      <c r="L11" s="34">
        <f>'Mid Sem'!N12*2</f>
        <v>38</v>
      </c>
      <c r="M11" s="34">
        <f>'End Sem'!N12</f>
        <v>18</v>
      </c>
      <c r="N11" s="33">
        <f t="shared" si="3"/>
        <v>5.3999999999999995</v>
      </c>
      <c r="O11" s="15">
        <f t="shared" si="4"/>
        <v>45</v>
      </c>
      <c r="P11" s="3"/>
    </row>
    <row r="12" spans="1:18" ht="15.75">
      <c r="A12" s="2" t="s">
        <v>15</v>
      </c>
      <c r="B12" s="14" t="s">
        <v>29</v>
      </c>
      <c r="C12" s="27" t="s">
        <v>30</v>
      </c>
      <c r="D12" s="35"/>
      <c r="E12" s="36">
        <f>'Assignment 1'!N13</f>
        <v>10</v>
      </c>
      <c r="F12" s="36">
        <f>'Assignment 2'!N13</f>
        <v>10</v>
      </c>
      <c r="G12" s="36">
        <f>'Class Test 1'!N13/2</f>
        <v>17.5</v>
      </c>
      <c r="H12" s="36">
        <f>'Class Test 2'!N13/2</f>
        <v>18</v>
      </c>
      <c r="I12" s="21">
        <f t="shared" si="0"/>
        <v>45.5</v>
      </c>
      <c r="J12" s="33">
        <f t="shared" si="1"/>
        <v>91</v>
      </c>
      <c r="K12" s="33">
        <f t="shared" si="2"/>
        <v>14.4</v>
      </c>
      <c r="L12" s="34">
        <f>'Mid Sem'!N13*2</f>
        <v>72</v>
      </c>
      <c r="M12" s="34">
        <f>'End Sem'!N13</f>
        <v>86</v>
      </c>
      <c r="N12" s="33">
        <f t="shared" si="3"/>
        <v>25.8</v>
      </c>
      <c r="O12" s="15">
        <f t="shared" si="4"/>
        <v>85.7</v>
      </c>
      <c r="P12" s="3"/>
    </row>
    <row r="13" spans="1:18" ht="15.75">
      <c r="A13" s="2" t="s">
        <v>15</v>
      </c>
      <c r="B13" s="13" t="s">
        <v>31</v>
      </c>
      <c r="C13" s="26" t="s">
        <v>32</v>
      </c>
      <c r="D13" s="35"/>
      <c r="E13" s="36">
        <v>9</v>
      </c>
      <c r="F13" s="36">
        <f>'Assignment 2'!N14</f>
        <v>10</v>
      </c>
      <c r="G13" s="36">
        <f>'Class Test 1'!N14/2</f>
        <v>14.5</v>
      </c>
      <c r="H13" s="36">
        <f>'Class Test 2'!N14/2</f>
        <v>12.5</v>
      </c>
      <c r="I13" s="21">
        <f t="shared" si="0"/>
        <v>36.5</v>
      </c>
      <c r="J13" s="33">
        <f t="shared" si="1"/>
        <v>73</v>
      </c>
      <c r="K13" s="33">
        <f t="shared" si="2"/>
        <v>0</v>
      </c>
      <c r="L13" s="34">
        <f>'Mid Sem'!N14*2</f>
        <v>0</v>
      </c>
      <c r="M13" s="34">
        <f>'End Sem'!N14</f>
        <v>29</v>
      </c>
      <c r="N13" s="33">
        <f t="shared" si="3"/>
        <v>8.6999999999999993</v>
      </c>
      <c r="O13" s="15">
        <f t="shared" si="4"/>
        <v>45.2</v>
      </c>
      <c r="P13" s="3"/>
    </row>
    <row r="14" spans="1:18" ht="15.75">
      <c r="A14" s="2" t="s">
        <v>15</v>
      </c>
      <c r="B14" s="14" t="s">
        <v>33</v>
      </c>
      <c r="C14" s="12">
        <v>590021217</v>
      </c>
      <c r="D14" s="35"/>
      <c r="E14" s="36">
        <f>'Assignment 1'!N15</f>
        <v>10</v>
      </c>
      <c r="F14" s="36">
        <v>9</v>
      </c>
      <c r="G14" s="36">
        <f>'Class Test 1'!N15/2</f>
        <v>11</v>
      </c>
      <c r="H14" s="36">
        <f>'Class Test 2'!N15/2</f>
        <v>1</v>
      </c>
      <c r="I14" s="21">
        <f t="shared" si="0"/>
        <v>21.5</v>
      </c>
      <c r="J14" s="33">
        <f t="shared" si="1"/>
        <v>43</v>
      </c>
      <c r="K14" s="33">
        <f t="shared" si="2"/>
        <v>11.6</v>
      </c>
      <c r="L14" s="34">
        <f>'Mid Sem'!N15*2</f>
        <v>58</v>
      </c>
      <c r="M14" s="34">
        <f>'End Sem'!N15</f>
        <v>49</v>
      </c>
      <c r="N14" s="33">
        <f t="shared" si="3"/>
        <v>14.7</v>
      </c>
      <c r="O14" s="15">
        <f t="shared" si="4"/>
        <v>47.8</v>
      </c>
      <c r="P14" s="3"/>
    </row>
    <row r="15" spans="1:18" ht="15.75">
      <c r="A15" s="2" t="s">
        <v>15</v>
      </c>
      <c r="B15" s="13" t="s">
        <v>34</v>
      </c>
      <c r="C15" s="26" t="s">
        <v>35</v>
      </c>
      <c r="D15" s="35"/>
      <c r="E15" s="36">
        <f>'Assignment 1'!N16</f>
        <v>10</v>
      </c>
      <c r="F15" s="36">
        <f>'Assignment 2'!N16</f>
        <v>10</v>
      </c>
      <c r="G15" s="36">
        <f>'Class Test 1'!N16/2</f>
        <v>9.5</v>
      </c>
      <c r="H15" s="36">
        <f>'Class Test 2'!N16/2</f>
        <v>5.5</v>
      </c>
      <c r="I15" s="21">
        <f t="shared" si="0"/>
        <v>25</v>
      </c>
      <c r="J15" s="33">
        <f t="shared" si="1"/>
        <v>50</v>
      </c>
      <c r="K15" s="33">
        <f t="shared" si="2"/>
        <v>8.4</v>
      </c>
      <c r="L15" s="34">
        <f>'Mid Sem'!N16*2</f>
        <v>42</v>
      </c>
      <c r="M15" s="34">
        <f>'End Sem'!N16</f>
        <v>32</v>
      </c>
      <c r="N15" s="33">
        <f t="shared" si="3"/>
        <v>9.6</v>
      </c>
      <c r="O15" s="15">
        <f t="shared" si="4"/>
        <v>43</v>
      </c>
      <c r="P15" s="3"/>
    </row>
    <row r="16" spans="1:18" ht="15.75">
      <c r="A16" s="2" t="s">
        <v>15</v>
      </c>
      <c r="B16" s="14" t="s">
        <v>36</v>
      </c>
      <c r="C16" s="27" t="s">
        <v>37</v>
      </c>
      <c r="D16" s="35"/>
      <c r="E16" s="36">
        <f>'Assignment 1'!N17</f>
        <v>10</v>
      </c>
      <c r="F16" s="36">
        <v>9</v>
      </c>
      <c r="G16" s="36">
        <f>'Class Test 1'!N17/2</f>
        <v>13.5</v>
      </c>
      <c r="H16" s="36">
        <f>'Class Test 2'!N17/2</f>
        <v>13.5</v>
      </c>
      <c r="I16" s="21">
        <f t="shared" si="0"/>
        <v>36.5</v>
      </c>
      <c r="J16" s="33">
        <f t="shared" si="1"/>
        <v>73</v>
      </c>
      <c r="K16" s="33">
        <f t="shared" si="2"/>
        <v>2</v>
      </c>
      <c r="L16" s="34">
        <f>'Mid Sem'!N17*2</f>
        <v>10</v>
      </c>
      <c r="M16" s="34">
        <f>'End Sem'!N17</f>
        <v>12</v>
      </c>
      <c r="N16" s="33">
        <f t="shared" si="3"/>
        <v>3.5999999999999996</v>
      </c>
      <c r="O16" s="15">
        <f t="shared" si="4"/>
        <v>42.1</v>
      </c>
      <c r="P16" s="3"/>
    </row>
    <row r="17" spans="2:16" ht="15.75">
      <c r="B17" s="13" t="s">
        <v>38</v>
      </c>
      <c r="C17" s="26" t="s">
        <v>39</v>
      </c>
      <c r="D17" s="35"/>
      <c r="E17" s="36">
        <v>10</v>
      </c>
      <c r="F17" s="36">
        <f>'Assignment 2'!N18</f>
        <v>10</v>
      </c>
      <c r="G17" s="36">
        <f>'Class Test 1'!N18/2</f>
        <v>9.5</v>
      </c>
      <c r="H17" s="36">
        <f>'Class Test 2'!N18/2</f>
        <v>3.5</v>
      </c>
      <c r="I17" s="21">
        <f t="shared" si="0"/>
        <v>23</v>
      </c>
      <c r="J17" s="33">
        <f t="shared" si="1"/>
        <v>46</v>
      </c>
      <c r="K17" s="33">
        <f t="shared" si="2"/>
        <v>2</v>
      </c>
      <c r="L17" s="34">
        <f>'Mid Sem'!N18*2</f>
        <v>10</v>
      </c>
      <c r="M17" s="34">
        <f>'End Sem'!N18</f>
        <v>25</v>
      </c>
      <c r="N17" s="33">
        <f t="shared" si="3"/>
        <v>7.5</v>
      </c>
      <c r="O17" s="15">
        <f t="shared" si="4"/>
        <v>32.5</v>
      </c>
      <c r="P17" s="3"/>
    </row>
    <row r="18" spans="2:16" ht="15.75">
      <c r="B18" s="14" t="s">
        <v>40</v>
      </c>
      <c r="C18" s="27" t="s">
        <v>41</v>
      </c>
      <c r="D18" s="35"/>
      <c r="E18" s="36">
        <f>'Assignment 1'!N19</f>
        <v>10</v>
      </c>
      <c r="F18" s="36">
        <f>'Assignment 2'!N19</f>
        <v>10</v>
      </c>
      <c r="G18" s="36">
        <f>'Class Test 1'!N19/2</f>
        <v>15</v>
      </c>
      <c r="H18" s="36">
        <f>'Class Test 2'!N19/2</f>
        <v>7</v>
      </c>
      <c r="I18" s="21">
        <f t="shared" si="0"/>
        <v>32</v>
      </c>
      <c r="J18" s="33">
        <f t="shared" si="1"/>
        <v>64</v>
      </c>
      <c r="K18" s="33">
        <f t="shared" si="2"/>
        <v>0.4</v>
      </c>
      <c r="L18" s="34">
        <f>'Mid Sem'!N19*2</f>
        <v>2</v>
      </c>
      <c r="M18" s="34">
        <f>'End Sem'!N19</f>
        <v>16</v>
      </c>
      <c r="N18" s="33">
        <f t="shared" si="3"/>
        <v>4.8</v>
      </c>
      <c r="O18" s="15">
        <f t="shared" si="4"/>
        <v>37.199999999999996</v>
      </c>
    </row>
    <row r="19" spans="2:16" ht="15.75">
      <c r="B19" s="18" t="s">
        <v>42</v>
      </c>
      <c r="C19" s="29">
        <v>500107236</v>
      </c>
      <c r="D19" s="35"/>
      <c r="E19" s="36">
        <f>'Assignment 1'!N20</f>
        <v>10</v>
      </c>
      <c r="F19" s="36">
        <f>'Assignment 2'!N20</f>
        <v>10</v>
      </c>
      <c r="G19" s="36">
        <f>'Class Test 1'!N20/2</f>
        <v>17.5</v>
      </c>
      <c r="H19" s="36">
        <f>'Class Test 2'!N20/2</f>
        <v>17</v>
      </c>
      <c r="I19" s="21">
        <f t="shared" si="0"/>
        <v>44.5</v>
      </c>
      <c r="J19" s="33">
        <f t="shared" si="1"/>
        <v>89</v>
      </c>
      <c r="K19" s="33">
        <f t="shared" si="2"/>
        <v>14</v>
      </c>
      <c r="L19" s="34">
        <f>'Mid Sem'!N20*2</f>
        <v>70</v>
      </c>
      <c r="M19" s="34">
        <f>'End Sem'!N20</f>
        <v>57</v>
      </c>
      <c r="N19" s="33">
        <f t="shared" si="3"/>
        <v>17.099999999999998</v>
      </c>
      <c r="O19" s="15">
        <f t="shared" si="4"/>
        <v>75.599999999999994</v>
      </c>
    </row>
    <row r="20" spans="2:16" ht="15.75">
      <c r="B20" s="19" t="s">
        <v>43</v>
      </c>
      <c r="C20" s="29">
        <v>500106635</v>
      </c>
      <c r="D20" s="35"/>
      <c r="E20" s="36">
        <f>'Assignment 1'!N21</f>
        <v>10</v>
      </c>
      <c r="F20" s="36">
        <f>'Assignment 2'!N21</f>
        <v>10</v>
      </c>
      <c r="G20" s="36">
        <f>'Class Test 1'!N21/2</f>
        <v>17.5</v>
      </c>
      <c r="H20" s="36">
        <f>'Class Test 2'!N21/2</f>
        <v>12.5</v>
      </c>
      <c r="I20" s="21">
        <f t="shared" si="0"/>
        <v>40</v>
      </c>
      <c r="J20" s="33">
        <f t="shared" si="1"/>
        <v>80</v>
      </c>
      <c r="K20" s="33">
        <f t="shared" si="2"/>
        <v>5.6</v>
      </c>
      <c r="L20" s="34">
        <f>'Mid Sem'!N21*2</f>
        <v>28</v>
      </c>
      <c r="M20" s="34">
        <f>'End Sem'!N21</f>
        <v>72</v>
      </c>
      <c r="N20" s="33">
        <f t="shared" si="3"/>
        <v>21.599999999999998</v>
      </c>
      <c r="O20" s="15">
        <f t="shared" si="4"/>
        <v>67.2</v>
      </c>
    </row>
    <row r="23" spans="2:16">
      <c r="C23"/>
      <c r="G23" s="28"/>
      <c r="I23" s="34"/>
      <c r="K23"/>
    </row>
    <row r="24" spans="2:16">
      <c r="C24"/>
      <c r="G24" s="28"/>
      <c r="I24" s="34"/>
      <c r="K24"/>
    </row>
    <row r="25" spans="2:16">
      <c r="C25"/>
      <c r="G25" s="28"/>
      <c r="I25" s="34"/>
      <c r="K25"/>
    </row>
    <row r="26" spans="2:16">
      <c r="C26"/>
      <c r="G26" s="28"/>
      <c r="I26" s="34"/>
      <c r="K26"/>
    </row>
    <row r="27" spans="2:16">
      <c r="C27"/>
      <c r="G27" s="28"/>
      <c r="I27" s="34"/>
      <c r="K27"/>
    </row>
    <row r="28" spans="2:16">
      <c r="C28"/>
      <c r="G28" s="28"/>
      <c r="I28" s="34"/>
      <c r="K28"/>
    </row>
    <row r="29" spans="2:16">
      <c r="C29"/>
      <c r="G29" s="28"/>
      <c r="I29" s="34"/>
      <c r="K29"/>
    </row>
    <row r="30" spans="2:16">
      <c r="C30"/>
      <c r="G30" s="28"/>
      <c r="I30" s="34"/>
      <c r="K30"/>
    </row>
    <row r="31" spans="2:16">
      <c r="C31"/>
      <c r="G31" s="28"/>
      <c r="I31" s="34"/>
      <c r="K31"/>
    </row>
    <row r="32" spans="2:16">
      <c r="C32"/>
      <c r="G32" s="28"/>
      <c r="I32" s="34"/>
      <c r="K32"/>
    </row>
    <row r="33" spans="3:11">
      <c r="C33"/>
      <c r="G33" s="28"/>
      <c r="I33" s="34"/>
      <c r="K33"/>
    </row>
    <row r="34" spans="3:11">
      <c r="C34"/>
      <c r="G34" s="28"/>
      <c r="I34" s="34"/>
      <c r="K34"/>
    </row>
    <row r="35" spans="3:11">
      <c r="C35"/>
      <c r="G35" s="28"/>
      <c r="I35" s="34"/>
      <c r="K35"/>
    </row>
    <row r="36" spans="3:11">
      <c r="C36"/>
      <c r="G36" s="28"/>
      <c r="I36" s="34"/>
      <c r="K36"/>
    </row>
    <row r="37" spans="3:11">
      <c r="C37"/>
      <c r="G37" s="28"/>
      <c r="I37" s="34"/>
      <c r="K37"/>
    </row>
  </sheetData>
  <mergeCells count="2">
    <mergeCell ref="A1:Q1"/>
    <mergeCell ref="A2:Q2"/>
  </mergeCells>
  <conditionalFormatting sqref="O5:O20">
    <cfRule type="colorScale" priority="1">
      <colorScale>
        <cfvo type="num" val="34"/>
        <cfvo type="num" val="35"/>
        <color rgb="FFFF7128"/>
        <color rgb="FF92D050"/>
      </colorScale>
    </cfRule>
  </conditionalFormatting>
  <printOptions gridLines="1"/>
  <pageMargins left="0.7" right="0.7" top="0.75" bottom="0.75" header="0.3" footer="0.3"/>
  <pageSetup paperSize="9" scale="83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320EC-5887-4CA4-8B00-C82693C60F77}">
  <sheetPr>
    <pageSetUpPr fitToPage="1"/>
  </sheetPr>
  <dimension ref="A1:O57"/>
  <sheetViews>
    <sheetView topLeftCell="A3" workbookViewId="0">
      <selection activeCell="H4" sqref="H4"/>
    </sheetView>
  </sheetViews>
  <sheetFormatPr defaultRowHeight="15"/>
  <cols>
    <col min="1" max="1" width="25" customWidth="1"/>
    <col min="2" max="2" width="24.5703125" style="28" customWidth="1"/>
    <col min="15" max="15" width="13.140625" customWidth="1"/>
  </cols>
  <sheetData>
    <row r="1" spans="1:15" ht="24.75">
      <c r="A1" s="43" t="s">
        <v>44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</row>
    <row r="2" spans="1:15" ht="24.75">
      <c r="A2" s="43" t="str">
        <f>Marksheet!A2</f>
        <v xml:space="preserve">Classical Mechanics (PHYS 7001) 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</row>
    <row r="3" spans="1:15">
      <c r="A3" s="6"/>
      <c r="B3" s="30"/>
      <c r="C3" s="7" t="s">
        <v>45</v>
      </c>
      <c r="D3" s="7" t="s">
        <v>45</v>
      </c>
      <c r="E3" s="7" t="s">
        <v>45</v>
      </c>
      <c r="F3" s="7" t="s">
        <v>45</v>
      </c>
      <c r="G3" s="7" t="s">
        <v>46</v>
      </c>
      <c r="H3" s="7" t="s">
        <v>47</v>
      </c>
      <c r="I3" s="7"/>
      <c r="J3" s="7"/>
      <c r="K3" s="7"/>
      <c r="L3" s="7"/>
      <c r="M3" s="7"/>
      <c r="N3" s="6"/>
      <c r="O3" s="6"/>
    </row>
    <row r="4" spans="1:15">
      <c r="A4" s="8" t="s">
        <v>48</v>
      </c>
      <c r="B4" s="31" t="s">
        <v>49</v>
      </c>
      <c r="C4" s="20" t="s">
        <v>50</v>
      </c>
      <c r="D4" s="20" t="s">
        <v>51</v>
      </c>
      <c r="E4" s="20" t="s">
        <v>52</v>
      </c>
      <c r="F4" s="20" t="s">
        <v>53</v>
      </c>
      <c r="G4" s="20" t="s">
        <v>54</v>
      </c>
      <c r="H4" s="20" t="s">
        <v>55</v>
      </c>
      <c r="I4" s="20" t="s">
        <v>56</v>
      </c>
      <c r="J4" s="20" t="s">
        <v>57</v>
      </c>
      <c r="K4" s="20" t="s">
        <v>58</v>
      </c>
      <c r="L4" s="20" t="s">
        <v>59</v>
      </c>
      <c r="M4" s="20" t="s">
        <v>60</v>
      </c>
      <c r="N4" s="20" t="s">
        <v>12</v>
      </c>
      <c r="O4" s="20" t="s">
        <v>13</v>
      </c>
    </row>
    <row r="5" spans="1:15">
      <c r="A5" s="15"/>
      <c r="B5" s="21" t="s">
        <v>14</v>
      </c>
      <c r="C5" s="21">
        <v>5</v>
      </c>
      <c r="D5" s="21">
        <v>5</v>
      </c>
      <c r="E5" s="21">
        <v>5</v>
      </c>
      <c r="F5" s="21">
        <v>5</v>
      </c>
      <c r="G5" s="21">
        <v>15</v>
      </c>
      <c r="H5" s="21">
        <v>15</v>
      </c>
      <c r="I5" s="21"/>
      <c r="J5" s="21"/>
      <c r="K5" s="21"/>
      <c r="L5" s="21"/>
      <c r="M5" s="21"/>
      <c r="N5" s="21">
        <f>SUM(C5:H5)</f>
        <v>50</v>
      </c>
      <c r="O5" s="21"/>
    </row>
    <row r="6" spans="1:15">
      <c r="A6" s="9" t="str">
        <f>Marksheet!B5</f>
        <v>Akshay Alodiya</v>
      </c>
      <c r="B6" s="30" t="str">
        <f>Marksheet!C5</f>
        <v>590021120</v>
      </c>
      <c r="C6" s="6">
        <v>3</v>
      </c>
      <c r="D6" s="6">
        <v>2</v>
      </c>
      <c r="E6" s="6">
        <v>2</v>
      </c>
      <c r="F6" s="6">
        <v>5</v>
      </c>
      <c r="G6" s="6">
        <v>4</v>
      </c>
      <c r="H6" s="6">
        <v>0</v>
      </c>
      <c r="I6" s="6"/>
      <c r="J6" s="6"/>
      <c r="K6" s="6"/>
      <c r="L6" s="6"/>
      <c r="M6" s="6"/>
      <c r="N6" s="21">
        <f t="shared" ref="N6:N21" si="0">SUM(C6:H6)</f>
        <v>16</v>
      </c>
      <c r="O6" s="6"/>
    </row>
    <row r="7" spans="1:15">
      <c r="A7" s="9" t="str">
        <f>Marksheet!B6</f>
        <v>Avishankar Sardar</v>
      </c>
      <c r="B7" s="30">
        <f>Marksheet!C6</f>
        <v>590021194</v>
      </c>
      <c r="C7" s="6">
        <v>5</v>
      </c>
      <c r="D7" s="6">
        <v>5</v>
      </c>
      <c r="E7" s="6">
        <v>5</v>
      </c>
      <c r="F7" s="6">
        <v>3</v>
      </c>
      <c r="G7" s="6">
        <v>15</v>
      </c>
      <c r="H7" s="6">
        <v>13</v>
      </c>
      <c r="I7" s="6"/>
      <c r="J7" s="6"/>
      <c r="K7" s="6"/>
      <c r="L7" s="6"/>
      <c r="M7" s="6"/>
      <c r="N7" s="21">
        <f t="shared" si="0"/>
        <v>46</v>
      </c>
      <c r="O7" s="6"/>
    </row>
    <row r="8" spans="1:15">
      <c r="A8" s="9" t="str">
        <f>Marksheet!B7</f>
        <v>Dhruv Kumar Singh</v>
      </c>
      <c r="B8" s="30" t="str">
        <f>Marksheet!C7</f>
        <v>590021234</v>
      </c>
      <c r="C8" s="6">
        <v>0</v>
      </c>
      <c r="D8" s="6">
        <v>0</v>
      </c>
      <c r="E8" s="6">
        <v>5</v>
      </c>
      <c r="F8" s="6">
        <v>2</v>
      </c>
      <c r="G8" s="6">
        <v>0</v>
      </c>
      <c r="H8" s="6">
        <v>4</v>
      </c>
      <c r="I8" s="6"/>
      <c r="J8" s="6"/>
      <c r="K8" s="6"/>
      <c r="L8" s="6"/>
      <c r="M8" s="6"/>
      <c r="N8" s="21">
        <f t="shared" si="0"/>
        <v>11</v>
      </c>
      <c r="O8" s="6"/>
    </row>
    <row r="9" spans="1:15">
      <c r="A9" s="9" t="str">
        <f>Marksheet!B8</f>
        <v>Madhumita Rajesh</v>
      </c>
      <c r="B9" s="30" t="str">
        <f>Marksheet!C8</f>
        <v>590025722</v>
      </c>
      <c r="C9" s="6">
        <v>5</v>
      </c>
      <c r="D9" s="6">
        <v>2</v>
      </c>
      <c r="E9" s="6">
        <v>0</v>
      </c>
      <c r="F9" s="6">
        <v>5</v>
      </c>
      <c r="G9" s="6">
        <v>2</v>
      </c>
      <c r="H9" s="6">
        <v>13</v>
      </c>
      <c r="I9" s="6"/>
      <c r="J9" s="6"/>
      <c r="K9" s="6"/>
      <c r="L9" s="6"/>
      <c r="M9" s="6"/>
      <c r="N9" s="21">
        <f t="shared" si="0"/>
        <v>27</v>
      </c>
      <c r="O9" s="6"/>
    </row>
    <row r="10" spans="1:15">
      <c r="A10" s="9" t="str">
        <f>Marksheet!B9</f>
        <v>Queeny Kaur</v>
      </c>
      <c r="B10" s="30" t="str">
        <f>Marksheet!C9</f>
        <v>590024722</v>
      </c>
      <c r="C10" s="6">
        <v>4</v>
      </c>
      <c r="D10" s="6">
        <v>3</v>
      </c>
      <c r="E10" s="6">
        <v>5</v>
      </c>
      <c r="F10" s="6">
        <v>4</v>
      </c>
      <c r="G10" s="6">
        <v>4</v>
      </c>
      <c r="H10" s="6">
        <v>0</v>
      </c>
      <c r="I10" s="6"/>
      <c r="J10" s="6"/>
      <c r="K10" s="6"/>
      <c r="L10" s="6"/>
      <c r="M10" s="6"/>
      <c r="N10" s="21">
        <f t="shared" si="0"/>
        <v>20</v>
      </c>
      <c r="O10" s="6"/>
    </row>
    <row r="11" spans="1:15">
      <c r="A11" s="9" t="str">
        <f>Marksheet!B10</f>
        <v>Swagata Mukherjee</v>
      </c>
      <c r="B11" s="30" t="str">
        <f>Marksheet!C10</f>
        <v>590024897</v>
      </c>
      <c r="C11" s="32">
        <v>3</v>
      </c>
      <c r="D11" s="32">
        <v>4</v>
      </c>
      <c r="E11" s="32">
        <v>5</v>
      </c>
      <c r="F11" s="32">
        <v>5</v>
      </c>
      <c r="G11" s="32">
        <v>15</v>
      </c>
      <c r="H11" s="32">
        <v>10</v>
      </c>
      <c r="I11" s="6"/>
      <c r="J11" s="6"/>
      <c r="K11" s="6"/>
      <c r="L11" s="6"/>
      <c r="M11" s="6"/>
      <c r="N11" s="21">
        <f t="shared" si="0"/>
        <v>42</v>
      </c>
      <c r="O11" s="6"/>
    </row>
    <row r="12" spans="1:15">
      <c r="A12" s="9" t="str">
        <f>Marksheet!B11</f>
        <v xml:space="preserve">Prakhar </v>
      </c>
      <c r="B12" s="30" t="str">
        <f>Marksheet!C11</f>
        <v>590027722</v>
      </c>
      <c r="C12" s="6">
        <v>5</v>
      </c>
      <c r="D12" s="6">
        <v>5</v>
      </c>
      <c r="E12" s="6">
        <v>5</v>
      </c>
      <c r="F12" s="6">
        <v>0</v>
      </c>
      <c r="G12" s="6">
        <v>4</v>
      </c>
      <c r="H12" s="6">
        <v>0</v>
      </c>
      <c r="I12" s="6"/>
      <c r="J12" s="6"/>
      <c r="K12" s="6"/>
      <c r="L12" s="6"/>
      <c r="M12" s="6"/>
      <c r="N12" s="21">
        <f t="shared" si="0"/>
        <v>19</v>
      </c>
      <c r="O12" s="6"/>
    </row>
    <row r="13" spans="1:15">
      <c r="A13" s="9" t="str">
        <f>Marksheet!B12</f>
        <v>Ayush Uniyal</v>
      </c>
      <c r="B13" s="30" t="str">
        <f>Marksheet!C12</f>
        <v>590027572</v>
      </c>
      <c r="C13" s="6">
        <v>5</v>
      </c>
      <c r="D13" s="6">
        <v>5</v>
      </c>
      <c r="E13" s="6">
        <v>4</v>
      </c>
      <c r="F13" s="6">
        <v>0</v>
      </c>
      <c r="G13" s="6">
        <v>7</v>
      </c>
      <c r="H13" s="6">
        <v>15</v>
      </c>
      <c r="I13" s="6"/>
      <c r="J13" s="6"/>
      <c r="K13" s="6"/>
      <c r="L13" s="6"/>
      <c r="M13" s="6"/>
      <c r="N13" s="21">
        <f t="shared" si="0"/>
        <v>36</v>
      </c>
      <c r="O13" s="6"/>
    </row>
    <row r="14" spans="1:15">
      <c r="A14" s="9" t="str">
        <f>Marksheet!B13</f>
        <v>Divya Krishna</v>
      </c>
      <c r="B14" s="30" t="str">
        <f>Marksheet!C13</f>
        <v>590016280</v>
      </c>
      <c r="C14" s="24" t="s">
        <v>61</v>
      </c>
      <c r="D14" s="24" t="s">
        <v>61</v>
      </c>
      <c r="E14" s="24" t="s">
        <v>61</v>
      </c>
      <c r="F14" s="24" t="s">
        <v>61</v>
      </c>
      <c r="G14" s="24" t="s">
        <v>61</v>
      </c>
      <c r="H14" s="24" t="s">
        <v>61</v>
      </c>
      <c r="I14" s="6"/>
      <c r="J14" s="6"/>
      <c r="K14" s="6"/>
      <c r="L14" s="6"/>
      <c r="M14" s="6"/>
      <c r="N14" s="21">
        <f t="shared" si="0"/>
        <v>0</v>
      </c>
      <c r="O14" s="6"/>
    </row>
    <row r="15" spans="1:15">
      <c r="A15" s="9" t="str">
        <f>Marksheet!B14</f>
        <v>NEHA NAGESH REVANKAR</v>
      </c>
      <c r="B15" s="30">
        <f>Marksheet!C14</f>
        <v>590021217</v>
      </c>
      <c r="C15" s="6">
        <v>1</v>
      </c>
      <c r="D15" s="6">
        <v>1</v>
      </c>
      <c r="E15" s="6">
        <v>5</v>
      </c>
      <c r="F15" s="6">
        <v>5</v>
      </c>
      <c r="G15" s="6">
        <v>2</v>
      </c>
      <c r="H15" s="6">
        <v>15</v>
      </c>
      <c r="I15" s="6"/>
      <c r="J15" s="6"/>
      <c r="K15" s="6"/>
      <c r="L15" s="6"/>
      <c r="M15" s="6"/>
      <c r="N15" s="21">
        <f t="shared" si="0"/>
        <v>29</v>
      </c>
      <c r="O15" s="6"/>
    </row>
    <row r="16" spans="1:15">
      <c r="A16" s="9" t="str">
        <f>Marksheet!B15</f>
        <v>Rushil Soni</v>
      </c>
      <c r="B16" s="30" t="str">
        <f>Marksheet!C15</f>
        <v>590018519</v>
      </c>
      <c r="C16" s="6">
        <v>1</v>
      </c>
      <c r="D16" s="6">
        <v>2</v>
      </c>
      <c r="E16" s="6">
        <v>3</v>
      </c>
      <c r="F16" s="6">
        <v>0</v>
      </c>
      <c r="G16" s="6">
        <v>0</v>
      </c>
      <c r="H16" s="6">
        <v>15</v>
      </c>
      <c r="I16" s="6"/>
      <c r="J16" s="6"/>
      <c r="K16" s="6"/>
      <c r="L16" s="6"/>
      <c r="M16" s="6"/>
      <c r="N16" s="21">
        <f t="shared" si="0"/>
        <v>21</v>
      </c>
      <c r="O16" s="6"/>
    </row>
    <row r="17" spans="1:15">
      <c r="A17" s="9" t="str">
        <f>Marksheet!B16</f>
        <v>Vansh Sharma</v>
      </c>
      <c r="B17" s="30" t="str">
        <f>Marksheet!C16</f>
        <v>590010833</v>
      </c>
      <c r="C17" s="6">
        <v>0</v>
      </c>
      <c r="D17" s="6">
        <v>0</v>
      </c>
      <c r="E17" s="6">
        <v>0</v>
      </c>
      <c r="F17" s="6">
        <v>0</v>
      </c>
      <c r="G17" s="6">
        <v>0</v>
      </c>
      <c r="H17" s="6">
        <v>5</v>
      </c>
      <c r="I17" s="6"/>
      <c r="J17" s="6"/>
      <c r="K17" s="6"/>
      <c r="L17" s="6"/>
      <c r="M17" s="6"/>
      <c r="N17" s="21">
        <f t="shared" si="0"/>
        <v>5</v>
      </c>
      <c r="O17" s="6"/>
    </row>
    <row r="18" spans="1:15">
      <c r="A18" s="9" t="str">
        <f>Marksheet!B17</f>
        <v>Harishankar Nath Tiwari</v>
      </c>
      <c r="B18" s="30" t="str">
        <f>Marksheet!C17</f>
        <v>590028752</v>
      </c>
      <c r="C18" s="6">
        <v>0</v>
      </c>
      <c r="D18" s="6">
        <v>0</v>
      </c>
      <c r="E18" s="6">
        <v>0</v>
      </c>
      <c r="F18" s="6">
        <v>0</v>
      </c>
      <c r="G18" s="6">
        <v>5</v>
      </c>
      <c r="H18" s="6">
        <v>0</v>
      </c>
      <c r="I18" s="6"/>
      <c r="J18" s="6"/>
      <c r="K18" s="6"/>
      <c r="L18" s="6"/>
      <c r="M18" s="6"/>
      <c r="N18" s="21">
        <f t="shared" si="0"/>
        <v>5</v>
      </c>
      <c r="O18" s="6"/>
    </row>
    <row r="19" spans="1:15">
      <c r="A19" s="9" t="str">
        <f>Marksheet!B18</f>
        <v>Surwase Swapnil Tukaram</v>
      </c>
      <c r="B19" s="30" t="str">
        <f>Marksheet!C18</f>
        <v>590028962</v>
      </c>
      <c r="C19" s="6">
        <v>1</v>
      </c>
      <c r="D19" s="6">
        <v>0</v>
      </c>
      <c r="E19" s="6">
        <v>0</v>
      </c>
      <c r="F19" s="6">
        <v>0</v>
      </c>
      <c r="G19" s="6">
        <v>0</v>
      </c>
      <c r="H19" s="6">
        <v>0</v>
      </c>
      <c r="I19" s="6"/>
      <c r="J19" s="6"/>
      <c r="K19" s="6"/>
      <c r="L19" s="6"/>
      <c r="M19" s="6"/>
      <c r="N19" s="21">
        <f t="shared" si="0"/>
        <v>1</v>
      </c>
      <c r="O19" s="6"/>
    </row>
    <row r="20" spans="1:15">
      <c r="A20" s="9" t="str">
        <f>Marksheet!B19</f>
        <v>Shreya</v>
      </c>
      <c r="B20" s="30">
        <f>Marksheet!C19</f>
        <v>500107236</v>
      </c>
      <c r="C20" s="6">
        <v>5</v>
      </c>
      <c r="D20" s="6">
        <v>5</v>
      </c>
      <c r="E20" s="6">
        <v>5</v>
      </c>
      <c r="F20" s="6">
        <v>5</v>
      </c>
      <c r="G20" s="6">
        <v>0</v>
      </c>
      <c r="H20" s="6">
        <v>15</v>
      </c>
      <c r="I20" s="6"/>
      <c r="J20" s="6"/>
      <c r="K20" s="6"/>
      <c r="L20" s="6"/>
      <c r="M20" s="6"/>
      <c r="N20" s="21">
        <f t="shared" si="0"/>
        <v>35</v>
      </c>
      <c r="O20" s="6"/>
    </row>
    <row r="21" spans="1:15">
      <c r="A21" s="9" t="str">
        <f>Marksheet!B20</f>
        <v>Devansh</v>
      </c>
      <c r="B21" s="30">
        <f>Marksheet!C20</f>
        <v>500106635</v>
      </c>
      <c r="C21" s="6">
        <v>5</v>
      </c>
      <c r="D21" s="6">
        <v>0</v>
      </c>
      <c r="E21" s="6">
        <v>5</v>
      </c>
      <c r="F21" s="6">
        <v>4</v>
      </c>
      <c r="G21" s="6">
        <v>0</v>
      </c>
      <c r="H21" s="6">
        <v>0</v>
      </c>
      <c r="I21" s="6"/>
      <c r="J21" s="6"/>
      <c r="K21" s="6"/>
      <c r="L21" s="6"/>
      <c r="M21" s="22"/>
      <c r="N21" s="21">
        <f t="shared" si="0"/>
        <v>14</v>
      </c>
      <c r="O21" s="22"/>
    </row>
    <row r="22" spans="1:15">
      <c r="M22" s="23"/>
      <c r="N22" s="23"/>
      <c r="O22" s="23"/>
    </row>
    <row r="42" spans="2:8">
      <c r="B42" s="29" t="str">
        <f>Marksheet!C5</f>
        <v>590021120</v>
      </c>
    </row>
    <row r="43" spans="2:8">
      <c r="B43" s="29">
        <f>Marksheet!C6</f>
        <v>590021194</v>
      </c>
    </row>
    <row r="44" spans="2:8">
      <c r="B44" s="29" t="str">
        <f>Marksheet!C7</f>
        <v>590021234</v>
      </c>
    </row>
    <row r="45" spans="2:8">
      <c r="B45" s="29" t="str">
        <f>Marksheet!C8</f>
        <v>590025722</v>
      </c>
      <c r="C45" s="6">
        <v>4</v>
      </c>
      <c r="D45" s="6">
        <v>3</v>
      </c>
      <c r="E45" s="6">
        <v>5</v>
      </c>
      <c r="F45" s="6">
        <v>4</v>
      </c>
      <c r="G45" s="6">
        <v>4</v>
      </c>
      <c r="H45" s="6">
        <v>0</v>
      </c>
    </row>
    <row r="46" spans="2:8">
      <c r="B46" s="29" t="str">
        <f>Marksheet!C9</f>
        <v>590024722</v>
      </c>
      <c r="C46" s="6">
        <v>3</v>
      </c>
      <c r="D46" s="6">
        <v>4</v>
      </c>
      <c r="E46" s="6">
        <v>5</v>
      </c>
      <c r="F46" s="6">
        <v>5</v>
      </c>
      <c r="G46" s="6">
        <v>15</v>
      </c>
      <c r="H46" s="6">
        <v>10</v>
      </c>
    </row>
    <row r="47" spans="2:8">
      <c r="B47" s="29" t="str">
        <f>Marksheet!C10</f>
        <v>590024897</v>
      </c>
    </row>
    <row r="48" spans="2:8">
      <c r="B48" s="29" t="str">
        <f>Marksheet!C11</f>
        <v>590027722</v>
      </c>
    </row>
    <row r="49" spans="2:2">
      <c r="B49" s="29" t="str">
        <f>Marksheet!C12</f>
        <v>590027572</v>
      </c>
    </row>
    <row r="50" spans="2:2">
      <c r="B50" s="29" t="str">
        <f>Marksheet!C13</f>
        <v>590016280</v>
      </c>
    </row>
    <row r="51" spans="2:2">
      <c r="B51" s="29">
        <f>Marksheet!C14</f>
        <v>590021217</v>
      </c>
    </row>
    <row r="52" spans="2:2">
      <c r="B52" s="29" t="str">
        <f>Marksheet!C15</f>
        <v>590018519</v>
      </c>
    </row>
    <row r="53" spans="2:2">
      <c r="B53" s="29" t="str">
        <f>Marksheet!C16</f>
        <v>590010833</v>
      </c>
    </row>
    <row r="54" spans="2:2">
      <c r="B54" s="29" t="str">
        <f>Marksheet!C17</f>
        <v>590028752</v>
      </c>
    </row>
    <row r="55" spans="2:2">
      <c r="B55" s="29" t="str">
        <f>Marksheet!C18</f>
        <v>590028962</v>
      </c>
    </row>
    <row r="56" spans="2:2">
      <c r="B56" s="28">
        <v>500107236</v>
      </c>
    </row>
    <row r="57" spans="2:2">
      <c r="B57" s="28">
        <v>500106635</v>
      </c>
    </row>
  </sheetData>
  <mergeCells count="2">
    <mergeCell ref="A1:O1"/>
    <mergeCell ref="A2:O2"/>
  </mergeCells>
  <phoneticPr fontId="4" type="noConversion"/>
  <pageMargins left="0.7" right="0.7" top="0.75" bottom="0.75" header="0.3" footer="0.3"/>
  <pageSetup paperSize="9" scale="76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A9C77-33C1-4CBC-91FC-1994BECB7B48}">
  <sheetPr>
    <pageSetUpPr fitToPage="1"/>
  </sheetPr>
  <dimension ref="A1:O22"/>
  <sheetViews>
    <sheetView topLeftCell="A4" workbookViewId="0">
      <selection activeCell="B18" sqref="B18"/>
    </sheetView>
  </sheetViews>
  <sheetFormatPr defaultRowHeight="15"/>
  <cols>
    <col min="1" max="1" width="20.7109375" style="42" customWidth="1"/>
    <col min="2" max="2" width="24.5703125" customWidth="1"/>
    <col min="15" max="15" width="13.140625" customWidth="1"/>
  </cols>
  <sheetData>
    <row r="1" spans="1:15" ht="24.75">
      <c r="A1" s="43" t="s">
        <v>62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</row>
    <row r="2" spans="1:15" ht="24.75">
      <c r="A2" s="43" t="str">
        <f>Marksheet!A2</f>
        <v xml:space="preserve">Classical Mechanics (PHYS 7001) 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</row>
    <row r="3" spans="1:15">
      <c r="A3" s="38"/>
      <c r="B3" s="6"/>
      <c r="C3" s="7" t="s">
        <v>45</v>
      </c>
      <c r="D3" s="7" t="s">
        <v>46</v>
      </c>
      <c r="E3" s="7" t="s">
        <v>47</v>
      </c>
      <c r="F3" s="7" t="s">
        <v>45</v>
      </c>
      <c r="G3" s="7" t="s">
        <v>46</v>
      </c>
      <c r="H3" s="7" t="s">
        <v>45</v>
      </c>
      <c r="I3" s="7" t="s">
        <v>47</v>
      </c>
      <c r="J3" s="7" t="s">
        <v>47</v>
      </c>
      <c r="K3" s="7" t="s">
        <v>63</v>
      </c>
      <c r="L3" s="7" t="s">
        <v>47</v>
      </c>
      <c r="M3" s="7" t="s">
        <v>63</v>
      </c>
      <c r="N3" s="6"/>
      <c r="O3" s="6"/>
    </row>
    <row r="4" spans="1:15">
      <c r="A4" s="39" t="s">
        <v>64</v>
      </c>
      <c r="B4" s="8" t="s">
        <v>48</v>
      </c>
      <c r="C4" s="8" t="s">
        <v>50</v>
      </c>
      <c r="D4" s="8" t="s">
        <v>51</v>
      </c>
      <c r="E4" s="8" t="s">
        <v>52</v>
      </c>
      <c r="F4" s="8" t="s">
        <v>53</v>
      </c>
      <c r="G4" s="8" t="s">
        <v>54</v>
      </c>
      <c r="H4" s="8" t="s">
        <v>55</v>
      </c>
      <c r="I4" s="8" t="s">
        <v>56</v>
      </c>
      <c r="J4" s="8" t="s">
        <v>57</v>
      </c>
      <c r="K4" s="8" t="s">
        <v>58</v>
      </c>
      <c r="L4" s="8" t="s">
        <v>59</v>
      </c>
      <c r="M4" s="8" t="s">
        <v>60</v>
      </c>
      <c r="N4" s="8" t="s">
        <v>12</v>
      </c>
      <c r="O4" s="8" t="s">
        <v>13</v>
      </c>
    </row>
    <row r="5" spans="1:15">
      <c r="A5" s="40"/>
      <c r="B5" s="15" t="s">
        <v>14</v>
      </c>
      <c r="C5" s="15">
        <v>4</v>
      </c>
      <c r="D5" s="15">
        <v>4</v>
      </c>
      <c r="E5" s="15">
        <v>4</v>
      </c>
      <c r="F5" s="15">
        <v>4</v>
      </c>
      <c r="G5" s="15">
        <v>4</v>
      </c>
      <c r="H5" s="15">
        <v>10</v>
      </c>
      <c r="I5" s="15">
        <v>10</v>
      </c>
      <c r="J5" s="15">
        <v>10</v>
      </c>
      <c r="K5" s="15">
        <v>10</v>
      </c>
      <c r="L5" s="15">
        <v>20</v>
      </c>
      <c r="M5" s="15">
        <v>20</v>
      </c>
      <c r="N5" s="15">
        <f>SUM(C5:M5)</f>
        <v>100</v>
      </c>
      <c r="O5" s="15"/>
    </row>
    <row r="6" spans="1:15">
      <c r="A6" s="41" t="str">
        <f>Marksheet!C5</f>
        <v>590021120</v>
      </c>
      <c r="B6" s="9" t="str">
        <f>Marksheet!B5</f>
        <v>Akshay Alodiya</v>
      </c>
      <c r="C6" s="6">
        <v>2</v>
      </c>
      <c r="D6" s="6">
        <v>4</v>
      </c>
      <c r="E6" s="6">
        <v>4</v>
      </c>
      <c r="F6" s="6">
        <v>3</v>
      </c>
      <c r="G6" s="6">
        <v>2</v>
      </c>
      <c r="H6" s="6">
        <v>6</v>
      </c>
      <c r="I6" s="6">
        <v>0</v>
      </c>
      <c r="J6" s="6">
        <v>10</v>
      </c>
      <c r="K6" s="6">
        <v>10</v>
      </c>
      <c r="L6" s="6">
        <v>9</v>
      </c>
      <c r="M6" s="6">
        <v>15</v>
      </c>
      <c r="N6" s="15">
        <f t="shared" ref="N6:N21" si="0">SUM(C6:M6)</f>
        <v>65</v>
      </c>
      <c r="O6" s="6"/>
    </row>
    <row r="7" spans="1:15">
      <c r="A7" s="41">
        <f>Marksheet!C6</f>
        <v>590021194</v>
      </c>
      <c r="B7" s="9" t="str">
        <f>Marksheet!B6</f>
        <v>Avishankar Sardar</v>
      </c>
      <c r="C7" s="6">
        <v>2</v>
      </c>
      <c r="D7" s="6">
        <v>4</v>
      </c>
      <c r="E7" s="6">
        <v>4</v>
      </c>
      <c r="F7" s="6">
        <v>0</v>
      </c>
      <c r="G7" s="6">
        <v>4</v>
      </c>
      <c r="H7" s="6">
        <v>2</v>
      </c>
      <c r="I7" s="6">
        <v>4</v>
      </c>
      <c r="J7" s="6">
        <v>10</v>
      </c>
      <c r="K7" s="6">
        <v>10</v>
      </c>
      <c r="L7" s="6">
        <v>20</v>
      </c>
      <c r="M7" s="6">
        <v>0</v>
      </c>
      <c r="N7" s="15">
        <f t="shared" si="0"/>
        <v>60</v>
      </c>
      <c r="O7" s="6"/>
    </row>
    <row r="8" spans="1:15">
      <c r="A8" s="41" t="str">
        <f>Marksheet!C7</f>
        <v>590021234</v>
      </c>
      <c r="B8" s="9" t="str">
        <f>Marksheet!B7</f>
        <v>Dhruv Kumar Singh</v>
      </c>
      <c r="C8" s="6">
        <v>0</v>
      </c>
      <c r="D8" s="6">
        <v>0</v>
      </c>
      <c r="E8" s="6">
        <v>1</v>
      </c>
      <c r="F8" s="6">
        <v>0</v>
      </c>
      <c r="G8" s="6">
        <v>1</v>
      </c>
      <c r="H8" s="6">
        <v>0</v>
      </c>
      <c r="I8" s="6">
        <v>0</v>
      </c>
      <c r="J8" s="6">
        <v>6</v>
      </c>
      <c r="K8" s="6">
        <v>0</v>
      </c>
      <c r="L8" s="6">
        <v>0</v>
      </c>
      <c r="M8" s="6">
        <v>0</v>
      </c>
      <c r="N8" s="15">
        <f t="shared" si="0"/>
        <v>8</v>
      </c>
      <c r="O8" s="6"/>
    </row>
    <row r="9" spans="1:15">
      <c r="A9" s="41" t="str">
        <f>Marksheet!C8</f>
        <v>590025722</v>
      </c>
      <c r="B9" s="9" t="str">
        <f>Marksheet!B8</f>
        <v>Madhumita Rajesh</v>
      </c>
      <c r="C9" s="6">
        <v>4</v>
      </c>
      <c r="D9" s="6">
        <v>4</v>
      </c>
      <c r="E9" s="6">
        <v>3</v>
      </c>
      <c r="F9" s="6"/>
      <c r="G9" s="6">
        <v>3</v>
      </c>
      <c r="H9" s="6"/>
      <c r="I9" s="6">
        <v>3</v>
      </c>
      <c r="J9" s="6">
        <v>5</v>
      </c>
      <c r="K9" s="6"/>
      <c r="L9" s="6">
        <v>3</v>
      </c>
      <c r="M9" s="6">
        <v>6</v>
      </c>
      <c r="N9" s="15">
        <f t="shared" si="0"/>
        <v>31</v>
      </c>
      <c r="O9" s="6"/>
    </row>
    <row r="10" spans="1:15">
      <c r="A10" s="41" t="str">
        <f>Marksheet!C9</f>
        <v>590024722</v>
      </c>
      <c r="B10" s="9" t="str">
        <f>Marksheet!B9</f>
        <v>Queeny Kaur</v>
      </c>
      <c r="C10" s="6">
        <v>3</v>
      </c>
      <c r="D10" s="6">
        <v>4</v>
      </c>
      <c r="E10" s="6">
        <v>4</v>
      </c>
      <c r="F10" s="6">
        <v>2</v>
      </c>
      <c r="G10" s="6">
        <v>2</v>
      </c>
      <c r="H10" s="6">
        <v>2</v>
      </c>
      <c r="I10" s="6">
        <v>3</v>
      </c>
      <c r="J10" s="6">
        <v>10</v>
      </c>
      <c r="K10" s="6">
        <v>0</v>
      </c>
      <c r="L10" s="6">
        <v>20</v>
      </c>
      <c r="M10" s="6">
        <v>2</v>
      </c>
      <c r="N10" s="15">
        <f t="shared" si="0"/>
        <v>52</v>
      </c>
      <c r="O10" s="6"/>
    </row>
    <row r="11" spans="1:15">
      <c r="A11" s="41" t="str">
        <f>Marksheet!C10</f>
        <v>590024897</v>
      </c>
      <c r="B11" s="9" t="str">
        <f>Marksheet!B10</f>
        <v>Swagata Mukherjee</v>
      </c>
      <c r="C11" s="6" t="s">
        <v>61</v>
      </c>
      <c r="D11" s="6"/>
      <c r="E11" s="6"/>
      <c r="F11" s="6"/>
      <c r="G11" s="6"/>
      <c r="H11" s="6"/>
      <c r="I11" s="6"/>
      <c r="J11" s="6"/>
      <c r="K11" s="6"/>
      <c r="L11" s="6"/>
      <c r="M11" s="6"/>
      <c r="N11" s="15">
        <f t="shared" si="0"/>
        <v>0</v>
      </c>
      <c r="O11" s="6"/>
    </row>
    <row r="12" spans="1:15">
      <c r="A12" s="41" t="str">
        <f>Marksheet!C11</f>
        <v>590027722</v>
      </c>
      <c r="B12" s="9" t="str">
        <f>Marksheet!B11</f>
        <v xml:space="preserve">Prakhar </v>
      </c>
      <c r="C12" s="6">
        <v>1</v>
      </c>
      <c r="D12" s="6">
        <v>4</v>
      </c>
      <c r="E12" s="6">
        <v>2</v>
      </c>
      <c r="F12" s="6"/>
      <c r="G12" s="6">
        <v>4</v>
      </c>
      <c r="H12" s="6"/>
      <c r="I12" s="6"/>
      <c r="J12" s="6"/>
      <c r="K12" s="6">
        <v>3</v>
      </c>
      <c r="L12" s="6">
        <v>2</v>
      </c>
      <c r="M12" s="6">
        <v>2</v>
      </c>
      <c r="N12" s="15">
        <f t="shared" si="0"/>
        <v>18</v>
      </c>
      <c r="O12" s="6"/>
    </row>
    <row r="13" spans="1:15">
      <c r="A13" s="41" t="str">
        <f>Marksheet!C12</f>
        <v>590027572</v>
      </c>
      <c r="B13" s="9" t="str">
        <f>Marksheet!B12</f>
        <v>Ayush Uniyal</v>
      </c>
      <c r="C13" s="6">
        <v>4</v>
      </c>
      <c r="D13" s="6">
        <v>4</v>
      </c>
      <c r="E13" s="6">
        <v>4</v>
      </c>
      <c r="F13" s="6">
        <v>4</v>
      </c>
      <c r="G13" s="6">
        <v>4</v>
      </c>
      <c r="H13" s="6">
        <v>10</v>
      </c>
      <c r="I13" s="6">
        <v>8</v>
      </c>
      <c r="J13" s="6">
        <v>10</v>
      </c>
      <c r="K13" s="6">
        <v>3</v>
      </c>
      <c r="L13" s="6">
        <v>18</v>
      </c>
      <c r="M13" s="6">
        <v>17</v>
      </c>
      <c r="N13" s="15">
        <f t="shared" si="0"/>
        <v>86</v>
      </c>
      <c r="O13" s="6"/>
    </row>
    <row r="14" spans="1:15">
      <c r="A14" s="41" t="str">
        <f>Marksheet!C13</f>
        <v>590016280</v>
      </c>
      <c r="B14" s="9" t="str">
        <f>Marksheet!B13</f>
        <v>Divya Krishna</v>
      </c>
      <c r="C14" s="6">
        <v>2</v>
      </c>
      <c r="D14" s="6">
        <v>2</v>
      </c>
      <c r="E14" s="6">
        <v>0</v>
      </c>
      <c r="F14" s="6">
        <v>3</v>
      </c>
      <c r="G14" s="6">
        <v>2</v>
      </c>
      <c r="H14" s="6">
        <v>0</v>
      </c>
      <c r="I14" s="6">
        <v>0</v>
      </c>
      <c r="J14" s="6">
        <v>0</v>
      </c>
      <c r="K14" s="6">
        <v>0</v>
      </c>
      <c r="L14" s="6">
        <v>15</v>
      </c>
      <c r="M14" s="6">
        <v>5</v>
      </c>
      <c r="N14" s="15">
        <f t="shared" si="0"/>
        <v>29</v>
      </c>
      <c r="O14" s="6"/>
    </row>
    <row r="15" spans="1:15">
      <c r="A15" s="41">
        <f>Marksheet!C14</f>
        <v>590021217</v>
      </c>
      <c r="B15" s="9" t="str">
        <f>Marksheet!B14</f>
        <v>NEHA NAGESH REVANKAR</v>
      </c>
      <c r="C15" s="6">
        <v>4</v>
      </c>
      <c r="D15" s="6">
        <v>3</v>
      </c>
      <c r="E15" s="6">
        <v>1</v>
      </c>
      <c r="F15" s="6">
        <v>1</v>
      </c>
      <c r="G15" s="6">
        <v>1</v>
      </c>
      <c r="H15" s="6">
        <v>0</v>
      </c>
      <c r="I15" s="6">
        <v>4</v>
      </c>
      <c r="J15" s="6">
        <v>5</v>
      </c>
      <c r="K15" s="6">
        <v>10</v>
      </c>
      <c r="L15" s="6">
        <v>20</v>
      </c>
      <c r="M15" s="6">
        <v>0</v>
      </c>
      <c r="N15" s="15">
        <f t="shared" si="0"/>
        <v>49</v>
      </c>
      <c r="O15" s="6"/>
    </row>
    <row r="16" spans="1:15">
      <c r="A16" s="41" t="str">
        <f>Marksheet!C15</f>
        <v>590018519</v>
      </c>
      <c r="B16" s="9" t="str">
        <f>Marksheet!B15</f>
        <v>Rushil Soni</v>
      </c>
      <c r="C16" s="6">
        <v>4</v>
      </c>
      <c r="D16" s="6">
        <v>0</v>
      </c>
      <c r="E16" s="6">
        <v>4</v>
      </c>
      <c r="F16" s="6">
        <v>2</v>
      </c>
      <c r="G16" s="6">
        <v>2</v>
      </c>
      <c r="H16" s="6">
        <v>0</v>
      </c>
      <c r="I16" s="6">
        <v>10</v>
      </c>
      <c r="J16" s="6">
        <v>0</v>
      </c>
      <c r="K16" s="6">
        <v>0</v>
      </c>
      <c r="L16" s="6">
        <v>7</v>
      </c>
      <c r="M16" s="6">
        <v>3</v>
      </c>
      <c r="N16" s="15">
        <f t="shared" si="0"/>
        <v>32</v>
      </c>
      <c r="O16" s="6"/>
    </row>
    <row r="17" spans="1:15">
      <c r="A17" s="41" t="str">
        <f>Marksheet!C16</f>
        <v>590010833</v>
      </c>
      <c r="B17" s="9" t="str">
        <f>Marksheet!B16</f>
        <v>Vansh Sharma</v>
      </c>
      <c r="C17" s="6">
        <v>0</v>
      </c>
      <c r="D17" s="6">
        <v>0</v>
      </c>
      <c r="E17" s="6">
        <v>0</v>
      </c>
      <c r="F17" s="6">
        <v>0</v>
      </c>
      <c r="G17" s="6">
        <v>2</v>
      </c>
      <c r="H17" s="6">
        <v>3</v>
      </c>
      <c r="I17" s="6">
        <v>5</v>
      </c>
      <c r="J17" s="6">
        <v>0</v>
      </c>
      <c r="K17" s="6">
        <v>0</v>
      </c>
      <c r="L17" s="6">
        <v>2</v>
      </c>
      <c r="M17" s="6">
        <v>0</v>
      </c>
      <c r="N17" s="15">
        <f t="shared" si="0"/>
        <v>12</v>
      </c>
      <c r="O17" s="6"/>
    </row>
    <row r="18" spans="1:15">
      <c r="A18" s="41" t="str">
        <f>Marksheet!C17</f>
        <v>590028752</v>
      </c>
      <c r="B18" s="9" t="str">
        <f>Marksheet!B17</f>
        <v>Harishankar Nath Tiwari</v>
      </c>
      <c r="C18" s="6">
        <v>0</v>
      </c>
      <c r="D18" s="6">
        <v>2</v>
      </c>
      <c r="E18" s="6">
        <v>4</v>
      </c>
      <c r="F18" s="6">
        <v>0</v>
      </c>
      <c r="G18" s="6">
        <v>4</v>
      </c>
      <c r="H18" s="6">
        <v>0</v>
      </c>
      <c r="I18" s="6">
        <v>0</v>
      </c>
      <c r="J18" s="6">
        <v>10</v>
      </c>
      <c r="K18" s="6">
        <v>0</v>
      </c>
      <c r="L18" s="6">
        <v>5</v>
      </c>
      <c r="M18" s="6">
        <v>0</v>
      </c>
      <c r="N18" s="15">
        <f t="shared" si="0"/>
        <v>25</v>
      </c>
      <c r="O18" s="6"/>
    </row>
    <row r="19" spans="1:15">
      <c r="A19" s="41" t="str">
        <f>Marksheet!C18</f>
        <v>590028962</v>
      </c>
      <c r="B19" s="9" t="str">
        <f>Marksheet!B18</f>
        <v>Surwase Swapnil Tukaram</v>
      </c>
      <c r="C19" s="6">
        <v>0</v>
      </c>
      <c r="D19" s="6">
        <v>1</v>
      </c>
      <c r="E19" s="6">
        <v>2</v>
      </c>
      <c r="F19" s="6">
        <v>1</v>
      </c>
      <c r="G19" s="6">
        <v>2</v>
      </c>
      <c r="H19" s="6">
        <v>0</v>
      </c>
      <c r="I19" s="6">
        <v>0</v>
      </c>
      <c r="J19" s="6">
        <v>3</v>
      </c>
      <c r="K19" s="6">
        <v>0</v>
      </c>
      <c r="L19" s="6">
        <v>3</v>
      </c>
      <c r="M19" s="6">
        <v>4</v>
      </c>
      <c r="N19" s="15">
        <f t="shared" si="0"/>
        <v>16</v>
      </c>
      <c r="O19" s="6"/>
    </row>
    <row r="20" spans="1:15">
      <c r="A20" s="41">
        <v>500107236</v>
      </c>
      <c r="B20" s="9" t="str">
        <f>Marksheet!B19</f>
        <v>Shreya</v>
      </c>
      <c r="C20" s="6">
        <v>4</v>
      </c>
      <c r="D20" s="6">
        <v>4</v>
      </c>
      <c r="E20" s="6">
        <v>4</v>
      </c>
      <c r="F20" s="6">
        <v>4</v>
      </c>
      <c r="G20" s="6">
        <v>4</v>
      </c>
      <c r="H20" s="6">
        <v>5</v>
      </c>
      <c r="I20" s="6">
        <v>5</v>
      </c>
      <c r="J20" s="6">
        <v>1</v>
      </c>
      <c r="K20" s="6">
        <v>6</v>
      </c>
      <c r="L20" s="6">
        <v>15</v>
      </c>
      <c r="M20" s="6">
        <v>5</v>
      </c>
      <c r="N20" s="15">
        <f t="shared" si="0"/>
        <v>57</v>
      </c>
      <c r="O20" s="6"/>
    </row>
    <row r="21" spans="1:15">
      <c r="A21" s="41">
        <v>500106635</v>
      </c>
      <c r="B21" s="9" t="str">
        <f>Marksheet!B20</f>
        <v>Devansh</v>
      </c>
      <c r="C21" s="6">
        <v>3</v>
      </c>
      <c r="D21" s="6">
        <v>2</v>
      </c>
      <c r="E21" s="6">
        <v>4</v>
      </c>
      <c r="F21" s="6">
        <v>4</v>
      </c>
      <c r="G21" s="6">
        <v>4</v>
      </c>
      <c r="H21" s="6">
        <v>7</v>
      </c>
      <c r="I21" s="6">
        <v>0</v>
      </c>
      <c r="J21" s="6">
        <v>0</v>
      </c>
      <c r="K21" s="6">
        <v>10</v>
      </c>
      <c r="L21" s="6">
        <v>20</v>
      </c>
      <c r="M21" s="6">
        <v>18</v>
      </c>
      <c r="N21" s="15">
        <f t="shared" si="0"/>
        <v>72</v>
      </c>
      <c r="O21" s="6"/>
    </row>
    <row r="22" spans="1:15">
      <c r="A22" s="38"/>
      <c r="B22" s="9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</sheetData>
  <mergeCells count="2">
    <mergeCell ref="A1:O1"/>
    <mergeCell ref="A2:O2"/>
  </mergeCells>
  <pageMargins left="0.7" right="0.7" top="0.75" bottom="0.75" header="0.3" footer="0.3"/>
  <pageSetup paperSize="9" scale="78" orientation="landscape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02827-4102-4501-99F8-C9B7DD668F03}">
  <dimension ref="A1:O21"/>
  <sheetViews>
    <sheetView topLeftCell="A5" workbookViewId="0">
      <selection activeCell="A20" sqref="A20"/>
    </sheetView>
  </sheetViews>
  <sheetFormatPr defaultRowHeight="15"/>
  <cols>
    <col min="1" max="1" width="10.140625" bestFit="1" customWidth="1"/>
    <col min="2" max="2" width="24.28515625" bestFit="1" customWidth="1"/>
    <col min="3" max="13" width="4.5703125" bestFit="1" customWidth="1"/>
    <col min="14" max="14" width="5.42578125" bestFit="1" customWidth="1"/>
    <col min="15" max="15" width="4.7109375" bestFit="1" customWidth="1"/>
  </cols>
  <sheetData>
    <row r="1" spans="1:15" ht="24.75">
      <c r="A1" s="43" t="s">
        <v>5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</row>
    <row r="2" spans="1:15" ht="24.75">
      <c r="A2" s="43" t="str">
        <f>Marksheet!A2</f>
        <v xml:space="preserve">Classical Mechanics (PHYS 7001) 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</row>
    <row r="3" spans="1:15">
      <c r="A3" s="6"/>
      <c r="B3" s="6"/>
      <c r="C3" s="7" t="s">
        <v>45</v>
      </c>
      <c r="D3" s="7" t="s">
        <v>46</v>
      </c>
      <c r="E3" s="7" t="s">
        <v>47</v>
      </c>
      <c r="F3" s="7" t="s">
        <v>45</v>
      </c>
      <c r="G3" s="7" t="s">
        <v>46</v>
      </c>
      <c r="H3" s="7" t="s">
        <v>45</v>
      </c>
      <c r="I3" s="7" t="s">
        <v>47</v>
      </c>
      <c r="J3" s="7" t="s">
        <v>47</v>
      </c>
      <c r="K3" s="7" t="s">
        <v>63</v>
      </c>
      <c r="L3" s="7" t="s">
        <v>47</v>
      </c>
      <c r="M3" s="7" t="s">
        <v>63</v>
      </c>
      <c r="N3" s="6"/>
      <c r="O3" s="6"/>
    </row>
    <row r="4" spans="1:15">
      <c r="A4" s="8" t="s">
        <v>64</v>
      </c>
      <c r="B4" s="8" t="s">
        <v>48</v>
      </c>
      <c r="C4" s="8" t="s">
        <v>50</v>
      </c>
      <c r="D4" s="8" t="s">
        <v>51</v>
      </c>
      <c r="E4" s="8" t="s">
        <v>52</v>
      </c>
      <c r="F4" s="8" t="s">
        <v>53</v>
      </c>
      <c r="G4" s="8" t="s">
        <v>54</v>
      </c>
      <c r="H4" s="8" t="s">
        <v>55</v>
      </c>
      <c r="I4" s="8" t="s">
        <v>56</v>
      </c>
      <c r="J4" s="8" t="s">
        <v>57</v>
      </c>
      <c r="K4" s="8" t="s">
        <v>58</v>
      </c>
      <c r="L4" s="8" t="s">
        <v>59</v>
      </c>
      <c r="M4" s="8" t="s">
        <v>60</v>
      </c>
      <c r="N4" s="8" t="s">
        <v>12</v>
      </c>
      <c r="O4" s="8" t="s">
        <v>13</v>
      </c>
    </row>
    <row r="5" spans="1:15">
      <c r="A5" s="15"/>
      <c r="B5" s="15" t="s">
        <v>14</v>
      </c>
      <c r="C5" s="15">
        <v>5</v>
      </c>
      <c r="D5" s="15">
        <v>5</v>
      </c>
      <c r="E5" s="15">
        <v>5</v>
      </c>
      <c r="F5" s="15">
        <v>5</v>
      </c>
      <c r="G5" s="15">
        <v>15</v>
      </c>
      <c r="H5" s="15">
        <v>15</v>
      </c>
      <c r="I5" s="15"/>
      <c r="J5" s="15"/>
      <c r="K5" s="15"/>
      <c r="L5" s="15"/>
      <c r="M5" s="15"/>
      <c r="N5" s="15">
        <v>10</v>
      </c>
      <c r="O5" s="15"/>
    </row>
    <row r="6" spans="1:15">
      <c r="A6" s="9" t="str">
        <f>'Mid Sem'!B42</f>
        <v>590021120</v>
      </c>
      <c r="B6" s="9" t="str">
        <f>'Mid Sem'!A6</f>
        <v>Akshay Alodiya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>
        <v>10</v>
      </c>
      <c r="O6" s="6"/>
    </row>
    <row r="7" spans="1:15">
      <c r="A7" s="9">
        <f>'Mid Sem'!B43</f>
        <v>590021194</v>
      </c>
      <c r="B7" s="9" t="str">
        <f>'Mid Sem'!A7</f>
        <v>Avishankar Sardar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>
        <v>10</v>
      </c>
      <c r="O7" s="6"/>
    </row>
    <row r="8" spans="1:15">
      <c r="A8" s="9" t="str">
        <f>'Mid Sem'!B44</f>
        <v>590021234</v>
      </c>
      <c r="B8" s="9" t="str">
        <f>'Mid Sem'!A8</f>
        <v>Dhruv Kumar Singh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>
        <v>10</v>
      </c>
      <c r="O8" s="6"/>
    </row>
    <row r="9" spans="1:15">
      <c r="A9" s="9" t="str">
        <f>'Mid Sem'!B45</f>
        <v>590025722</v>
      </c>
      <c r="B9" s="9" t="str">
        <f>'Mid Sem'!A9</f>
        <v>Madhumita Rajesh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>
        <v>10</v>
      </c>
      <c r="O9" s="6"/>
    </row>
    <row r="10" spans="1:15">
      <c r="A10" s="9" t="str">
        <f>'Mid Sem'!B46</f>
        <v>590024722</v>
      </c>
      <c r="B10" s="9" t="str">
        <f>'Mid Sem'!A10</f>
        <v>Queeny Kaur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>
        <v>10</v>
      </c>
      <c r="O10" s="6"/>
    </row>
    <row r="11" spans="1:15">
      <c r="A11" s="9" t="str">
        <f>'Mid Sem'!B47</f>
        <v>590024897</v>
      </c>
      <c r="B11" s="9" t="str">
        <f>'Mid Sem'!A11</f>
        <v>Swagata Mukherjee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>
        <v>10</v>
      </c>
      <c r="O11" s="6"/>
    </row>
    <row r="12" spans="1:15">
      <c r="A12" s="9" t="str">
        <f>'Mid Sem'!B48</f>
        <v>590027722</v>
      </c>
      <c r="B12" s="9" t="str">
        <f>'Mid Sem'!A12</f>
        <v xml:space="preserve">Prakhar 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>
        <v>10</v>
      </c>
      <c r="O12" s="6"/>
    </row>
    <row r="13" spans="1:15">
      <c r="A13" s="9" t="str">
        <f>'Mid Sem'!B49</f>
        <v>590027572</v>
      </c>
      <c r="B13" s="9" t="str">
        <f>'Mid Sem'!A13</f>
        <v>Ayush Uniyal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>
        <v>10</v>
      </c>
      <c r="O13" s="6"/>
    </row>
    <row r="14" spans="1:15">
      <c r="A14" s="9" t="str">
        <f>'Mid Sem'!B50</f>
        <v>590016280</v>
      </c>
      <c r="B14" s="9" t="str">
        <f>'Mid Sem'!A14</f>
        <v>Divya Krishna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>
        <v>10</v>
      </c>
      <c r="O14" s="6"/>
    </row>
    <row r="15" spans="1:15">
      <c r="A15" s="9">
        <f>'Mid Sem'!B51</f>
        <v>590021217</v>
      </c>
      <c r="B15" s="9" t="str">
        <f>'Mid Sem'!A15</f>
        <v>NEHA NAGESH REVANKAR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>
        <v>10</v>
      </c>
      <c r="O15" s="6"/>
    </row>
    <row r="16" spans="1:15">
      <c r="A16" s="9" t="str">
        <f>'Mid Sem'!B52</f>
        <v>590018519</v>
      </c>
      <c r="B16" s="9" t="str">
        <f>'Mid Sem'!A16</f>
        <v>Rushil Soni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>
        <v>10</v>
      </c>
      <c r="O16" s="6"/>
    </row>
    <row r="17" spans="1:15">
      <c r="A17" s="9" t="str">
        <f>'Mid Sem'!B53</f>
        <v>590010833</v>
      </c>
      <c r="B17" s="9" t="str">
        <f>'Mid Sem'!A17</f>
        <v>Vansh Sharma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>
        <v>10</v>
      </c>
      <c r="O17" s="6"/>
    </row>
    <row r="18" spans="1:15">
      <c r="A18" s="9" t="str">
        <f>'Mid Sem'!B54</f>
        <v>590028752</v>
      </c>
      <c r="B18" s="9" t="str">
        <f>'Mid Sem'!A18</f>
        <v>Harishankar Nath Tiwari</v>
      </c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>
        <v>10</v>
      </c>
      <c r="O18" s="6"/>
    </row>
    <row r="19" spans="1:15">
      <c r="A19" s="9" t="str">
        <f>'Mid Sem'!B55</f>
        <v>590028962</v>
      </c>
      <c r="B19" s="9" t="str">
        <f>'Mid Sem'!A19</f>
        <v>Surwase Swapnil Tukaram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>
        <v>10</v>
      </c>
      <c r="O19" s="6"/>
    </row>
    <row r="20" spans="1:15">
      <c r="A20" s="9">
        <f>'Mid Sem'!B56</f>
        <v>500107236</v>
      </c>
      <c r="B20" s="9" t="str">
        <f>'Mid Sem'!A20</f>
        <v>Shreya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>
        <v>10</v>
      </c>
      <c r="O20" s="6"/>
    </row>
    <row r="21" spans="1:15">
      <c r="A21" s="9">
        <f>'Mid Sem'!B57</f>
        <v>500106635</v>
      </c>
      <c r="B21" s="9" t="str">
        <f>'Mid Sem'!A21</f>
        <v>Devansh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>
        <v>10</v>
      </c>
      <c r="O21" s="6"/>
    </row>
  </sheetData>
  <mergeCells count="2">
    <mergeCell ref="A1:O1"/>
    <mergeCell ref="A2:O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596BA-28B6-4E3D-B4DD-BA2BE95F4450}">
  <dimension ref="A1:O21"/>
  <sheetViews>
    <sheetView topLeftCell="A4" workbookViewId="0">
      <selection activeCell="E20" sqref="E20"/>
    </sheetView>
  </sheetViews>
  <sheetFormatPr defaultRowHeight="15"/>
  <cols>
    <col min="1" max="1" width="10.140625" bestFit="1" customWidth="1"/>
    <col min="2" max="2" width="24.28515625" bestFit="1" customWidth="1"/>
    <col min="3" max="13" width="4.5703125" bestFit="1" customWidth="1"/>
    <col min="14" max="14" width="5.42578125" bestFit="1" customWidth="1"/>
    <col min="15" max="15" width="4.7109375" bestFit="1" customWidth="1"/>
  </cols>
  <sheetData>
    <row r="1" spans="1:15" ht="24.75">
      <c r="A1" s="43" t="s">
        <v>5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</row>
    <row r="2" spans="1:15" ht="24.75">
      <c r="A2" s="43" t="str">
        <f>Marksheet!A2</f>
        <v xml:space="preserve">Classical Mechanics (PHYS 7001) 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</row>
    <row r="3" spans="1:15">
      <c r="A3" s="6"/>
      <c r="B3" s="6"/>
      <c r="C3" s="7" t="s">
        <v>45</v>
      </c>
      <c r="D3" s="7" t="s">
        <v>46</v>
      </c>
      <c r="E3" s="7" t="s">
        <v>47</v>
      </c>
      <c r="F3" s="7" t="s">
        <v>45</v>
      </c>
      <c r="G3" s="7" t="s">
        <v>46</v>
      </c>
      <c r="H3" s="7" t="s">
        <v>45</v>
      </c>
      <c r="I3" s="7" t="s">
        <v>47</v>
      </c>
      <c r="J3" s="7" t="s">
        <v>47</v>
      </c>
      <c r="K3" s="7" t="s">
        <v>63</v>
      </c>
      <c r="L3" s="7" t="s">
        <v>47</v>
      </c>
      <c r="M3" s="7" t="s">
        <v>63</v>
      </c>
      <c r="N3" s="6"/>
      <c r="O3" s="6"/>
    </row>
    <row r="4" spans="1:15">
      <c r="A4" s="8" t="s">
        <v>64</v>
      </c>
      <c r="B4" s="8" t="s">
        <v>48</v>
      </c>
      <c r="C4" s="8" t="s">
        <v>50</v>
      </c>
      <c r="D4" s="8" t="s">
        <v>51</v>
      </c>
      <c r="E4" s="8" t="s">
        <v>52</v>
      </c>
      <c r="F4" s="8" t="s">
        <v>53</v>
      </c>
      <c r="G4" s="8" t="s">
        <v>54</v>
      </c>
      <c r="H4" s="8" t="s">
        <v>55</v>
      </c>
      <c r="I4" s="8" t="s">
        <v>56</v>
      </c>
      <c r="J4" s="8" t="s">
        <v>57</v>
      </c>
      <c r="K4" s="8" t="s">
        <v>58</v>
      </c>
      <c r="L4" s="8" t="s">
        <v>59</v>
      </c>
      <c r="M4" s="8" t="s">
        <v>60</v>
      </c>
      <c r="N4" s="8" t="s">
        <v>12</v>
      </c>
      <c r="O4" s="8" t="s">
        <v>13</v>
      </c>
    </row>
    <row r="5" spans="1:15">
      <c r="A5" s="15"/>
      <c r="B5" s="15" t="s">
        <v>14</v>
      </c>
      <c r="C5" s="15">
        <v>5</v>
      </c>
      <c r="D5" s="15">
        <v>5</v>
      </c>
      <c r="E5" s="15">
        <v>5</v>
      </c>
      <c r="F5" s="15">
        <v>5</v>
      </c>
      <c r="G5" s="15">
        <v>15</v>
      </c>
      <c r="H5" s="15">
        <v>15</v>
      </c>
      <c r="I5" s="15"/>
      <c r="J5" s="15"/>
      <c r="K5" s="15"/>
      <c r="L5" s="15"/>
      <c r="M5" s="15"/>
      <c r="N5" s="15">
        <v>10</v>
      </c>
      <c r="O5" s="15"/>
    </row>
    <row r="6" spans="1:15">
      <c r="A6" s="9" t="str">
        <f>'Mid Sem'!B42</f>
        <v>590021120</v>
      </c>
      <c r="B6" s="9" t="str">
        <f>'Mid Sem'!A6</f>
        <v>Akshay Alodiya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>
        <v>10</v>
      </c>
      <c r="O6" s="6"/>
    </row>
    <row r="7" spans="1:15">
      <c r="A7" s="9">
        <f>'Mid Sem'!B43</f>
        <v>590021194</v>
      </c>
      <c r="B7" s="9" t="str">
        <f>'Mid Sem'!A7</f>
        <v>Avishankar Sardar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>
        <v>10</v>
      </c>
      <c r="O7" s="6"/>
    </row>
    <row r="8" spans="1:15">
      <c r="A8" s="9" t="str">
        <f>'Mid Sem'!B44</f>
        <v>590021234</v>
      </c>
      <c r="B8" s="9" t="str">
        <f>'Mid Sem'!A8</f>
        <v>Dhruv Kumar Singh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>
        <v>10</v>
      </c>
      <c r="O8" s="6"/>
    </row>
    <row r="9" spans="1:15">
      <c r="A9" s="9" t="str">
        <f>'Mid Sem'!B45</f>
        <v>590025722</v>
      </c>
      <c r="B9" s="9" t="str">
        <f>'Mid Sem'!A9</f>
        <v>Madhumita Rajesh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>
        <v>10</v>
      </c>
      <c r="O9" s="6"/>
    </row>
    <row r="10" spans="1:15">
      <c r="A10" s="9" t="str">
        <f>'Mid Sem'!B46</f>
        <v>590024722</v>
      </c>
      <c r="B10" s="9" t="str">
        <f>'Mid Sem'!A10</f>
        <v>Queeny Kaur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>
        <v>10</v>
      </c>
      <c r="O10" s="6"/>
    </row>
    <row r="11" spans="1:15">
      <c r="A11" s="9" t="str">
        <f>'Mid Sem'!B47</f>
        <v>590024897</v>
      </c>
      <c r="B11" s="9" t="str">
        <f>'Mid Sem'!A11</f>
        <v>Swagata Mukherjee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>
        <v>10</v>
      </c>
      <c r="O11" s="6"/>
    </row>
    <row r="12" spans="1:15">
      <c r="A12" s="9" t="str">
        <f>'Mid Sem'!B48</f>
        <v>590027722</v>
      </c>
      <c r="B12" s="9" t="str">
        <f>'Mid Sem'!A12</f>
        <v xml:space="preserve">Prakhar 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>
        <v>10</v>
      </c>
      <c r="O12" s="6"/>
    </row>
    <row r="13" spans="1:15">
      <c r="A13" s="9" t="str">
        <f>'Mid Sem'!B49</f>
        <v>590027572</v>
      </c>
      <c r="B13" s="9" t="str">
        <f>'Mid Sem'!A13</f>
        <v>Ayush Uniyal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>
        <v>10</v>
      </c>
      <c r="O13" s="6"/>
    </row>
    <row r="14" spans="1:15">
      <c r="A14" s="9" t="str">
        <f>'Mid Sem'!B50</f>
        <v>590016280</v>
      </c>
      <c r="B14" s="9" t="str">
        <f>'Mid Sem'!A14</f>
        <v>Divya Krishna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>
        <v>10</v>
      </c>
      <c r="O14" s="6"/>
    </row>
    <row r="15" spans="1:15">
      <c r="A15" s="9">
        <f>'Mid Sem'!B51</f>
        <v>590021217</v>
      </c>
      <c r="B15" s="9" t="str">
        <f>'Mid Sem'!A15</f>
        <v>NEHA NAGESH REVANKAR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>
        <v>10</v>
      </c>
      <c r="O15" s="6"/>
    </row>
    <row r="16" spans="1:15">
      <c r="A16" s="9" t="str">
        <f>'Mid Sem'!B52</f>
        <v>590018519</v>
      </c>
      <c r="B16" s="9" t="str">
        <f>'Mid Sem'!A16</f>
        <v>Rushil Soni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>
        <v>10</v>
      </c>
      <c r="O16" s="6"/>
    </row>
    <row r="17" spans="1:15">
      <c r="A17" s="9" t="str">
        <f>'Mid Sem'!B53</f>
        <v>590010833</v>
      </c>
      <c r="B17" s="9" t="str">
        <f>'Mid Sem'!A17</f>
        <v>Vansh Sharma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>
        <v>10</v>
      </c>
      <c r="O17" s="6"/>
    </row>
    <row r="18" spans="1:15">
      <c r="A18" s="9" t="str">
        <f>'Mid Sem'!B54</f>
        <v>590028752</v>
      </c>
      <c r="B18" s="9" t="str">
        <f>'Mid Sem'!A18</f>
        <v>Harishankar Nath Tiwari</v>
      </c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>
        <v>10</v>
      </c>
      <c r="O18" s="6"/>
    </row>
    <row r="19" spans="1:15">
      <c r="A19" s="9" t="str">
        <f>'Mid Sem'!B55</f>
        <v>590028962</v>
      </c>
      <c r="B19" s="9" t="str">
        <f>'Mid Sem'!A19</f>
        <v>Surwase Swapnil Tukaram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>
        <v>10</v>
      </c>
      <c r="O19" s="6"/>
    </row>
    <row r="20" spans="1:15">
      <c r="A20" s="9">
        <f>'Mid Sem'!B56</f>
        <v>500107236</v>
      </c>
      <c r="B20" s="9" t="str">
        <f>'Mid Sem'!A20</f>
        <v>Shreya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>
        <v>10</v>
      </c>
      <c r="O20" s="6"/>
    </row>
    <row r="21" spans="1:15">
      <c r="A21" s="9">
        <f>'Mid Sem'!B57</f>
        <v>500106635</v>
      </c>
      <c r="B21" s="9" t="str">
        <f>'Mid Sem'!A21</f>
        <v>Devansh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>
        <v>10</v>
      </c>
      <c r="O21" s="6"/>
    </row>
  </sheetData>
  <mergeCells count="2">
    <mergeCell ref="A1:O1"/>
    <mergeCell ref="A2:O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0399B-538A-4326-81D5-F56BB2966D2A}">
  <dimension ref="A1:P21"/>
  <sheetViews>
    <sheetView topLeftCell="A4" workbookViewId="0">
      <selection activeCell="N21" sqref="N21"/>
    </sheetView>
  </sheetViews>
  <sheetFormatPr defaultRowHeight="15"/>
  <cols>
    <col min="1" max="1" width="10.140625" bestFit="1" customWidth="1"/>
    <col min="2" max="2" width="24.28515625" bestFit="1" customWidth="1"/>
    <col min="3" max="13" width="4.5703125" bestFit="1" customWidth="1"/>
    <col min="14" max="14" width="4.5703125" customWidth="1"/>
    <col min="15" max="15" width="5.42578125" bestFit="1" customWidth="1"/>
    <col min="16" max="16" width="15.28515625" customWidth="1"/>
  </cols>
  <sheetData>
    <row r="1" spans="1:16" ht="24.75">
      <c r="A1" s="43" t="s">
        <v>7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</row>
    <row r="2" spans="1:16" ht="24.75">
      <c r="A2" s="43" t="str">
        <f>Marksheet!A2</f>
        <v xml:space="preserve">Classical Mechanics (PHYS 7001) 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</row>
    <row r="3" spans="1:16">
      <c r="A3" s="6"/>
      <c r="B3" s="6"/>
      <c r="C3" s="7" t="s">
        <v>45</v>
      </c>
      <c r="D3" s="7" t="s">
        <v>63</v>
      </c>
      <c r="E3" s="7" t="s">
        <v>47</v>
      </c>
      <c r="F3" s="7" t="s">
        <v>47</v>
      </c>
      <c r="G3" s="7" t="s">
        <v>47</v>
      </c>
      <c r="H3" s="7" t="s">
        <v>63</v>
      </c>
      <c r="I3" s="7" t="s">
        <v>63</v>
      </c>
      <c r="J3" s="7" t="s">
        <v>63</v>
      </c>
      <c r="K3" s="7" t="s">
        <v>47</v>
      </c>
      <c r="L3" s="7" t="s">
        <v>47</v>
      </c>
      <c r="M3" s="7"/>
      <c r="N3" s="7"/>
      <c r="O3" s="6"/>
      <c r="P3" s="6"/>
    </row>
    <row r="4" spans="1:16">
      <c r="A4" s="8" t="s">
        <v>64</v>
      </c>
      <c r="B4" s="8" t="s">
        <v>48</v>
      </c>
      <c r="C4" s="8" t="s">
        <v>50</v>
      </c>
      <c r="D4" s="8" t="s">
        <v>51</v>
      </c>
      <c r="E4" s="8" t="s">
        <v>52</v>
      </c>
      <c r="F4" s="8" t="s">
        <v>53</v>
      </c>
      <c r="G4" s="8" t="s">
        <v>54</v>
      </c>
      <c r="H4" s="8" t="s">
        <v>55</v>
      </c>
      <c r="I4" s="8" t="s">
        <v>56</v>
      </c>
      <c r="J4" s="8" t="s">
        <v>57</v>
      </c>
      <c r="K4" s="8" t="s">
        <v>58</v>
      </c>
      <c r="L4" s="8" t="s">
        <v>59</v>
      </c>
      <c r="M4" s="8" t="s">
        <v>60</v>
      </c>
      <c r="N4" s="8"/>
      <c r="O4" s="8" t="s">
        <v>12</v>
      </c>
      <c r="P4" s="8" t="s">
        <v>13</v>
      </c>
    </row>
    <row r="5" spans="1:16">
      <c r="A5" s="15"/>
      <c r="B5" s="15" t="s">
        <v>14</v>
      </c>
      <c r="C5" s="15">
        <v>3</v>
      </c>
      <c r="D5" s="15">
        <v>3</v>
      </c>
      <c r="E5" s="15">
        <v>3</v>
      </c>
      <c r="F5" s="15">
        <v>3</v>
      </c>
      <c r="G5" s="15">
        <v>3</v>
      </c>
      <c r="H5" s="15">
        <v>5</v>
      </c>
      <c r="I5" s="15">
        <v>5</v>
      </c>
      <c r="J5" s="15">
        <v>5</v>
      </c>
      <c r="K5" s="15">
        <v>5</v>
      </c>
      <c r="L5" s="15">
        <v>5</v>
      </c>
      <c r="M5" s="15"/>
      <c r="N5" s="15"/>
      <c r="O5" s="15">
        <f>SUM(C5:L5)</f>
        <v>40</v>
      </c>
      <c r="P5" s="15"/>
    </row>
    <row r="6" spans="1:16">
      <c r="A6" s="9" t="str">
        <f>Marksheet!C5</f>
        <v>590021120</v>
      </c>
      <c r="B6" s="9" t="str">
        <f>Marksheet!B5</f>
        <v>Akshay Alodiya</v>
      </c>
      <c r="C6" s="6" t="s">
        <v>65</v>
      </c>
      <c r="D6" s="6" t="s">
        <v>65</v>
      </c>
      <c r="E6" s="6" t="s">
        <v>66</v>
      </c>
      <c r="F6" s="6" t="s">
        <v>66</v>
      </c>
      <c r="G6" s="6" t="s">
        <v>66</v>
      </c>
      <c r="H6" s="6" t="s">
        <v>65</v>
      </c>
      <c r="I6" s="6" t="s">
        <v>66</v>
      </c>
      <c r="J6" s="6" t="s">
        <v>67</v>
      </c>
      <c r="K6" s="6" t="s">
        <v>66</v>
      </c>
      <c r="L6" s="6" t="s">
        <v>65</v>
      </c>
      <c r="M6" s="6"/>
      <c r="N6" s="6" cm="1">
        <f t="array" ref="N6">SUMPRODUCT((C6:M6="T")*C$5:M$5)</f>
        <v>19</v>
      </c>
      <c r="O6" s="6" cm="1">
        <f t="array" ref="O6">SUMPRODUCT((C6:M6="T")*C$5:M$5) - SUMPRODUCT((C6:M6="F")*C$5:M$5/4)</f>
        <v>15</v>
      </c>
      <c r="P6" s="6"/>
    </row>
    <row r="7" spans="1:16">
      <c r="A7" s="9">
        <f>Marksheet!C6</f>
        <v>590021194</v>
      </c>
      <c r="B7" s="9" t="str">
        <f>Marksheet!B6</f>
        <v>Avishankar Sardar</v>
      </c>
      <c r="C7" s="6" t="s">
        <v>66</v>
      </c>
      <c r="D7" s="6" t="s">
        <v>66</v>
      </c>
      <c r="E7" s="6" t="s">
        <v>66</v>
      </c>
      <c r="F7" s="6" t="s">
        <v>66</v>
      </c>
      <c r="G7" s="6" t="s">
        <v>66</v>
      </c>
      <c r="H7" s="6" t="s">
        <v>66</v>
      </c>
      <c r="I7" s="6" t="s">
        <v>65</v>
      </c>
      <c r="J7" s="6" t="s">
        <v>65</v>
      </c>
      <c r="K7" s="6" t="s">
        <v>66</v>
      </c>
      <c r="L7" s="6" t="s">
        <v>65</v>
      </c>
      <c r="M7" s="6"/>
      <c r="N7" s="6" cm="1">
        <f t="array" ref="N7">SUMPRODUCT((C7:M7="T")*C$5:M$5)</f>
        <v>25</v>
      </c>
      <c r="O7" s="6" cm="1">
        <f t="array" ref="O7">SUMPRODUCT((C7:M7="T")*C$5:M$5) - SUMPRODUCT((C7:M7="F")*C$5:M$5/4)</f>
        <v>21.25</v>
      </c>
      <c r="P7" s="6"/>
    </row>
    <row r="8" spans="1:16">
      <c r="A8" s="9" t="str">
        <f>Marksheet!C7</f>
        <v>590021234</v>
      </c>
      <c r="B8" s="9" t="str">
        <f>Marksheet!B7</f>
        <v>Dhruv Kumar Singh</v>
      </c>
      <c r="C8" s="6" t="s">
        <v>66</v>
      </c>
      <c r="D8" s="6" t="s">
        <v>66</v>
      </c>
      <c r="E8" s="6" t="s">
        <v>66</v>
      </c>
      <c r="F8" s="6" t="s">
        <v>65</v>
      </c>
      <c r="G8" s="6" t="s">
        <v>66</v>
      </c>
      <c r="H8" s="6" t="s">
        <v>66</v>
      </c>
      <c r="I8" s="6" t="s">
        <v>66</v>
      </c>
      <c r="J8" s="6" t="s">
        <v>66</v>
      </c>
      <c r="K8" s="6" t="s">
        <v>66</v>
      </c>
      <c r="L8" s="6" t="s">
        <v>65</v>
      </c>
      <c r="M8" s="6"/>
      <c r="N8" s="6" cm="1">
        <f t="array" ref="N8">SUMPRODUCT((C8:M8="T")*C$5:M$5)</f>
        <v>32</v>
      </c>
      <c r="O8" s="6" cm="1">
        <f t="array" ref="O8">SUMPRODUCT((C8:M8="T")*C$5:M$5) - SUMPRODUCT((C8:M8="F")*C$5:M$5/4)</f>
        <v>30</v>
      </c>
      <c r="P8" s="6"/>
    </row>
    <row r="9" spans="1:16">
      <c r="A9" s="9" t="str">
        <f>Marksheet!C8</f>
        <v>590025722</v>
      </c>
      <c r="B9" s="9" t="str">
        <f>Marksheet!B8</f>
        <v>Madhumita Rajesh</v>
      </c>
      <c r="C9" s="6" t="s">
        <v>66</v>
      </c>
      <c r="D9" s="6" t="s">
        <v>66</v>
      </c>
      <c r="E9" s="6" t="s">
        <v>66</v>
      </c>
      <c r="F9" s="6" t="s">
        <v>66</v>
      </c>
      <c r="G9" s="6" t="s">
        <v>66</v>
      </c>
      <c r="H9" s="6" t="s">
        <v>65</v>
      </c>
      <c r="I9" s="6" t="s">
        <v>66</v>
      </c>
      <c r="J9" s="6" t="s">
        <v>66</v>
      </c>
      <c r="K9" s="6" t="s">
        <v>66</v>
      </c>
      <c r="L9" s="6" t="s">
        <v>65</v>
      </c>
      <c r="M9" s="6"/>
      <c r="N9" s="6" cm="1">
        <f t="array" ref="N9">SUMPRODUCT((C9:M9="T")*C$5:M$5)</f>
        <v>30</v>
      </c>
      <c r="O9" s="6" cm="1">
        <f t="array" ref="O9">SUMPRODUCT((C9:M9="T")*C$5:M$5) - SUMPRODUCT((C9:M9="F")*C$5:M$5/4)</f>
        <v>27.5</v>
      </c>
      <c r="P9" s="6"/>
    </row>
    <row r="10" spans="1:16">
      <c r="A10" s="9" t="str">
        <f>Marksheet!C9</f>
        <v>590024722</v>
      </c>
      <c r="B10" s="9" t="str">
        <f>Marksheet!B9</f>
        <v>Queeny Kaur</v>
      </c>
      <c r="C10" s="6" t="s">
        <v>66</v>
      </c>
      <c r="D10" s="6" t="s">
        <v>66</v>
      </c>
      <c r="E10" s="6" t="s">
        <v>66</v>
      </c>
      <c r="F10" s="6" t="s">
        <v>66</v>
      </c>
      <c r="G10" s="6" t="s">
        <v>66</v>
      </c>
      <c r="H10" s="6" t="s">
        <v>66</v>
      </c>
      <c r="I10" s="6" t="s">
        <v>65</v>
      </c>
      <c r="J10" s="6" t="s">
        <v>67</v>
      </c>
      <c r="K10" s="6" t="s">
        <v>66</v>
      </c>
      <c r="L10" s="6" t="s">
        <v>65</v>
      </c>
      <c r="M10" s="6"/>
      <c r="N10" s="6" cm="1">
        <f t="array" ref="N10">SUMPRODUCT((C10:M10="T")*C$5:M$5)</f>
        <v>25</v>
      </c>
      <c r="O10" s="6" cm="1">
        <f t="array" ref="O10">SUMPRODUCT((C10:M10="T")*C$5:M$5) - SUMPRODUCT((C10:M10="F")*C$5:M$5/4)</f>
        <v>22.5</v>
      </c>
      <c r="P10" s="6"/>
    </row>
    <row r="11" spans="1:16">
      <c r="A11" s="9" t="str">
        <f>Marksheet!C10</f>
        <v>590024897</v>
      </c>
      <c r="B11" s="9" t="str">
        <f>Marksheet!B10</f>
        <v>Swagata Mukherjee</v>
      </c>
      <c r="C11" s="6" t="s">
        <v>66</v>
      </c>
      <c r="D11" s="6" t="s">
        <v>66</v>
      </c>
      <c r="E11" s="6" t="s">
        <v>66</v>
      </c>
      <c r="F11" s="6" t="s">
        <v>66</v>
      </c>
      <c r="G11" s="6" t="s">
        <v>66</v>
      </c>
      <c r="H11" s="6" t="s">
        <v>66</v>
      </c>
      <c r="I11" s="6" t="s">
        <v>66</v>
      </c>
      <c r="J11" s="6" t="s">
        <v>66</v>
      </c>
      <c r="K11" s="6" t="s">
        <v>66</v>
      </c>
      <c r="L11" s="6" t="s">
        <v>65</v>
      </c>
      <c r="M11" s="6"/>
      <c r="N11" s="6" cm="1">
        <f t="array" ref="N11">SUMPRODUCT((C11:M11="T")*C$5:M$5)</f>
        <v>35</v>
      </c>
      <c r="O11" s="6" cm="1">
        <f t="array" ref="O11">SUMPRODUCT((C11:M11="T")*C$5:M$5) - SUMPRODUCT((C11:M11="F")*C$5:M$5/4)</f>
        <v>33.75</v>
      </c>
      <c r="P11" s="6"/>
    </row>
    <row r="12" spans="1:16">
      <c r="A12" s="9" t="str">
        <f>Marksheet!C11</f>
        <v>590027722</v>
      </c>
      <c r="B12" s="9" t="str">
        <f>Marksheet!B11</f>
        <v xml:space="preserve">Prakhar </v>
      </c>
      <c r="C12" s="6" t="s">
        <v>66</v>
      </c>
      <c r="D12" s="6" t="s">
        <v>66</v>
      </c>
      <c r="E12" s="6" t="s">
        <v>66</v>
      </c>
      <c r="F12" s="6" t="s">
        <v>66</v>
      </c>
      <c r="G12" s="6" t="s">
        <v>66</v>
      </c>
      <c r="H12" s="6" t="s">
        <v>66</v>
      </c>
      <c r="I12" s="6" t="s">
        <v>66</v>
      </c>
      <c r="J12" s="6" t="s">
        <v>66</v>
      </c>
      <c r="K12" s="6" t="s">
        <v>66</v>
      </c>
      <c r="L12" s="6" t="s">
        <v>66</v>
      </c>
      <c r="M12" s="6"/>
      <c r="N12" s="6" cm="1">
        <f t="array" ref="N12">SUMPRODUCT((C12:M12="T")*C$5:M$5)</f>
        <v>40</v>
      </c>
      <c r="O12" s="6" cm="1">
        <f t="array" ref="O12">SUMPRODUCT((C12:M12="T")*C$5:M$5) - SUMPRODUCT((C12:M12="F")*C$5:M$5/4)</f>
        <v>40</v>
      </c>
      <c r="P12" s="6"/>
    </row>
    <row r="13" spans="1:16">
      <c r="A13" s="9" t="str">
        <f>Marksheet!C12</f>
        <v>590027572</v>
      </c>
      <c r="B13" s="9" t="str">
        <f>Marksheet!B12</f>
        <v>Ayush Uniyal</v>
      </c>
      <c r="C13" s="6" t="s">
        <v>66</v>
      </c>
      <c r="D13" s="6" t="s">
        <v>66</v>
      </c>
      <c r="E13" s="6" t="s">
        <v>66</v>
      </c>
      <c r="F13" s="6" t="s">
        <v>66</v>
      </c>
      <c r="G13" s="6" t="s">
        <v>66</v>
      </c>
      <c r="H13" s="6" t="s">
        <v>66</v>
      </c>
      <c r="I13" s="6" t="s">
        <v>66</v>
      </c>
      <c r="J13" s="6" t="s">
        <v>66</v>
      </c>
      <c r="K13" s="6" t="s">
        <v>66</v>
      </c>
      <c r="L13" s="6" t="s">
        <v>65</v>
      </c>
      <c r="M13" s="6"/>
      <c r="N13" s="6" cm="1">
        <f t="array" ref="N13">SUMPRODUCT((C13:M13="T")*C$5:M$5)</f>
        <v>35</v>
      </c>
      <c r="O13" s="6" cm="1">
        <f t="array" ref="O13">SUMPRODUCT((C13:M13="T")*C$5:M$5) - SUMPRODUCT((C13:M13="F")*C$5:M$5/4)</f>
        <v>33.75</v>
      </c>
      <c r="P13" s="6"/>
    </row>
    <row r="14" spans="1:16">
      <c r="A14" s="9" t="str">
        <f>Marksheet!C13</f>
        <v>590016280</v>
      </c>
      <c r="B14" s="9" t="str">
        <f>Marksheet!B13</f>
        <v>Divya Krishna</v>
      </c>
      <c r="C14" s="6" t="s">
        <v>66</v>
      </c>
      <c r="D14" s="6" t="s">
        <v>65</v>
      </c>
      <c r="E14" s="6" t="s">
        <v>65</v>
      </c>
      <c r="F14" s="6" t="s">
        <v>66</v>
      </c>
      <c r="G14" s="6" t="s">
        <v>66</v>
      </c>
      <c r="H14" s="6" t="s">
        <v>66</v>
      </c>
      <c r="I14" s="6" t="s">
        <v>66</v>
      </c>
      <c r="J14" s="6" t="s">
        <v>66</v>
      </c>
      <c r="K14" s="6" t="s">
        <v>66</v>
      </c>
      <c r="L14" s="6" t="s">
        <v>65</v>
      </c>
      <c r="M14" s="6"/>
      <c r="N14" s="6" cm="1">
        <f t="array" ref="N14">SUMPRODUCT((C14:M14="T")*C$5:M$5)</f>
        <v>29</v>
      </c>
      <c r="O14" s="6" cm="1">
        <f t="array" ref="O14">SUMPRODUCT((C14:M14="T")*C$5:M$5) - SUMPRODUCT((C14:M14="F")*C$5:M$5/4)</f>
        <v>26.25</v>
      </c>
      <c r="P14" s="6"/>
    </row>
    <row r="15" spans="1:16">
      <c r="A15" s="9">
        <f>Marksheet!C14</f>
        <v>590021217</v>
      </c>
      <c r="B15" s="9" t="str">
        <f>Marksheet!B14</f>
        <v>NEHA NAGESH REVANKAR</v>
      </c>
      <c r="C15" s="6" t="s">
        <v>66</v>
      </c>
      <c r="D15" s="6" t="s">
        <v>65</v>
      </c>
      <c r="E15" s="6" t="s">
        <v>66</v>
      </c>
      <c r="F15" s="6" t="s">
        <v>66</v>
      </c>
      <c r="G15" s="6" t="s">
        <v>66</v>
      </c>
      <c r="H15" s="6" t="s">
        <v>65</v>
      </c>
      <c r="I15" s="6" t="s">
        <v>65</v>
      </c>
      <c r="J15" s="6" t="s">
        <v>66</v>
      </c>
      <c r="K15" s="6" t="s">
        <v>66</v>
      </c>
      <c r="L15" s="6" t="s">
        <v>65</v>
      </c>
      <c r="M15" s="6"/>
      <c r="N15" s="6" cm="1">
        <f t="array" ref="N15">SUMPRODUCT((C15:M15="T")*C$5:M$5)</f>
        <v>22</v>
      </c>
      <c r="O15" s="6" cm="1">
        <f t="array" ref="O15">SUMPRODUCT((C15:M15="T")*C$5:M$5) - SUMPRODUCT((C15:M15="F")*C$5:M$5/4)</f>
        <v>17.5</v>
      </c>
      <c r="P15" s="6"/>
    </row>
    <row r="16" spans="1:16">
      <c r="A16" s="9" t="str">
        <f>Marksheet!C15</f>
        <v>590018519</v>
      </c>
      <c r="B16" s="9" t="str">
        <f>Marksheet!B15</f>
        <v>Rushil Soni</v>
      </c>
      <c r="C16" s="6" t="s">
        <v>66</v>
      </c>
      <c r="D16" s="6" t="s">
        <v>66</v>
      </c>
      <c r="E16" s="6" t="s">
        <v>66</v>
      </c>
      <c r="F16" s="6" t="s">
        <v>65</v>
      </c>
      <c r="G16" s="6" t="s">
        <v>67</v>
      </c>
      <c r="H16" s="6" t="s">
        <v>67</v>
      </c>
      <c r="I16" s="6" t="s">
        <v>67</v>
      </c>
      <c r="J16" s="6" t="s">
        <v>66</v>
      </c>
      <c r="K16" s="6" t="s">
        <v>66</v>
      </c>
      <c r="L16" s="6" t="s">
        <v>65</v>
      </c>
      <c r="M16" s="6"/>
      <c r="N16" s="6" cm="1">
        <f t="array" ref="N16">SUMPRODUCT((C16:M16="T")*C$5:M$5)</f>
        <v>19</v>
      </c>
      <c r="O16" s="6" cm="1">
        <f t="array" ref="O16">SUMPRODUCT((C16:M16="T")*C$5:M$5) - SUMPRODUCT((C16:M16="F")*C$5:M$5/4)</f>
        <v>17</v>
      </c>
      <c r="P16" s="6"/>
    </row>
    <row r="17" spans="1:16">
      <c r="A17" s="9" t="str">
        <f>Marksheet!C16</f>
        <v>590010833</v>
      </c>
      <c r="B17" s="9" t="str">
        <f>Marksheet!B16</f>
        <v>Vansh Sharma</v>
      </c>
      <c r="C17" s="6" t="s">
        <v>66</v>
      </c>
      <c r="D17" s="6" t="s">
        <v>66</v>
      </c>
      <c r="E17" s="6" t="s">
        <v>66</v>
      </c>
      <c r="F17" s="6" t="s">
        <v>65</v>
      </c>
      <c r="G17" s="6" t="s">
        <v>66</v>
      </c>
      <c r="H17" s="6" t="s">
        <v>65</v>
      </c>
      <c r="I17" s="6" t="s">
        <v>66</v>
      </c>
      <c r="J17" s="6" t="s">
        <v>66</v>
      </c>
      <c r="K17" s="6" t="s">
        <v>66</v>
      </c>
      <c r="L17" s="6" t="s">
        <v>65</v>
      </c>
      <c r="M17" s="6"/>
      <c r="N17" s="6" cm="1">
        <f t="array" ref="N17">SUMPRODUCT((C17:M17="T")*C$5:M$5)</f>
        <v>27</v>
      </c>
      <c r="O17" s="6" cm="1">
        <f t="array" ref="O17">SUMPRODUCT((C17:M17="T")*C$5:M$5) - SUMPRODUCT((C17:M17="F")*C$5:M$5/4)</f>
        <v>23.75</v>
      </c>
      <c r="P17" s="6"/>
    </row>
    <row r="18" spans="1:16">
      <c r="A18" s="9" t="str">
        <f>Marksheet!C17</f>
        <v>590028752</v>
      </c>
      <c r="B18" s="9" t="str">
        <f>Marksheet!B17</f>
        <v>Harishankar Nath Tiwari</v>
      </c>
      <c r="C18" s="6" t="s">
        <v>66</v>
      </c>
      <c r="D18" s="6" t="s">
        <v>67</v>
      </c>
      <c r="E18" s="6" t="s">
        <v>66</v>
      </c>
      <c r="F18" s="6" t="s">
        <v>65</v>
      </c>
      <c r="G18" s="6" t="s">
        <v>66</v>
      </c>
      <c r="H18" s="6" t="s">
        <v>65</v>
      </c>
      <c r="I18" s="6" t="s">
        <v>65</v>
      </c>
      <c r="J18" s="6" t="s">
        <v>66</v>
      </c>
      <c r="K18" s="6" t="s">
        <v>66</v>
      </c>
      <c r="L18" s="6" t="s">
        <v>65</v>
      </c>
      <c r="M18" s="6"/>
      <c r="N18" s="6" cm="1">
        <f t="array" ref="N18">SUMPRODUCT((C18:M18="T")*C$5:M$5)</f>
        <v>19</v>
      </c>
      <c r="O18" s="6" cm="1">
        <f t="array" ref="O18">SUMPRODUCT((C18:M18="T")*C$5:M$5) - SUMPRODUCT((C18:M18="F")*C$5:M$5/4)</f>
        <v>14.5</v>
      </c>
      <c r="P18" s="6"/>
    </row>
    <row r="19" spans="1:16">
      <c r="A19" s="9" t="str">
        <f>Marksheet!C18</f>
        <v>590028962</v>
      </c>
      <c r="B19" s="9" t="str">
        <f>Marksheet!B18</f>
        <v>Surwase Swapnil Tukaram</v>
      </c>
      <c r="C19" s="6" t="s">
        <v>66</v>
      </c>
      <c r="D19" s="6" t="s">
        <v>66</v>
      </c>
      <c r="E19" s="6" t="s">
        <v>66</v>
      </c>
      <c r="F19" s="6" t="s">
        <v>66</v>
      </c>
      <c r="G19" s="6" t="s">
        <v>66</v>
      </c>
      <c r="H19" s="6" t="s">
        <v>65</v>
      </c>
      <c r="I19" s="6" t="s">
        <v>66</v>
      </c>
      <c r="J19" s="6" t="s">
        <v>66</v>
      </c>
      <c r="K19" s="6" t="s">
        <v>66</v>
      </c>
      <c r="L19" s="6" t="s">
        <v>65</v>
      </c>
      <c r="M19" s="6"/>
      <c r="N19" s="6" cm="1">
        <f t="array" ref="N19">SUMPRODUCT((C19:M19="T")*C$5:M$5)</f>
        <v>30</v>
      </c>
      <c r="O19" s="6" cm="1">
        <f t="array" ref="O19">SUMPRODUCT((C19:M19="T")*C$5:M$5) - SUMPRODUCT((C19:M19="F")*C$5:M$5/4)</f>
        <v>27.5</v>
      </c>
      <c r="P19" s="6"/>
    </row>
    <row r="20" spans="1:16">
      <c r="A20" s="9">
        <f>Marksheet!C19</f>
        <v>500107236</v>
      </c>
      <c r="B20" s="9" t="str">
        <f>Marksheet!B19</f>
        <v>Shreya</v>
      </c>
      <c r="C20" s="9" t="s">
        <v>66</v>
      </c>
      <c r="D20" s="9" t="s">
        <v>66</v>
      </c>
      <c r="E20" s="9" t="s">
        <v>66</v>
      </c>
      <c r="F20" s="9" t="s">
        <v>66</v>
      </c>
      <c r="G20" s="9" t="s">
        <v>66</v>
      </c>
      <c r="H20" s="9" t="s">
        <v>66</v>
      </c>
      <c r="I20" s="9" t="s">
        <v>66</v>
      </c>
      <c r="J20" s="9" t="s">
        <v>66</v>
      </c>
      <c r="K20" s="9" t="s">
        <v>67</v>
      </c>
      <c r="L20" s="9" t="s">
        <v>66</v>
      </c>
      <c r="M20" s="9"/>
      <c r="N20" s="6" cm="1">
        <f t="array" ref="N20">SUMPRODUCT((C20:M20="T")*C$5:M$5)</f>
        <v>35</v>
      </c>
      <c r="O20" s="6" cm="1">
        <f t="array" ref="O20">SUMPRODUCT((C20:M20="T")*C$5:M$5) - SUMPRODUCT((C20:M20="F")*C$5:M$5/4)</f>
        <v>35</v>
      </c>
      <c r="P20" s="9"/>
    </row>
    <row r="21" spans="1:16">
      <c r="A21" s="9">
        <f>Marksheet!C20</f>
        <v>500106635</v>
      </c>
      <c r="B21" s="9" t="str">
        <f>Marksheet!B20</f>
        <v>Devansh</v>
      </c>
      <c r="C21" s="9" t="s">
        <v>66</v>
      </c>
      <c r="D21" s="9" t="s">
        <v>66</v>
      </c>
      <c r="E21" s="9" t="s">
        <v>66</v>
      </c>
      <c r="F21" s="9" t="s">
        <v>66</v>
      </c>
      <c r="G21" s="9" t="s">
        <v>66</v>
      </c>
      <c r="H21" s="9" t="s">
        <v>66</v>
      </c>
      <c r="I21" s="9" t="s">
        <v>66</v>
      </c>
      <c r="J21" s="9" t="s">
        <v>66</v>
      </c>
      <c r="K21" s="9" t="s">
        <v>67</v>
      </c>
      <c r="L21" s="9" t="s">
        <v>66</v>
      </c>
      <c r="M21" s="9"/>
      <c r="N21" s="6" cm="1">
        <f t="array" ref="N21">SUMPRODUCT((C21:M21="T")*C$5:M$5)</f>
        <v>35</v>
      </c>
      <c r="O21" s="6" cm="1">
        <f t="array" ref="O21">SUMPRODUCT((C21:M21="T")*C$5:M$5) - SUMPRODUCT((C21:M21="F")*C$5:M$5/4)</f>
        <v>35</v>
      </c>
      <c r="P21" s="9"/>
    </row>
  </sheetData>
  <mergeCells count="2">
    <mergeCell ref="A1:P1"/>
    <mergeCell ref="A2:P2"/>
  </mergeCells>
  <pageMargins left="0.7" right="0.7" top="0.75" bottom="0.75" header="0.3" footer="0.3"/>
  <pageSetup paperSize="9" fitToWidth="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EC6E4-73FE-451F-9DA1-2F8671C4541C}">
  <sheetPr>
    <pageSetUpPr fitToPage="1"/>
  </sheetPr>
  <dimension ref="A1:O21"/>
  <sheetViews>
    <sheetView workbookViewId="0">
      <selection activeCell="N21" sqref="N21"/>
    </sheetView>
  </sheetViews>
  <sheetFormatPr defaultRowHeight="15"/>
  <cols>
    <col min="1" max="1" width="10.140625" bestFit="1" customWidth="1"/>
    <col min="2" max="2" width="24.28515625" bestFit="1" customWidth="1"/>
    <col min="3" max="13" width="4.5703125" bestFit="1" customWidth="1"/>
    <col min="14" max="14" width="5.42578125" bestFit="1" customWidth="1"/>
    <col min="15" max="15" width="4.7109375" bestFit="1" customWidth="1"/>
  </cols>
  <sheetData>
    <row r="1" spans="1:15" ht="24.75">
      <c r="A1" s="43" t="s">
        <v>8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</row>
    <row r="2" spans="1:15" ht="24.75">
      <c r="A2" s="43" t="str">
        <f>Marksheet!A2</f>
        <v xml:space="preserve">Classical Mechanics (PHYS 7001) 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</row>
    <row r="3" spans="1:15">
      <c r="A3" s="6"/>
      <c r="B3" s="6"/>
      <c r="C3" s="7" t="s">
        <v>45</v>
      </c>
      <c r="D3" s="7" t="s">
        <v>46</v>
      </c>
      <c r="E3" s="7" t="s">
        <v>47</v>
      </c>
      <c r="F3" s="7" t="s">
        <v>45</v>
      </c>
      <c r="G3" s="7" t="s">
        <v>46</v>
      </c>
      <c r="H3" s="7" t="s">
        <v>45</v>
      </c>
      <c r="I3" s="7" t="s">
        <v>47</v>
      </c>
      <c r="J3" s="7" t="s">
        <v>47</v>
      </c>
      <c r="K3" s="7" t="s">
        <v>63</v>
      </c>
      <c r="L3" s="7" t="s">
        <v>47</v>
      </c>
      <c r="M3" s="7" t="s">
        <v>63</v>
      </c>
      <c r="N3" s="6"/>
      <c r="O3" s="6"/>
    </row>
    <row r="4" spans="1:15">
      <c r="A4" s="8" t="s">
        <v>64</v>
      </c>
      <c r="B4" s="8" t="s">
        <v>48</v>
      </c>
      <c r="C4" s="8" t="s">
        <v>50</v>
      </c>
      <c r="D4" s="8" t="s">
        <v>51</v>
      </c>
      <c r="E4" s="8" t="s">
        <v>52</v>
      </c>
      <c r="F4" s="8" t="s">
        <v>53</v>
      </c>
      <c r="G4" s="8" t="s">
        <v>54</v>
      </c>
      <c r="H4" s="8" t="s">
        <v>55</v>
      </c>
      <c r="I4" s="8" t="s">
        <v>56</v>
      </c>
      <c r="J4" s="8" t="s">
        <v>57</v>
      </c>
      <c r="K4" s="8" t="s">
        <v>58</v>
      </c>
      <c r="L4" s="8" t="s">
        <v>59</v>
      </c>
      <c r="M4" s="8" t="s">
        <v>60</v>
      </c>
      <c r="N4" s="8" t="s">
        <v>12</v>
      </c>
      <c r="O4" s="8" t="s">
        <v>13</v>
      </c>
    </row>
    <row r="5" spans="1:15">
      <c r="A5" s="15"/>
      <c r="B5" s="15" t="s">
        <v>14</v>
      </c>
      <c r="C5" s="15">
        <v>5</v>
      </c>
      <c r="D5" s="15">
        <v>10</v>
      </c>
      <c r="E5" s="15">
        <v>5</v>
      </c>
      <c r="F5" s="15">
        <v>10</v>
      </c>
      <c r="G5" s="15">
        <v>5</v>
      </c>
      <c r="H5" s="15">
        <v>5</v>
      </c>
      <c r="I5" s="15"/>
      <c r="J5" s="15"/>
      <c r="K5" s="15"/>
      <c r="L5" s="15"/>
      <c r="M5" s="15"/>
      <c r="N5" s="15">
        <f>SUM(C5:H5)</f>
        <v>40</v>
      </c>
      <c r="O5" s="15"/>
    </row>
    <row r="6" spans="1:15">
      <c r="A6" s="9" t="str">
        <f>Marksheet!C5</f>
        <v>590021120</v>
      </c>
      <c r="B6" s="9" t="str">
        <f>Marksheet!B5</f>
        <v>Akshay Alodiya</v>
      </c>
      <c r="C6" s="6">
        <v>5</v>
      </c>
      <c r="D6" s="6">
        <v>4</v>
      </c>
      <c r="E6" s="6">
        <v>1</v>
      </c>
      <c r="F6" s="6">
        <v>0</v>
      </c>
      <c r="G6" s="6">
        <v>0</v>
      </c>
      <c r="H6" s="6">
        <v>4</v>
      </c>
      <c r="I6" s="6"/>
      <c r="J6" s="6"/>
      <c r="K6" s="6"/>
      <c r="L6" s="6"/>
      <c r="M6" s="6"/>
      <c r="N6" s="15">
        <f t="shared" ref="N6:N21" si="0">SUM(C6:H6)</f>
        <v>14</v>
      </c>
      <c r="O6" s="6"/>
    </row>
    <row r="7" spans="1:15">
      <c r="A7" s="9">
        <f>Marksheet!C6</f>
        <v>590021194</v>
      </c>
      <c r="B7" s="9" t="str">
        <f>Marksheet!B6</f>
        <v>Avishankar Sardar</v>
      </c>
      <c r="C7" s="6">
        <v>5</v>
      </c>
      <c r="D7" s="6">
        <v>8</v>
      </c>
      <c r="E7" s="6">
        <v>5</v>
      </c>
      <c r="F7" s="6">
        <v>3</v>
      </c>
      <c r="G7" s="6">
        <v>5</v>
      </c>
      <c r="H7" s="6">
        <v>2</v>
      </c>
      <c r="I7" s="6"/>
      <c r="J7" s="6"/>
      <c r="K7" s="6"/>
      <c r="L7" s="6"/>
      <c r="M7" s="6"/>
      <c r="N7" s="15">
        <f t="shared" si="0"/>
        <v>28</v>
      </c>
      <c r="O7" s="6"/>
    </row>
    <row r="8" spans="1:15">
      <c r="A8" s="9" t="str">
        <f>Marksheet!C7</f>
        <v>590021234</v>
      </c>
      <c r="B8" s="9" t="str">
        <f>Marksheet!B7</f>
        <v>Dhruv Kumar Singh</v>
      </c>
      <c r="C8" s="6">
        <v>5</v>
      </c>
      <c r="D8" s="6">
        <v>4</v>
      </c>
      <c r="E8" s="6">
        <v>2</v>
      </c>
      <c r="F8" s="6">
        <v>0</v>
      </c>
      <c r="G8" s="6">
        <v>4</v>
      </c>
      <c r="H8" s="6">
        <v>0</v>
      </c>
      <c r="I8" s="6"/>
      <c r="J8" s="6"/>
      <c r="K8" s="6"/>
      <c r="L8" s="6"/>
      <c r="M8" s="6"/>
      <c r="N8" s="15">
        <f t="shared" si="0"/>
        <v>15</v>
      </c>
      <c r="O8" s="6"/>
    </row>
    <row r="9" spans="1:15">
      <c r="A9" s="9" t="str">
        <f>Marksheet!C8</f>
        <v>590025722</v>
      </c>
      <c r="B9" s="9" t="str">
        <f>Marksheet!B8</f>
        <v>Madhumita Rajesh</v>
      </c>
      <c r="C9" s="6">
        <v>4</v>
      </c>
      <c r="D9" s="6">
        <v>9</v>
      </c>
      <c r="E9" s="6">
        <v>2</v>
      </c>
      <c r="F9" s="6">
        <v>0</v>
      </c>
      <c r="G9" s="6">
        <v>5</v>
      </c>
      <c r="H9" s="6">
        <v>4</v>
      </c>
      <c r="I9" s="6"/>
      <c r="J9" s="6"/>
      <c r="K9" s="6"/>
      <c r="L9" s="6"/>
      <c r="M9" s="6"/>
      <c r="N9" s="15">
        <f t="shared" si="0"/>
        <v>24</v>
      </c>
      <c r="O9" s="6"/>
    </row>
    <row r="10" spans="1:15">
      <c r="A10" s="9" t="str">
        <f>Marksheet!C9</f>
        <v>590024722</v>
      </c>
      <c r="B10" s="9" t="str">
        <f>Marksheet!B9</f>
        <v>Queeny Kaur</v>
      </c>
      <c r="C10" s="6">
        <v>5</v>
      </c>
      <c r="D10" s="6">
        <v>6</v>
      </c>
      <c r="E10" s="6">
        <v>2</v>
      </c>
      <c r="F10" s="6">
        <v>1</v>
      </c>
      <c r="G10" s="6">
        <v>5</v>
      </c>
      <c r="H10" s="6">
        <v>0</v>
      </c>
      <c r="I10" s="6"/>
      <c r="J10" s="6"/>
      <c r="K10" s="6"/>
      <c r="L10" s="6"/>
      <c r="M10" s="6"/>
      <c r="N10" s="15">
        <f t="shared" si="0"/>
        <v>19</v>
      </c>
      <c r="O10" s="6"/>
    </row>
    <row r="11" spans="1:15">
      <c r="A11" s="9" t="str">
        <f>Marksheet!C10</f>
        <v>590024897</v>
      </c>
      <c r="B11" s="9" t="str">
        <f>Marksheet!B10</f>
        <v>Swagata Mukherjee</v>
      </c>
      <c r="C11" s="6">
        <v>5</v>
      </c>
      <c r="D11" s="6">
        <v>10</v>
      </c>
      <c r="E11" s="6">
        <v>3</v>
      </c>
      <c r="F11" s="6">
        <v>0</v>
      </c>
      <c r="G11" s="6">
        <v>2</v>
      </c>
      <c r="H11" s="6">
        <v>1</v>
      </c>
      <c r="I11" s="6"/>
      <c r="J11" s="6"/>
      <c r="K11" s="6"/>
      <c r="L11" s="6"/>
      <c r="M11" s="6"/>
      <c r="N11" s="15">
        <f t="shared" si="0"/>
        <v>21</v>
      </c>
      <c r="O11" s="6"/>
    </row>
    <row r="12" spans="1:15">
      <c r="A12" s="9" t="str">
        <f>Marksheet!C11</f>
        <v>590027722</v>
      </c>
      <c r="B12" s="9" t="str">
        <f>Marksheet!B11</f>
        <v xml:space="preserve">Prakhar </v>
      </c>
      <c r="C12" s="6">
        <v>2</v>
      </c>
      <c r="D12" s="6">
        <v>0</v>
      </c>
      <c r="E12" s="6">
        <v>2</v>
      </c>
      <c r="F12" s="6">
        <v>0</v>
      </c>
      <c r="G12" s="6">
        <v>0</v>
      </c>
      <c r="H12" s="6">
        <v>0</v>
      </c>
      <c r="I12" s="6"/>
      <c r="J12" s="6"/>
      <c r="K12" s="6"/>
      <c r="L12" s="6"/>
      <c r="M12" s="6"/>
      <c r="N12" s="15">
        <f t="shared" si="0"/>
        <v>4</v>
      </c>
      <c r="O12" s="6"/>
    </row>
    <row r="13" spans="1:15">
      <c r="A13" s="9" t="str">
        <f>Marksheet!C12</f>
        <v>590027572</v>
      </c>
      <c r="B13" s="9" t="str">
        <f>Marksheet!B12</f>
        <v>Ayush Uniyal</v>
      </c>
      <c r="C13" s="6">
        <v>5</v>
      </c>
      <c r="D13" s="6">
        <v>10</v>
      </c>
      <c r="E13" s="6">
        <v>5</v>
      </c>
      <c r="F13" s="6">
        <v>7</v>
      </c>
      <c r="G13" s="6">
        <v>5</v>
      </c>
      <c r="H13" s="6">
        <v>4</v>
      </c>
      <c r="I13" s="6"/>
      <c r="J13" s="6"/>
      <c r="K13" s="6"/>
      <c r="L13" s="6"/>
      <c r="M13" s="6"/>
      <c r="N13" s="15">
        <f t="shared" si="0"/>
        <v>36</v>
      </c>
      <c r="O13" s="6"/>
    </row>
    <row r="14" spans="1:15">
      <c r="A14" s="9" t="str">
        <f>Marksheet!C13</f>
        <v>590016280</v>
      </c>
      <c r="B14" s="9" t="str">
        <f>Marksheet!B13</f>
        <v>Divya Krishna</v>
      </c>
      <c r="C14" s="6">
        <v>5</v>
      </c>
      <c r="D14" s="6">
        <v>0</v>
      </c>
      <c r="E14" s="6">
        <v>0</v>
      </c>
      <c r="F14" s="6">
        <v>10</v>
      </c>
      <c r="G14" s="6">
        <v>5</v>
      </c>
      <c r="H14" s="6">
        <v>5</v>
      </c>
      <c r="I14" s="6"/>
      <c r="J14" s="6"/>
      <c r="K14" s="6"/>
      <c r="L14" s="6"/>
      <c r="M14" s="6"/>
      <c r="N14" s="15">
        <f t="shared" si="0"/>
        <v>25</v>
      </c>
      <c r="O14" s="6"/>
    </row>
    <row r="15" spans="1:15">
      <c r="A15" s="9">
        <f>Marksheet!C14</f>
        <v>590021217</v>
      </c>
      <c r="B15" s="9" t="str">
        <f>Marksheet!B14</f>
        <v>NEHA NAGESH REVANKAR</v>
      </c>
      <c r="C15" s="6">
        <v>0</v>
      </c>
      <c r="D15" s="6">
        <v>0</v>
      </c>
      <c r="E15" s="6">
        <v>0</v>
      </c>
      <c r="F15" s="6">
        <v>0</v>
      </c>
      <c r="G15" s="6">
        <v>2</v>
      </c>
      <c r="H15" s="6">
        <v>0</v>
      </c>
      <c r="I15" s="6"/>
      <c r="J15" s="6"/>
      <c r="K15" s="6"/>
      <c r="L15" s="6"/>
      <c r="M15" s="6"/>
      <c r="N15" s="15">
        <f t="shared" si="0"/>
        <v>2</v>
      </c>
      <c r="O15" s="6"/>
    </row>
    <row r="16" spans="1:15">
      <c r="A16" s="9" t="str">
        <f>Marksheet!C15</f>
        <v>590018519</v>
      </c>
      <c r="B16" s="9" t="str">
        <f>Marksheet!B15</f>
        <v>Rushil Soni</v>
      </c>
      <c r="C16" s="6">
        <v>2</v>
      </c>
      <c r="D16" s="6">
        <v>0</v>
      </c>
      <c r="E16" s="6">
        <v>0</v>
      </c>
      <c r="F16" s="6">
        <v>1</v>
      </c>
      <c r="G16" s="6">
        <v>5</v>
      </c>
      <c r="H16" s="6">
        <v>3</v>
      </c>
      <c r="I16" s="6"/>
      <c r="J16" s="6"/>
      <c r="K16" s="6"/>
      <c r="L16" s="6"/>
      <c r="M16" s="6"/>
      <c r="N16" s="15">
        <f t="shared" si="0"/>
        <v>11</v>
      </c>
      <c r="O16" s="6"/>
    </row>
    <row r="17" spans="1:15">
      <c r="A17" s="9" t="str">
        <f>Marksheet!C16</f>
        <v>590010833</v>
      </c>
      <c r="B17" s="9" t="str">
        <f>Marksheet!B16</f>
        <v>Vansh Sharma</v>
      </c>
      <c r="C17" s="6">
        <v>3</v>
      </c>
      <c r="D17" s="6">
        <v>5</v>
      </c>
      <c r="E17" s="6">
        <v>3</v>
      </c>
      <c r="F17" s="6">
        <v>7</v>
      </c>
      <c r="G17" s="6">
        <v>4</v>
      </c>
      <c r="H17" s="6">
        <v>5</v>
      </c>
      <c r="I17" s="6"/>
      <c r="J17" s="6"/>
      <c r="K17" s="6"/>
      <c r="L17" s="6"/>
      <c r="M17" s="6"/>
      <c r="N17" s="15">
        <f t="shared" si="0"/>
        <v>27</v>
      </c>
      <c r="O17" s="6"/>
    </row>
    <row r="18" spans="1:15">
      <c r="A18" s="9" t="str">
        <f>Marksheet!C17</f>
        <v>590028752</v>
      </c>
      <c r="B18" s="9" t="str">
        <f>Marksheet!B17</f>
        <v>Harishankar Nath Tiwari</v>
      </c>
      <c r="C18" s="6">
        <v>2</v>
      </c>
      <c r="D18" s="6">
        <v>5</v>
      </c>
      <c r="E18" s="6">
        <v>0</v>
      </c>
      <c r="F18" s="6">
        <v>0</v>
      </c>
      <c r="G18" s="6">
        <v>0</v>
      </c>
      <c r="H18" s="6">
        <v>0</v>
      </c>
      <c r="I18" s="6"/>
      <c r="J18" s="6"/>
      <c r="K18" s="6"/>
      <c r="L18" s="6"/>
      <c r="M18" s="6"/>
      <c r="N18" s="15">
        <f t="shared" si="0"/>
        <v>7</v>
      </c>
      <c r="O18" s="6"/>
    </row>
    <row r="19" spans="1:15">
      <c r="A19" s="9" t="str">
        <f>Marksheet!C18</f>
        <v>590028962</v>
      </c>
      <c r="B19" s="9" t="str">
        <f>Marksheet!B18</f>
        <v>Surwase Swapnil Tukaram</v>
      </c>
      <c r="C19" s="6">
        <v>3</v>
      </c>
      <c r="D19" s="6">
        <v>6</v>
      </c>
      <c r="E19" s="6">
        <v>0</v>
      </c>
      <c r="F19" s="6">
        <v>0</v>
      </c>
      <c r="G19" s="6">
        <v>5</v>
      </c>
      <c r="H19" s="6">
        <v>0</v>
      </c>
      <c r="I19" s="6"/>
      <c r="J19" s="6"/>
      <c r="K19" s="6"/>
      <c r="L19" s="6"/>
      <c r="M19" s="6"/>
      <c r="N19" s="15">
        <f t="shared" si="0"/>
        <v>14</v>
      </c>
      <c r="O19" s="6"/>
    </row>
    <row r="20" spans="1:15">
      <c r="A20" s="9">
        <f>Marksheet!C19</f>
        <v>500107236</v>
      </c>
      <c r="B20" s="9" t="str">
        <f>Marksheet!B19</f>
        <v>Shreya</v>
      </c>
      <c r="C20" s="6">
        <v>4</v>
      </c>
      <c r="D20" s="6">
        <v>10</v>
      </c>
      <c r="E20" s="6">
        <v>4</v>
      </c>
      <c r="F20" s="6">
        <v>10</v>
      </c>
      <c r="G20" s="6">
        <v>3</v>
      </c>
      <c r="H20" s="6">
        <v>3</v>
      </c>
      <c r="I20" s="6"/>
      <c r="J20" s="6"/>
      <c r="K20" s="6"/>
      <c r="L20" s="6"/>
      <c r="M20" s="6"/>
      <c r="N20" s="15">
        <f t="shared" si="0"/>
        <v>34</v>
      </c>
      <c r="O20" s="6"/>
    </row>
    <row r="21" spans="1:15">
      <c r="A21" s="9">
        <f>Marksheet!C20</f>
        <v>500106635</v>
      </c>
      <c r="B21" s="9" t="str">
        <f>Marksheet!B20</f>
        <v>Devansh</v>
      </c>
      <c r="C21" s="6">
        <v>5</v>
      </c>
      <c r="D21" s="6">
        <v>10</v>
      </c>
      <c r="E21" s="6">
        <v>5</v>
      </c>
      <c r="F21" s="6">
        <v>0</v>
      </c>
      <c r="G21" s="6">
        <v>0</v>
      </c>
      <c r="H21" s="6">
        <v>5</v>
      </c>
      <c r="I21" s="6"/>
      <c r="J21" s="6"/>
      <c r="K21" s="6"/>
      <c r="L21" s="6"/>
      <c r="M21" s="6"/>
      <c r="N21" s="15">
        <f t="shared" si="0"/>
        <v>25</v>
      </c>
      <c r="O21" s="6"/>
    </row>
  </sheetData>
  <mergeCells count="2">
    <mergeCell ref="A1:O1"/>
    <mergeCell ref="A2:O2"/>
  </mergeCells>
  <pageMargins left="0.7" right="0.7" top="0.75" bottom="0.75" header="0.3" footer="0.3"/>
  <pageSetup paperSize="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Kendo UI</dc:creator>
  <cp:keywords/>
  <dc:description/>
  <cp:lastModifiedBy>Nitesh Kumar</cp:lastModifiedBy>
  <cp:revision/>
  <dcterms:created xsi:type="dcterms:W3CDTF">2025-02-05T08:19:31Z</dcterms:created>
  <dcterms:modified xsi:type="dcterms:W3CDTF">2026-01-19T12:51:43Z</dcterms:modified>
  <cp:category/>
  <cp:contentStatus/>
</cp:coreProperties>
</file>